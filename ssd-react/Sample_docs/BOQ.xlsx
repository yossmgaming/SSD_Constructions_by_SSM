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Assignments\my\Backups 2\docs\"/>
    </mc:Choice>
  </mc:AlternateContent>
  <xr:revisionPtr revIDLastSave="0" documentId="13_ncr:1_{5A9FF69D-6F69-483A-A193-7700246642B8}" xr6:coauthVersionLast="47" xr6:coauthVersionMax="47" xr10:uidLastSave="{00000000-0000-0000-0000-000000000000}"/>
  <bookViews>
    <workbookView xWindow="-120" yWindow="-120" windowWidth="25440" windowHeight="15390" xr2:uid="{4838D6D1-FD77-4051-AD9B-EADD93EB182B}"/>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430" i="1" l="1"/>
  <c r="F5425" i="1"/>
  <c r="F5427" i="1" s="1"/>
  <c r="F5424" i="1"/>
  <c r="F5418" i="1"/>
  <c r="F5419" i="1"/>
  <c r="F5417" i="1"/>
  <c r="F5416" i="1"/>
  <c r="F5406" i="1"/>
  <c r="F5407" i="1"/>
  <c r="F5408" i="1"/>
  <c r="F5409" i="1"/>
  <c r="F5410" i="1"/>
  <c r="F5411" i="1"/>
  <c r="F5412" i="1"/>
  <c r="F5413" i="1"/>
  <c r="F5414" i="1"/>
  <c r="F5415" i="1"/>
  <c r="F5405" i="1"/>
  <c r="F5395" i="1"/>
  <c r="F5396" i="1"/>
  <c r="F5398" i="1"/>
  <c r="F5399" i="1"/>
  <c r="F5400" i="1"/>
  <c r="F5394" i="1"/>
  <c r="F5371" i="1"/>
  <c r="F5372" i="1"/>
  <c r="F5373" i="1"/>
  <c r="F5374" i="1"/>
  <c r="F5375" i="1"/>
  <c r="F5377" i="1"/>
  <c r="F5378" i="1"/>
  <c r="F5379" i="1"/>
  <c r="F5380" i="1"/>
  <c r="F5381" i="1"/>
  <c r="F5382" i="1"/>
  <c r="F5383" i="1"/>
  <c r="F5384" i="1"/>
  <c r="F5385" i="1"/>
  <c r="F5386" i="1"/>
  <c r="F5387" i="1"/>
  <c r="F5376" i="1"/>
  <c r="M5379" i="1"/>
  <c r="F5354" i="1"/>
  <c r="F5355" i="1"/>
  <c r="F5356" i="1"/>
  <c r="F5357" i="1"/>
  <c r="F5358" i="1"/>
  <c r="F5359" i="1"/>
  <c r="F5360" i="1"/>
  <c r="F5361" i="1"/>
  <c r="F5362" i="1"/>
  <c r="F5363" i="1"/>
  <c r="F5364" i="1"/>
  <c r="F5365" i="1"/>
  <c r="F5366" i="1"/>
  <c r="F5367" i="1"/>
  <c r="F5368" i="1"/>
  <c r="F5353" i="1"/>
  <c r="F5340" i="1"/>
  <c r="F5341" i="1"/>
  <c r="F5342" i="1"/>
  <c r="F5343" i="1"/>
  <c r="F5344" i="1"/>
  <c r="F5345" i="1"/>
  <c r="F5346" i="1"/>
  <c r="F5339" i="1"/>
  <c r="L5346" i="1"/>
  <c r="F5336" i="1"/>
  <c r="F5331" i="1"/>
  <c r="F5333" i="1" s="1"/>
  <c r="L5317" i="1"/>
  <c r="F5326" i="1"/>
  <c r="F5325" i="1"/>
  <c r="F5324" i="1"/>
  <c r="F5323" i="1"/>
  <c r="F5322" i="1"/>
  <c r="F5316" i="1"/>
  <c r="F5315" i="1"/>
  <c r="F5314" i="1"/>
  <c r="F5313" i="1"/>
  <c r="F5311" i="1"/>
  <c r="F5312" i="1"/>
  <c r="F5310" i="1"/>
  <c r="F5289" i="1"/>
  <c r="F5290" i="1"/>
  <c r="F5291" i="1"/>
  <c r="F5292" i="1"/>
  <c r="F5293" i="1"/>
  <c r="F5294" i="1"/>
  <c r="F5295" i="1"/>
  <c r="F5296" i="1"/>
  <c r="F5297" i="1"/>
  <c r="F5288" i="1"/>
  <c r="F5269" i="1"/>
  <c r="F5270" i="1"/>
  <c r="F5271" i="1"/>
  <c r="F5276" i="1"/>
  <c r="F5277" i="1"/>
  <c r="F5278" i="1"/>
  <c r="F5279" i="1"/>
  <c r="F5280" i="1"/>
  <c r="F5281" i="1"/>
  <c r="F5268" i="1"/>
  <c r="L5277" i="1"/>
  <c r="L5267" i="1"/>
  <c r="F5257" i="1"/>
  <c r="F5258" i="1"/>
  <c r="F5263" i="1"/>
  <c r="F5265" i="1" s="1"/>
  <c r="F5256" i="1"/>
  <c r="L5250" i="1"/>
  <c r="R5270" i="1"/>
  <c r="F5251" i="1"/>
  <c r="F5250" i="1"/>
  <c r="F5249" i="1"/>
  <c r="F5248" i="1"/>
  <c r="F5247" i="1"/>
  <c r="F5246" i="1"/>
  <c r="F5241" i="1"/>
  <c r="F5240" i="1"/>
  <c r="F5239" i="1"/>
  <c r="F5237" i="1"/>
  <c r="F5236" i="1"/>
  <c r="F5235" i="1"/>
  <c r="F5231" i="1"/>
  <c r="F5230" i="1"/>
  <c r="F5229" i="1"/>
  <c r="F5228" i="1"/>
  <c r="F5226" i="1"/>
  <c r="F5225" i="1"/>
  <c r="F5223" i="1"/>
  <c r="F5222" i="1"/>
  <c r="F5221" i="1"/>
  <c r="F5220" i="1"/>
  <c r="F5219" i="1"/>
  <c r="F5218" i="1"/>
  <c r="F5217" i="1"/>
  <c r="F5216" i="1"/>
  <c r="F5215" i="1"/>
  <c r="F5214" i="1"/>
  <c r="F5212" i="1"/>
  <c r="F5208" i="1"/>
  <c r="F5207" i="1"/>
  <c r="F5206" i="1"/>
  <c r="F5205" i="1"/>
  <c r="F5204" i="1"/>
  <c r="F5203" i="1"/>
  <c r="F5202" i="1"/>
  <c r="F5201" i="1"/>
  <c r="F5200" i="1"/>
  <c r="F5199" i="1"/>
  <c r="F5198" i="1"/>
  <c r="F5197" i="1"/>
  <c r="F5196" i="1"/>
  <c r="F5191" i="1"/>
  <c r="F5190" i="1"/>
  <c r="F5189" i="1"/>
  <c r="F5188" i="1"/>
  <c r="F5187" i="1"/>
  <c r="F5186" i="1"/>
  <c r="F5185" i="1"/>
  <c r="F5184" i="1"/>
  <c r="F5183" i="1"/>
  <c r="F5182" i="1"/>
  <c r="F5181" i="1"/>
  <c r="F5180" i="1"/>
  <c r="F5179" i="1"/>
  <c r="F5177" i="1"/>
  <c r="F5173" i="1"/>
  <c r="F5172" i="1"/>
  <c r="F5171" i="1"/>
  <c r="F5170" i="1"/>
  <c r="F5169" i="1"/>
  <c r="F5168" i="1"/>
  <c r="F5167" i="1"/>
  <c r="F5166" i="1"/>
  <c r="F5165" i="1"/>
  <c r="F5164" i="1"/>
  <c r="F5163" i="1"/>
  <c r="F5162" i="1"/>
  <c r="F5157" i="1"/>
  <c r="F5156" i="1"/>
  <c r="F5155" i="1"/>
  <c r="F5154" i="1"/>
  <c r="F5153" i="1"/>
  <c r="F5152" i="1"/>
  <c r="F5151" i="1"/>
  <c r="F5150" i="1"/>
  <c r="F5149" i="1"/>
  <c r="F5148" i="1"/>
  <c r="F5147" i="1"/>
  <c r="F5146" i="1"/>
  <c r="F5145" i="1"/>
  <c r="F5144" i="1"/>
  <c r="F5143" i="1"/>
  <c r="F5142" i="1"/>
  <c r="F5141" i="1"/>
  <c r="F5140" i="1"/>
  <c r="F5138" i="1"/>
  <c r="F5133" i="1"/>
  <c r="F5132" i="1"/>
  <c r="F5131" i="1"/>
  <c r="F5130" i="1"/>
  <c r="F5129" i="1"/>
  <c r="F5128" i="1"/>
  <c r="F5127" i="1"/>
  <c r="F5126" i="1"/>
  <c r="N5125" i="1"/>
  <c r="F5124" i="1"/>
  <c r="F5123" i="1"/>
  <c r="F5121" i="1"/>
  <c r="F5117" i="1"/>
  <c r="F5119" i="1" s="1"/>
  <c r="F5113" i="1"/>
  <c r="F5112" i="1"/>
  <c r="F5111" i="1"/>
  <c r="F5110" i="1"/>
  <c r="F5109" i="1"/>
  <c r="F5108" i="1"/>
  <c r="F5103" i="1"/>
  <c r="F5102" i="1"/>
  <c r="F5100" i="1"/>
  <c r="U5098" i="1"/>
  <c r="S5098" i="1"/>
  <c r="F5089" i="1"/>
  <c r="F5098" i="1" s="1"/>
  <c r="F5084" i="1"/>
  <c r="F5083" i="1"/>
  <c r="F5082" i="1"/>
  <c r="F5081" i="1"/>
  <c r="F5076" i="1"/>
  <c r="F5078" i="1" s="1"/>
  <c r="F5070" i="1"/>
  <c r="F5069" i="1"/>
  <c r="F5065" i="1"/>
  <c r="F5064" i="1"/>
  <c r="F5063" i="1"/>
  <c r="F5062" i="1"/>
  <c r="F5061" i="1"/>
  <c r="F5060" i="1"/>
  <c r="F5059" i="1"/>
  <c r="F5058" i="1"/>
  <c r="F5057" i="1"/>
  <c r="H5056" i="1"/>
  <c r="F5056" i="1"/>
  <c r="L5055" i="1"/>
  <c r="F5055" i="1"/>
  <c r="F5054" i="1"/>
  <c r="F5053" i="1"/>
  <c r="F5052" i="1"/>
  <c r="F5051" i="1"/>
  <c r="F5050" i="1"/>
  <c r="F5049" i="1"/>
  <c r="F5048" i="1"/>
  <c r="F5047" i="1"/>
  <c r="F5046" i="1"/>
  <c r="F5045" i="1"/>
  <c r="F5044" i="1"/>
  <c r="F5043" i="1"/>
  <c r="F5042" i="1"/>
  <c r="F5040" i="1"/>
  <c r="F5039" i="1"/>
  <c r="F5038" i="1"/>
  <c r="F5036" i="1"/>
  <c r="F5035" i="1"/>
  <c r="F5034" i="1"/>
  <c r="L5033" i="1"/>
  <c r="F5032" i="1"/>
  <c r="F5031" i="1"/>
  <c r="F5030" i="1"/>
  <c r="F5029" i="1"/>
  <c r="F5027" i="1"/>
  <c r="F5026" i="1"/>
  <c r="F5025" i="1"/>
  <c r="F5023" i="1"/>
  <c r="F5021" i="1"/>
  <c r="F5014" i="1"/>
  <c r="F5013" i="1"/>
  <c r="F5009" i="1"/>
  <c r="F5008" i="1"/>
  <c r="F5007" i="1"/>
  <c r="F5006" i="1"/>
  <c r="F5005" i="1"/>
  <c r="F5004" i="1"/>
  <c r="F5003" i="1"/>
  <c r="F5002" i="1"/>
  <c r="F4997" i="1"/>
  <c r="F4996" i="1"/>
  <c r="F4995" i="1"/>
  <c r="F4994" i="1"/>
  <c r="F4993" i="1"/>
  <c r="F4992" i="1"/>
  <c r="F4991" i="1"/>
  <c r="F4990" i="1"/>
  <c r="F4989" i="1"/>
  <c r="F4988" i="1"/>
  <c r="F4987" i="1"/>
  <c r="F4986" i="1"/>
  <c r="F4985" i="1"/>
  <c r="F4984" i="1"/>
  <c r="F4983" i="1"/>
  <c r="F4982" i="1"/>
  <c r="F4981" i="1"/>
  <c r="F4976" i="1"/>
  <c r="F4978" i="1" s="1"/>
  <c r="F4971" i="1"/>
  <c r="F4970" i="1"/>
  <c r="F4969" i="1"/>
  <c r="F4968" i="1"/>
  <c r="F4967" i="1"/>
  <c r="F4966" i="1"/>
  <c r="F4965" i="1"/>
  <c r="F4964" i="1"/>
  <c r="F4962" i="1"/>
  <c r="F4961" i="1"/>
  <c r="F4960" i="1"/>
  <c r="F4959" i="1"/>
  <c r="F4958" i="1"/>
  <c r="F4957" i="1"/>
  <c r="F4956" i="1"/>
  <c r="F4955" i="1"/>
  <c r="F4954" i="1"/>
  <c r="F4953" i="1"/>
  <c r="F4951" i="1"/>
  <c r="F4950" i="1"/>
  <c r="F4949" i="1"/>
  <c r="F4948" i="1"/>
  <c r="F4947" i="1"/>
  <c r="F4946" i="1"/>
  <c r="F4943" i="1"/>
  <c r="F4936" i="1"/>
  <c r="F4935" i="1"/>
  <c r="F4934" i="1"/>
  <c r="F4933" i="1"/>
  <c r="F4932" i="1"/>
  <c r="F4931"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4"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7"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2"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4" i="1"/>
  <c r="F4710" i="1"/>
  <c r="F4709" i="1"/>
  <c r="F4708" i="1"/>
  <c r="F4707" i="1"/>
  <c r="F4706" i="1"/>
  <c r="F4705" i="1"/>
  <c r="F4704" i="1"/>
  <c r="F4703" i="1"/>
  <c r="F4702" i="1"/>
  <c r="F4701" i="1"/>
  <c r="F4700" i="1"/>
  <c r="F4699" i="1"/>
  <c r="F4698" i="1"/>
  <c r="F4697"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M4601" i="1"/>
  <c r="F4601" i="1"/>
  <c r="F4600" i="1"/>
  <c r="F4599" i="1"/>
  <c r="F4598" i="1"/>
  <c r="F4597" i="1"/>
  <c r="F4596" i="1"/>
  <c r="F4595" i="1"/>
  <c r="F4594" i="1"/>
  <c r="F4593" i="1"/>
  <c r="F4592" i="1"/>
  <c r="F4591" i="1"/>
  <c r="F4585"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C4521" i="1"/>
  <c r="L4512" i="1"/>
  <c r="C4506" i="1"/>
  <c r="F4492" i="1"/>
  <c r="F4491" i="1"/>
  <c r="F4490" i="1"/>
  <c r="F4489" i="1"/>
  <c r="F4488" i="1"/>
  <c r="F4487" i="1"/>
  <c r="F4486" i="1"/>
  <c r="F4485" i="1"/>
  <c r="F4484" i="1"/>
  <c r="F4483" i="1"/>
  <c r="F4451" i="1"/>
  <c r="F4447" i="1"/>
  <c r="F4440" i="1"/>
  <c r="F4438" i="1"/>
  <c r="F4402" i="1"/>
  <c r="F4399" i="1"/>
  <c r="F4393" i="1"/>
  <c r="F4391" i="1"/>
  <c r="F4376" i="1"/>
  <c r="F4371" i="1"/>
  <c r="F4369" i="1"/>
  <c r="F4366" i="1"/>
  <c r="F4350" i="1"/>
  <c r="F4347" i="1"/>
  <c r="F4340" i="1"/>
  <c r="F4338" i="1"/>
  <c r="F4289" i="1"/>
  <c r="F4286" i="1"/>
  <c r="F4284" i="1"/>
  <c r="F4277" i="1"/>
  <c r="F4276" i="1"/>
  <c r="F4230" i="1"/>
  <c r="F4222" i="1"/>
  <c r="F4185" i="1"/>
  <c r="F4184" i="1"/>
  <c r="F4183" i="1"/>
  <c r="F4138" i="1"/>
  <c r="F4137" i="1"/>
  <c r="F4125" i="1"/>
  <c r="F4124" i="1"/>
  <c r="F4123" i="1"/>
  <c r="F4122" i="1"/>
  <c r="F4116" i="1"/>
  <c r="F4048" i="1"/>
  <c r="F4040" i="1"/>
  <c r="F4038" i="1"/>
  <c r="F4036" i="1"/>
  <c r="F4034" i="1"/>
  <c r="F4032" i="1"/>
  <c r="F4028" i="1"/>
  <c r="F4021" i="1"/>
  <c r="F4019" i="1"/>
  <c r="F4017" i="1"/>
  <c r="F4013" i="1"/>
  <c r="F3920" i="1"/>
  <c r="F3918" i="1"/>
  <c r="E3856" i="1"/>
  <c r="F3844" i="1"/>
  <c r="F3840" i="1"/>
  <c r="F3833" i="1"/>
  <c r="F3831" i="1"/>
  <c r="F3797" i="1"/>
  <c r="F3794" i="1"/>
  <c r="F3789" i="1"/>
  <c r="F3782" i="1"/>
  <c r="F3779" i="1"/>
  <c r="F3764" i="1"/>
  <c r="F3761" i="1"/>
  <c r="F3758" i="1"/>
  <c r="F3752" i="1"/>
  <c r="F3702" i="1"/>
  <c r="F3699" i="1"/>
  <c r="F3646" i="1"/>
  <c r="F3638" i="1"/>
  <c r="F3601" i="1"/>
  <c r="F3600" i="1"/>
  <c r="F3599" i="1"/>
  <c r="F3556" i="1"/>
  <c r="F3553" i="1"/>
  <c r="F3541" i="1"/>
  <c r="F3540" i="1"/>
  <c r="F3539" i="1"/>
  <c r="F3538" i="1"/>
  <c r="F3532" i="1"/>
  <c r="F3464" i="1"/>
  <c r="F3462" i="1"/>
  <c r="F3460" i="1"/>
  <c r="F3456" i="1"/>
  <c r="F3449" i="1"/>
  <c r="F3447" i="1"/>
  <c r="F3445" i="1"/>
  <c r="F3441" i="1"/>
  <c r="Q3298" i="1"/>
  <c r="F3296" i="1"/>
  <c r="F3292" i="1"/>
  <c r="F3291" i="1"/>
  <c r="F3290" i="1"/>
  <c r="F3289" i="1"/>
  <c r="F3288" i="1"/>
  <c r="F3287" i="1"/>
  <c r="F3286" i="1"/>
  <c r="F3285" i="1"/>
  <c r="F3284" i="1"/>
  <c r="F3283" i="1"/>
  <c r="F3278" i="1"/>
  <c r="F3277" i="1"/>
  <c r="F3276" i="1"/>
  <c r="F3275" i="1"/>
  <c r="F3274" i="1"/>
  <c r="F3273" i="1"/>
  <c r="F3272" i="1"/>
  <c r="F3271" i="1"/>
  <c r="F3270" i="1"/>
  <c r="F3269"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2" i="1"/>
  <c r="F3161" i="1"/>
  <c r="F3160" i="1"/>
  <c r="F3159" i="1"/>
  <c r="F3158" i="1"/>
  <c r="F3157" i="1"/>
  <c r="F3156" i="1"/>
  <c r="R3155"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0" i="1"/>
  <c r="F3099" i="1"/>
  <c r="F3098" i="1"/>
  <c r="F3097" i="1"/>
  <c r="F3096" i="1"/>
  <c r="F3095" i="1"/>
  <c r="F3094" i="1"/>
  <c r="F3093" i="1"/>
  <c r="F3092" i="1"/>
  <c r="F3091" i="1"/>
  <c r="F3090" i="1"/>
  <c r="F3086" i="1"/>
  <c r="F3085" i="1"/>
  <c r="F3084" i="1"/>
  <c r="F3083" i="1"/>
  <c r="F3081" i="1"/>
  <c r="F3080" i="1"/>
  <c r="F3079" i="1"/>
  <c r="F3078" i="1"/>
  <c r="F3077" i="1"/>
  <c r="F3076" i="1"/>
  <c r="F3075" i="1"/>
  <c r="F3074" i="1"/>
  <c r="F3070" i="1"/>
  <c r="F3069" i="1"/>
  <c r="F3068" i="1"/>
  <c r="F3067" i="1"/>
  <c r="F3066" i="1"/>
  <c r="F3065" i="1"/>
  <c r="F3064" i="1"/>
  <c r="F3063" i="1"/>
  <c r="F3062" i="1"/>
  <c r="F3061" i="1"/>
  <c r="F3060" i="1"/>
  <c r="F3059" i="1"/>
  <c r="F3058" i="1"/>
  <c r="F3057" i="1"/>
  <c r="F3056" i="1"/>
  <c r="F3055" i="1"/>
  <c r="F3054" i="1"/>
  <c r="F3049" i="1"/>
  <c r="F3048" i="1"/>
  <c r="F3047" i="1"/>
  <c r="F3046" i="1"/>
  <c r="F3045" i="1"/>
  <c r="F3044" i="1"/>
  <c r="F3043" i="1"/>
  <c r="F3042" i="1"/>
  <c r="F3041" i="1"/>
  <c r="F3040" i="1"/>
  <c r="F3037" i="1"/>
  <c r="F3036" i="1"/>
  <c r="F3035" i="1"/>
  <c r="F3034" i="1"/>
  <c r="F3033" i="1"/>
  <c r="F3032" i="1"/>
  <c r="F3031" i="1"/>
  <c r="F3030" i="1"/>
  <c r="F3029" i="1"/>
  <c r="F3028"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88" i="1"/>
  <c r="F2987" i="1"/>
  <c r="F2986" i="1"/>
  <c r="F2985" i="1"/>
  <c r="F2984" i="1"/>
  <c r="F2979" i="1"/>
  <c r="F2978" i="1"/>
  <c r="F2977" i="1"/>
  <c r="F2976" i="1"/>
  <c r="F2975" i="1"/>
  <c r="F2974" i="1"/>
  <c r="F2973" i="1"/>
  <c r="F2972" i="1"/>
  <c r="F2971" i="1"/>
  <c r="F2970"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2" i="1"/>
  <c r="F2928" i="1"/>
  <c r="F2924" i="1"/>
  <c r="F2923" i="1"/>
  <c r="F2922" i="1"/>
  <c r="F2917" i="1"/>
  <c r="F2916" i="1"/>
  <c r="F2915" i="1"/>
  <c r="F2914" i="1"/>
  <c r="F2913" i="1"/>
  <c r="F2912" i="1"/>
  <c r="F2910" i="1"/>
  <c r="F2906" i="1"/>
  <c r="F2902" i="1"/>
  <c r="F2901" i="1"/>
  <c r="F2900" i="1"/>
  <c r="F2895" i="1"/>
  <c r="F2894" i="1"/>
  <c r="F2893" i="1"/>
  <c r="F2892" i="1"/>
  <c r="F2887" i="1"/>
  <c r="F2886" i="1"/>
  <c r="F2885" i="1"/>
  <c r="F2884" i="1"/>
  <c r="F2883" i="1"/>
  <c r="F2882" i="1"/>
  <c r="F2881" i="1"/>
  <c r="F2880" i="1"/>
  <c r="F2879" i="1"/>
  <c r="F2878" i="1"/>
  <c r="F2877" i="1"/>
  <c r="F2876" i="1"/>
  <c r="F2875" i="1"/>
  <c r="F2874" i="1"/>
  <c r="F2873" i="1"/>
  <c r="F2872" i="1"/>
  <c r="F2871" i="1"/>
  <c r="F2870" i="1"/>
  <c r="F2869" i="1"/>
  <c r="F2864" i="1"/>
  <c r="F2863" i="1"/>
  <c r="F2862" i="1"/>
  <c r="F2861" i="1"/>
  <c r="F2860" i="1"/>
  <c r="F2859" i="1"/>
  <c r="F2858" i="1"/>
  <c r="F2857" i="1"/>
  <c r="F2856" i="1"/>
  <c r="F2855"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3" i="1"/>
  <c r="F2812" i="1"/>
  <c r="F2811" i="1"/>
  <c r="F2810" i="1"/>
  <c r="F2809" i="1"/>
  <c r="F2808" i="1"/>
  <c r="F2807" i="1"/>
  <c r="F2806" i="1"/>
  <c r="F2805" i="1"/>
  <c r="F2804"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6" i="1"/>
  <c r="F2762" i="1"/>
  <c r="F2761" i="1"/>
  <c r="F2760" i="1"/>
  <c r="F2759" i="1"/>
  <c r="F2758" i="1"/>
  <c r="F2757" i="1"/>
  <c r="F2756" i="1"/>
  <c r="F2755"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19" i="1"/>
  <c r="F2718" i="1"/>
  <c r="F2717" i="1"/>
  <c r="F2716" i="1"/>
  <c r="F2715" i="1"/>
  <c r="F2714" i="1"/>
  <c r="F2713" i="1"/>
  <c r="F2712" i="1"/>
  <c r="F2711" i="1"/>
  <c r="F2706" i="1"/>
  <c r="F2705" i="1"/>
  <c r="F2703" i="1"/>
  <c r="F2702" i="1"/>
  <c r="F2701" i="1"/>
  <c r="F2700" i="1"/>
  <c r="F2699" i="1"/>
  <c r="F2698" i="1"/>
  <c r="F2697" i="1"/>
  <c r="F2696" i="1"/>
  <c r="F2695" i="1"/>
  <c r="F2694" i="1"/>
  <c r="F2692" i="1"/>
  <c r="F2691" i="1"/>
  <c r="F2690" i="1"/>
  <c r="F2689" i="1"/>
  <c r="F2685" i="1"/>
  <c r="F2687" i="1" s="1"/>
  <c r="F2680" i="1"/>
  <c r="F2679" i="1"/>
  <c r="F2678" i="1"/>
  <c r="F2677"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79" i="1"/>
  <c r="E2477" i="1"/>
  <c r="F2423" i="1"/>
  <c r="F2422" i="1"/>
  <c r="F2421" i="1"/>
  <c r="F2419" i="1"/>
  <c r="F2418" i="1"/>
  <c r="F2417" i="1"/>
  <c r="F2290" i="1"/>
  <c r="F2289"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2" i="1"/>
  <c r="F2231" i="1"/>
  <c r="F2230" i="1"/>
  <c r="F2229" i="1"/>
  <c r="F2228" i="1"/>
  <c r="F2227" i="1"/>
  <c r="F2226" i="1"/>
  <c r="F2225" i="1"/>
  <c r="F2224" i="1"/>
  <c r="F2223" i="1"/>
  <c r="F2222" i="1"/>
  <c r="F2221" i="1"/>
  <c r="F2220" i="1"/>
  <c r="F2219" i="1"/>
  <c r="F2218" i="1"/>
  <c r="F2217" i="1"/>
  <c r="F2216" i="1"/>
  <c r="F2215" i="1"/>
  <c r="F2214" i="1"/>
  <c r="F2213" i="1"/>
  <c r="F2212" i="1"/>
  <c r="F2207" i="1"/>
  <c r="F2206" i="1"/>
  <c r="F2205" i="1"/>
  <c r="F2204" i="1"/>
  <c r="F2203" i="1"/>
  <c r="F2202" i="1"/>
  <c r="F2201" i="1"/>
  <c r="F2200" i="1"/>
  <c r="F2199" i="1"/>
  <c r="F2198" i="1"/>
  <c r="F2197" i="1"/>
  <c r="F2196" i="1"/>
  <c r="F2195"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2" i="1"/>
  <c r="F2151" i="1"/>
  <c r="F2150" i="1"/>
  <c r="F2149" i="1"/>
  <c r="F2148" i="1"/>
  <c r="F2147" i="1"/>
  <c r="F2146" i="1"/>
  <c r="F2145"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59" i="1"/>
  <c r="F2054" i="1"/>
  <c r="F2053" i="1"/>
  <c r="F2052" i="1"/>
  <c r="F2051" i="1"/>
  <c r="F2050" i="1"/>
  <c r="F2049" i="1"/>
  <c r="F2048" i="1"/>
  <c r="F2047" i="1"/>
  <c r="F2046" i="1"/>
  <c r="F2045" i="1"/>
  <c r="F2043" i="1"/>
  <c r="F2042" i="1"/>
  <c r="F2037" i="1"/>
  <c r="F2036" i="1"/>
  <c r="F2035" i="1"/>
  <c r="F2030" i="1"/>
  <c r="F2029" i="1"/>
  <c r="F2028" i="1"/>
  <c r="F2027" i="1"/>
  <c r="F2026" i="1"/>
  <c r="F2025" i="1"/>
  <c r="F2024" i="1"/>
  <c r="F2023" i="1"/>
  <c r="F2022" i="1"/>
  <c r="F2021" i="1"/>
  <c r="F2019" i="1"/>
  <c r="F2015" i="1"/>
  <c r="F2014" i="1"/>
  <c r="F2013" i="1"/>
  <c r="F2012" i="1"/>
  <c r="F2011" i="1"/>
  <c r="F2010" i="1"/>
  <c r="F2008" i="1"/>
  <c r="F2004" i="1"/>
  <c r="F2003" i="1"/>
  <c r="F2002" i="1"/>
  <c r="F2001" i="1"/>
  <c r="F2000" i="1"/>
  <c r="F1999" i="1"/>
  <c r="F1997" i="1"/>
  <c r="F1993" i="1"/>
  <c r="F1992" i="1"/>
  <c r="F1991" i="1"/>
  <c r="F1990" i="1"/>
  <c r="F1989" i="1"/>
  <c r="F1987" i="1"/>
  <c r="F1983" i="1"/>
  <c r="F1982" i="1"/>
  <c r="F1981" i="1"/>
  <c r="F1980" i="1"/>
  <c r="F1979" i="1"/>
  <c r="F1974" i="1"/>
  <c r="F1973" i="1"/>
  <c r="F1972" i="1"/>
  <c r="F1971" i="1"/>
  <c r="F1970" i="1"/>
  <c r="F1969" i="1"/>
  <c r="F1968" i="1"/>
  <c r="F1967" i="1"/>
  <c r="F1966" i="1"/>
  <c r="F1965" i="1"/>
  <c r="F1960" i="1"/>
  <c r="F1959" i="1"/>
  <c r="F1958" i="1"/>
  <c r="F1957" i="1"/>
  <c r="F1956" i="1"/>
  <c r="F1955" i="1"/>
  <c r="F1954" i="1"/>
  <c r="F1953" i="1"/>
  <c r="F1952" i="1"/>
  <c r="F1951" i="1"/>
  <c r="F1950" i="1"/>
  <c r="F1949" i="1"/>
  <c r="F1944" i="1"/>
  <c r="F1943" i="1"/>
  <c r="F1942" i="1"/>
  <c r="F1941" i="1"/>
  <c r="F1940" i="1"/>
  <c r="F1939" i="1"/>
  <c r="F1938" i="1"/>
  <c r="F1937" i="1"/>
  <c r="F1936" i="1"/>
  <c r="F1935" i="1"/>
  <c r="F1934" i="1"/>
  <c r="F1933" i="1"/>
  <c r="F1932" i="1"/>
  <c r="F1931" i="1"/>
  <c r="F1926" i="1"/>
  <c r="F1925" i="1"/>
  <c r="F1924" i="1"/>
  <c r="F1923" i="1"/>
  <c r="F1922" i="1"/>
  <c r="F1921" i="1"/>
  <c r="F1920" i="1"/>
  <c r="F1919" i="1"/>
  <c r="F1918" i="1"/>
  <c r="F1917" i="1"/>
  <c r="F1916" i="1"/>
  <c r="F1914" i="1"/>
  <c r="F1913" i="1"/>
  <c r="F1912" i="1"/>
  <c r="F1911" i="1"/>
  <c r="F1910" i="1"/>
  <c r="F1909" i="1"/>
  <c r="F1908" i="1"/>
  <c r="F1907" i="1"/>
  <c r="F1906" i="1"/>
  <c r="F1905" i="1"/>
  <c r="F1899" i="1"/>
  <c r="F1898" i="1"/>
  <c r="F1897" i="1"/>
  <c r="F1896" i="1"/>
  <c r="F1895" i="1"/>
  <c r="F1894" i="1"/>
  <c r="F1893" i="1"/>
  <c r="F1892" i="1"/>
  <c r="F1891" i="1"/>
  <c r="F1889" i="1"/>
  <c r="F1887" i="1"/>
  <c r="F1886" i="1"/>
  <c r="F1885" i="1"/>
  <c r="F1883" i="1"/>
  <c r="F1882" i="1"/>
  <c r="F1880" i="1"/>
  <c r="F1878" i="1"/>
  <c r="F1877" i="1"/>
  <c r="F1875" i="1"/>
  <c r="F1874" i="1"/>
  <c r="F1872" i="1"/>
  <c r="F1870" i="1"/>
  <c r="F1868" i="1"/>
  <c r="F1866" i="1"/>
  <c r="F1864" i="1"/>
  <c r="F1862" i="1"/>
  <c r="F1861" i="1"/>
  <c r="I1860" i="1"/>
  <c r="F1860" i="1"/>
  <c r="F1854" i="1"/>
  <c r="F1853" i="1"/>
  <c r="F1851" i="1"/>
  <c r="F1850" i="1"/>
  <c r="F1846" i="1"/>
  <c r="F1845" i="1"/>
  <c r="F1844" i="1"/>
  <c r="F1843" i="1"/>
  <c r="F1842" i="1"/>
  <c r="F1841" i="1"/>
  <c r="F1840" i="1"/>
  <c r="F1839" i="1"/>
  <c r="F1838" i="1"/>
  <c r="F1837" i="1"/>
  <c r="F1836" i="1"/>
  <c r="F1835" i="1"/>
  <c r="F1834" i="1"/>
  <c r="F1831" i="1"/>
  <c r="F1826" i="1"/>
  <c r="F1816" i="1"/>
  <c r="F1815" i="1"/>
  <c r="F1814" i="1"/>
  <c r="F1813" i="1"/>
  <c r="F1812" i="1"/>
  <c r="F1809" i="1"/>
  <c r="F1808" i="1"/>
  <c r="F1807" i="1"/>
  <c r="F1806" i="1"/>
  <c r="F1805" i="1"/>
  <c r="F1804" i="1"/>
  <c r="F1803" i="1"/>
  <c r="F1802" i="1"/>
  <c r="F1801" i="1"/>
  <c r="F1800" i="1"/>
  <c r="F1799" i="1"/>
  <c r="F1798" i="1"/>
  <c r="F1797" i="1"/>
  <c r="F1792" i="1"/>
  <c r="F1791" i="1"/>
  <c r="F1790" i="1"/>
  <c r="F1789" i="1"/>
  <c r="F1788" i="1"/>
  <c r="F1787" i="1"/>
  <c r="F1786" i="1"/>
  <c r="F1785" i="1"/>
  <c r="F1784" i="1"/>
  <c r="F1783" i="1"/>
  <c r="F1782" i="1"/>
  <c r="F1763" i="1"/>
  <c r="F1762" i="1"/>
  <c r="F1761" i="1"/>
  <c r="F1760" i="1"/>
  <c r="F1759" i="1"/>
  <c r="F1758" i="1"/>
  <c r="F1757" i="1"/>
  <c r="F1756" i="1"/>
  <c r="F1755" i="1"/>
  <c r="F1754" i="1"/>
  <c r="F1753" i="1"/>
  <c r="F1748" i="1"/>
  <c r="F1747" i="1"/>
  <c r="F1746" i="1"/>
  <c r="F1745" i="1"/>
  <c r="F1740" i="1"/>
  <c r="F1739" i="1"/>
  <c r="F1738" i="1"/>
  <c r="F1733" i="1"/>
  <c r="F1732" i="1"/>
  <c r="F1731" i="1"/>
  <c r="F1730" i="1"/>
  <c r="F1729" i="1"/>
  <c r="F1728" i="1"/>
  <c r="F1727" i="1"/>
  <c r="F1726" i="1"/>
  <c r="F1724" i="1"/>
  <c r="F1723" i="1"/>
  <c r="F1722" i="1"/>
  <c r="F1720" i="1"/>
  <c r="F1719" i="1"/>
  <c r="F1718" i="1"/>
  <c r="F1714" i="1"/>
  <c r="F1713" i="1"/>
  <c r="F1712" i="1"/>
  <c r="F1711" i="1"/>
  <c r="F1710" i="1"/>
  <c r="F1709" i="1"/>
  <c r="F1708" i="1"/>
  <c r="F1707" i="1"/>
  <c r="F1706" i="1"/>
  <c r="F1705" i="1"/>
  <c r="F1704" i="1"/>
  <c r="F1703" i="1"/>
  <c r="F1702" i="1"/>
  <c r="F1701" i="1"/>
  <c r="F1700" i="1"/>
  <c r="F1699" i="1"/>
  <c r="F1698" i="1"/>
  <c r="F1697" i="1"/>
  <c r="F1696" i="1"/>
  <c r="F1695" i="1"/>
  <c r="F1694" i="1"/>
  <c r="F1692" i="1"/>
  <c r="F1691" i="1"/>
  <c r="F1690" i="1"/>
  <c r="F1687" i="1"/>
  <c r="F1686" i="1"/>
  <c r="F1685" i="1"/>
  <c r="F1684" i="1"/>
  <c r="F1683" i="1"/>
  <c r="F1682" i="1"/>
  <c r="F1681" i="1"/>
  <c r="F1680" i="1"/>
  <c r="F1679" i="1"/>
  <c r="F1678" i="1"/>
  <c r="F1677" i="1"/>
  <c r="F1672" i="1"/>
  <c r="F1671" i="1"/>
  <c r="F1670" i="1"/>
  <c r="F1669" i="1"/>
  <c r="F1668" i="1"/>
  <c r="F1667" i="1"/>
  <c r="F1666" i="1"/>
  <c r="F1665" i="1"/>
  <c r="F1664" i="1"/>
  <c r="F1663" i="1"/>
  <c r="F1662"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29" i="1"/>
  <c r="F1628" i="1"/>
  <c r="F1626" i="1"/>
  <c r="F1625" i="1"/>
  <c r="F1624" i="1"/>
  <c r="F1623" i="1"/>
  <c r="F1622" i="1"/>
  <c r="F1621"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L1587" i="1"/>
  <c r="F1587" i="1"/>
  <c r="F1586" i="1"/>
  <c r="F1585" i="1"/>
  <c r="F1584" i="1"/>
  <c r="F1583" i="1"/>
  <c r="F1582" i="1"/>
  <c r="F1581" i="1"/>
  <c r="F1580" i="1"/>
  <c r="F1579" i="1"/>
  <c r="F1578" i="1"/>
  <c r="F1577" i="1"/>
  <c r="F1576" i="1"/>
  <c r="F1575" i="1"/>
  <c r="F1574" i="1"/>
  <c r="F1573" i="1"/>
  <c r="F1572" i="1"/>
  <c r="F1571" i="1"/>
  <c r="F1570" i="1"/>
  <c r="F1569" i="1"/>
  <c r="F1568" i="1"/>
  <c r="F1567" i="1"/>
  <c r="F1565"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89" i="1"/>
  <c r="F1453" i="1"/>
  <c r="F1452" i="1"/>
  <c r="F1449" i="1"/>
  <c r="F1444" i="1"/>
  <c r="F1443" i="1"/>
  <c r="F1442" i="1"/>
  <c r="F1441" i="1"/>
  <c r="F1440" i="1"/>
  <c r="F1439" i="1"/>
  <c r="F1438" i="1"/>
  <c r="F1437" i="1"/>
  <c r="F1436" i="1"/>
  <c r="F1435" i="1"/>
  <c r="F1434" i="1"/>
  <c r="F1429" i="1"/>
  <c r="F1428" i="1"/>
  <c r="F1427" i="1"/>
  <c r="F1422" i="1"/>
  <c r="F1421" i="1"/>
  <c r="F1420" i="1"/>
  <c r="F1419" i="1"/>
  <c r="F1418" i="1"/>
  <c r="F1417" i="1"/>
  <c r="F1416" i="1"/>
  <c r="F1415" i="1"/>
  <c r="F1414" i="1"/>
  <c r="F1408" i="1"/>
  <c r="F1407" i="1"/>
  <c r="F1406" i="1"/>
  <c r="F1405" i="1"/>
  <c r="F1404" i="1"/>
  <c r="F1403" i="1"/>
  <c r="F1398" i="1"/>
  <c r="F1397" i="1"/>
  <c r="F1396" i="1"/>
  <c r="F1395" i="1"/>
  <c r="F1394" i="1"/>
  <c r="F1393" i="1"/>
  <c r="F1392" i="1"/>
  <c r="F1391" i="1"/>
  <c r="F1390" i="1"/>
  <c r="F1389" i="1"/>
  <c r="F1388" i="1"/>
  <c r="F1387" i="1"/>
  <c r="F1386" i="1"/>
  <c r="F1381" i="1"/>
  <c r="F1380" i="1"/>
  <c r="F1379" i="1"/>
  <c r="F1378" i="1"/>
  <c r="F1377" i="1"/>
  <c r="F1376" i="1"/>
  <c r="F1375" i="1"/>
  <c r="F1374" i="1"/>
  <c r="F1373" i="1"/>
  <c r="F1372" i="1"/>
  <c r="F1371" i="1"/>
  <c r="F1370" i="1"/>
  <c r="F1369" i="1"/>
  <c r="F1368" i="1"/>
  <c r="F1364" i="1"/>
  <c r="F1363" i="1"/>
  <c r="F1362" i="1"/>
  <c r="F1361" i="1"/>
  <c r="F1360" i="1"/>
  <c r="F1359" i="1"/>
  <c r="F1358" i="1"/>
  <c r="F1357" i="1"/>
  <c r="F1352" i="1"/>
  <c r="F1351" i="1"/>
  <c r="F1350" i="1"/>
  <c r="F1349" i="1"/>
  <c r="F1348" i="1"/>
  <c r="F1347" i="1"/>
  <c r="F1346" i="1"/>
  <c r="F1345" i="1"/>
  <c r="F1344" i="1"/>
  <c r="F1343" i="1"/>
  <c r="F1342" i="1"/>
  <c r="F1341" i="1"/>
  <c r="F1340" i="1"/>
  <c r="F1339" i="1"/>
  <c r="F1334" i="1"/>
  <c r="F1333" i="1"/>
  <c r="F1332" i="1"/>
  <c r="F1331" i="1"/>
  <c r="F1330" i="1"/>
  <c r="F1329" i="1"/>
  <c r="F1328" i="1"/>
  <c r="F1323" i="1"/>
  <c r="F1322" i="1"/>
  <c r="F1321" i="1"/>
  <c r="L1320" i="1"/>
  <c r="F1320" i="1"/>
  <c r="L1319" i="1"/>
  <c r="F1319" i="1"/>
  <c r="L1318" i="1"/>
  <c r="F1318" i="1"/>
  <c r="L1317" i="1"/>
  <c r="F1317" i="1"/>
  <c r="L1316" i="1"/>
  <c r="F1316" i="1"/>
  <c r="L1315" i="1"/>
  <c r="F1315" i="1"/>
  <c r="F1314" i="1"/>
  <c r="F1313" i="1"/>
  <c r="F1312" i="1"/>
  <c r="F1311" i="1"/>
  <c r="F1310" i="1"/>
  <c r="F1309" i="1"/>
  <c r="F1308" i="1"/>
  <c r="F1307" i="1"/>
  <c r="F1306" i="1"/>
  <c r="F1305" i="1"/>
  <c r="F1304" i="1"/>
  <c r="F1303" i="1"/>
  <c r="F1302" i="1"/>
  <c r="F1301" i="1"/>
  <c r="F1300" i="1"/>
  <c r="F1295" i="1"/>
  <c r="F1294" i="1"/>
  <c r="F1293" i="1"/>
  <c r="F1292"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3" i="1"/>
  <c r="F1232" i="1"/>
  <c r="F1231" i="1"/>
  <c r="F1230" i="1"/>
  <c r="F1228" i="1"/>
  <c r="F1227" i="1"/>
  <c r="F1226" i="1"/>
  <c r="F1224" i="1"/>
  <c r="F1223" i="1"/>
  <c r="F1222" i="1"/>
  <c r="F1221" i="1"/>
  <c r="F1220" i="1"/>
  <c r="F1219" i="1"/>
  <c r="F1218" i="1"/>
  <c r="F1217" i="1"/>
  <c r="F1216" i="1"/>
  <c r="F1215" i="1"/>
  <c r="F1214" i="1"/>
  <c r="F1213" i="1"/>
  <c r="F1212" i="1"/>
  <c r="F1211" i="1"/>
  <c r="F1210" i="1"/>
  <c r="F1208" i="1"/>
  <c r="F1204" i="1"/>
  <c r="F1203"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49"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16" i="1"/>
  <c r="F1115" i="1"/>
  <c r="F1114" i="1"/>
  <c r="F1113" i="1"/>
  <c r="F1112" i="1"/>
  <c r="F1111" i="1"/>
  <c r="F1106" i="1"/>
  <c r="F1105" i="1"/>
  <c r="F1104" i="1"/>
  <c r="F1103" i="1"/>
  <c r="F1102" i="1"/>
  <c r="F1101" i="1"/>
  <c r="F1100" i="1"/>
  <c r="F1099" i="1"/>
  <c r="F1098" i="1"/>
  <c r="F1097" i="1"/>
  <c r="F1096" i="1"/>
  <c r="F1095" i="1"/>
  <c r="F1094" i="1"/>
  <c r="F1089" i="1"/>
  <c r="F1088" i="1"/>
  <c r="F1087" i="1"/>
  <c r="F1086" i="1"/>
  <c r="F1085" i="1"/>
  <c r="F1084" i="1"/>
  <c r="F1083" i="1"/>
  <c r="F1082" i="1"/>
  <c r="F1081" i="1"/>
  <c r="F1080" i="1"/>
  <c r="F1079" i="1"/>
  <c r="F1078" i="1"/>
  <c r="F1073" i="1"/>
  <c r="F1072" i="1"/>
  <c r="F1071" i="1"/>
  <c r="F1070" i="1"/>
  <c r="F1069" i="1"/>
  <c r="F1068" i="1"/>
  <c r="F1065" i="1"/>
  <c r="F1064" i="1"/>
  <c r="F1059" i="1"/>
  <c r="F1058" i="1"/>
  <c r="F1057" i="1"/>
  <c r="F1052" i="1"/>
  <c r="F1051" i="1"/>
  <c r="F1050" i="1"/>
  <c r="F1049" i="1"/>
  <c r="F1048" i="1"/>
  <c r="F1047" i="1"/>
  <c r="F1042" i="1"/>
  <c r="F1041" i="1"/>
  <c r="F1040" i="1"/>
  <c r="F1039" i="1"/>
  <c r="F1038" i="1"/>
  <c r="F1037" i="1"/>
  <c r="F1036" i="1"/>
  <c r="F1035" i="1"/>
  <c r="F1030" i="1"/>
  <c r="F1029" i="1"/>
  <c r="F1024" i="1"/>
  <c r="F1023" i="1"/>
  <c r="F1022" i="1"/>
  <c r="F1017" i="1"/>
  <c r="F1016" i="1"/>
  <c r="F1011" i="1"/>
  <c r="F1010" i="1"/>
  <c r="F1009" i="1"/>
  <c r="F1008" i="1"/>
  <c r="F1007" i="1"/>
  <c r="F1006" i="1"/>
  <c r="F999" i="1"/>
  <c r="F998" i="1"/>
  <c r="F99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8" i="1"/>
  <c r="F947" i="1"/>
  <c r="F946" i="1"/>
  <c r="F945" i="1"/>
  <c r="F944" i="1"/>
  <c r="F942" i="1"/>
  <c r="F935" i="1"/>
  <c r="F934" i="1"/>
  <c r="F93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4" i="1"/>
  <c r="F883" i="1"/>
  <c r="F882" i="1"/>
  <c r="F881" i="1"/>
  <c r="F880" i="1"/>
  <c r="F878" i="1"/>
  <c r="F876" i="1"/>
  <c r="F872" i="1"/>
  <c r="F871" i="1"/>
  <c r="F870" i="1"/>
  <c r="F865" i="1"/>
  <c r="F864" i="1"/>
  <c r="F863" i="1"/>
  <c r="F862" i="1"/>
  <c r="F861" i="1"/>
  <c r="F860" i="1"/>
  <c r="F859" i="1"/>
  <c r="F858" i="1"/>
  <c r="F851" i="1"/>
  <c r="F850" i="1"/>
  <c r="F84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0" i="1"/>
  <c r="F799" i="1"/>
  <c r="F798" i="1"/>
  <c r="F797" i="1"/>
  <c r="F796" i="1"/>
  <c r="F794" i="1"/>
  <c r="F788" i="1"/>
  <c r="F787" i="1"/>
  <c r="F782" i="1"/>
  <c r="F781" i="1"/>
  <c r="F776" i="1"/>
  <c r="F778" i="1" s="1"/>
  <c r="F771" i="1"/>
  <c r="F766" i="1"/>
  <c r="F765" i="1"/>
  <c r="F764" i="1"/>
  <c r="F757" i="1"/>
  <c r="F756" i="1"/>
  <c r="F755" i="1"/>
  <c r="F744" i="1"/>
  <c r="F743" i="1"/>
  <c r="F742" i="1"/>
  <c r="F741" i="1"/>
  <c r="F740" i="1"/>
  <c r="F739" i="1"/>
  <c r="F738" i="1"/>
  <c r="F737" i="1"/>
  <c r="F736" i="1"/>
  <c r="F735" i="1"/>
  <c r="F734" i="1"/>
  <c r="F733" i="1"/>
  <c r="F732" i="1"/>
  <c r="F731" i="1"/>
  <c r="F730" i="1"/>
  <c r="F729" i="1"/>
  <c r="F728" i="1"/>
  <c r="I727" i="1"/>
  <c r="F727" i="1"/>
  <c r="F726" i="1"/>
  <c r="F725" i="1"/>
  <c r="F724" i="1"/>
  <c r="F723" i="1"/>
  <c r="F722" i="1"/>
  <c r="F721" i="1"/>
  <c r="F720" i="1"/>
  <c r="F719" i="1"/>
  <c r="F718" i="1"/>
  <c r="F717" i="1"/>
  <c r="F716" i="1"/>
  <c r="I715" i="1"/>
  <c r="F715" i="1"/>
  <c r="F714" i="1"/>
  <c r="F713" i="1"/>
  <c r="F712" i="1"/>
  <c r="F711" i="1"/>
  <c r="F710" i="1"/>
  <c r="F709" i="1"/>
  <c r="F708" i="1"/>
  <c r="F706" i="1"/>
  <c r="F705" i="1"/>
  <c r="F704" i="1"/>
  <c r="F703" i="1"/>
  <c r="F702" i="1"/>
  <c r="F700" i="1"/>
  <c r="F698" i="1"/>
  <c r="F697" i="1"/>
  <c r="F691" i="1"/>
  <c r="F690" i="1"/>
  <c r="F689" i="1"/>
  <c r="F670" i="1"/>
  <c r="F669" i="1"/>
  <c r="F668" i="1"/>
  <c r="F667" i="1"/>
  <c r="F666" i="1"/>
  <c r="F665" i="1"/>
  <c r="F664" i="1"/>
  <c r="F663" i="1"/>
  <c r="F662" i="1"/>
  <c r="F661"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0" i="1"/>
  <c r="F629" i="1"/>
  <c r="F628" i="1"/>
  <c r="F627" i="1"/>
  <c r="F626" i="1"/>
  <c r="F624" i="1"/>
  <c r="F619" i="1"/>
  <c r="F618" i="1"/>
  <c r="F617" i="1"/>
  <c r="F611" i="1"/>
  <c r="F610" i="1"/>
  <c r="F609" i="1"/>
  <c r="F608" i="1"/>
  <c r="F607" i="1"/>
  <c r="F606" i="1"/>
  <c r="F605" i="1"/>
  <c r="F604" i="1"/>
  <c r="F603" i="1"/>
  <c r="F602" i="1"/>
  <c r="F601" i="1"/>
  <c r="F600" i="1"/>
  <c r="F598" i="1"/>
  <c r="F597" i="1"/>
  <c r="F596" i="1"/>
  <c r="F595" i="1"/>
  <c r="F594" i="1"/>
  <c r="F593" i="1"/>
  <c r="F592" i="1"/>
  <c r="F591" i="1"/>
  <c r="F590" i="1"/>
  <c r="F589" i="1"/>
  <c r="F588" i="1"/>
  <c r="F587" i="1"/>
  <c r="F586" i="1"/>
  <c r="F581" i="1"/>
  <c r="F580" i="1"/>
  <c r="F579" i="1"/>
  <c r="F578" i="1"/>
  <c r="F577" i="1"/>
  <c r="F576" i="1"/>
  <c r="F571" i="1"/>
  <c r="F570" i="1"/>
  <c r="F569" i="1"/>
  <c r="F568" i="1"/>
  <c r="F567" i="1"/>
  <c r="F566" i="1"/>
  <c r="F565" i="1"/>
  <c r="F564" i="1"/>
  <c r="F563" i="1"/>
  <c r="F558" i="1"/>
  <c r="F557" i="1"/>
  <c r="F556" i="1"/>
  <c r="F555" i="1"/>
  <c r="F554" i="1"/>
  <c r="F553" i="1"/>
  <c r="F551" i="1"/>
  <c r="F538" i="1"/>
  <c r="F537" i="1"/>
  <c r="F536" i="1"/>
  <c r="F535" i="1"/>
  <c r="F534" i="1"/>
  <c r="F533" i="1"/>
  <c r="F532" i="1"/>
  <c r="F531" i="1"/>
  <c r="F529" i="1"/>
  <c r="F528" i="1"/>
  <c r="F527" i="1"/>
  <c r="F526" i="1"/>
  <c r="F525" i="1"/>
  <c r="F524" i="1"/>
  <c r="F523" i="1"/>
  <c r="F522" i="1"/>
  <c r="F521" i="1"/>
  <c r="F520" i="1"/>
  <c r="F519" i="1"/>
  <c r="F518" i="1"/>
  <c r="F517" i="1"/>
  <c r="F512" i="1"/>
  <c r="F511" i="1"/>
  <c r="F510" i="1"/>
  <c r="F509" i="1"/>
  <c r="F504" i="1"/>
  <c r="F503" i="1"/>
  <c r="F502" i="1"/>
  <c r="F501" i="1"/>
  <c r="F500" i="1"/>
  <c r="F499" i="1"/>
  <c r="F498" i="1"/>
  <c r="F487" i="1"/>
  <c r="F486" i="1"/>
  <c r="F485" i="1"/>
  <c r="F484" i="1"/>
  <c r="F483" i="1"/>
  <c r="F482" i="1"/>
  <c r="F413" i="1"/>
  <c r="F409" i="1"/>
  <c r="F408" i="1"/>
  <c r="F406" i="1"/>
  <c r="F405" i="1"/>
  <c r="F402" i="1"/>
  <c r="F401" i="1"/>
  <c r="F400" i="1"/>
  <c r="F399" i="1"/>
  <c r="F398" i="1"/>
  <c r="F397" i="1"/>
  <c r="F395" i="1"/>
  <c r="F394" i="1"/>
  <c r="F393" i="1"/>
  <c r="F390" i="1"/>
  <c r="F389" i="1"/>
  <c r="F388" i="1"/>
  <c r="F383" i="1"/>
  <c r="F381" i="1"/>
  <c r="F379" i="1"/>
  <c r="F378" i="1"/>
  <c r="F377" i="1"/>
  <c r="F376" i="1"/>
  <c r="F375" i="1"/>
  <c r="F372" i="1"/>
  <c r="F371" i="1"/>
  <c r="F370" i="1"/>
  <c r="F369" i="1"/>
  <c r="F368" i="1"/>
  <c r="F367" i="1"/>
  <c r="F362" i="1"/>
  <c r="F361" i="1"/>
  <c r="F360" i="1"/>
  <c r="F358" i="1"/>
  <c r="F354" i="1"/>
  <c r="F353" i="1"/>
  <c r="F352" i="1"/>
  <c r="F351" i="1"/>
  <c r="F350" i="1"/>
  <c r="F349" i="1"/>
  <c r="F348" i="1"/>
  <c r="F346" i="1"/>
  <c r="D344" i="1"/>
  <c r="D336" i="1"/>
  <c r="D338" i="1" s="1"/>
  <c r="F329" i="1"/>
  <c r="F328" i="1"/>
  <c r="F327" i="1"/>
  <c r="F326" i="1"/>
  <c r="F325" i="1"/>
  <c r="F324" i="1"/>
  <c r="F323" i="1"/>
  <c r="F322" i="1"/>
  <c r="F321" i="1"/>
  <c r="F320" i="1"/>
  <c r="F319" i="1"/>
  <c r="F314" i="1"/>
  <c r="F313" i="1"/>
  <c r="F312" i="1"/>
  <c r="F311" i="1"/>
  <c r="F310" i="1"/>
  <c r="F309" i="1"/>
  <c r="F308" i="1"/>
  <c r="F306" i="1"/>
  <c r="F305" i="1"/>
  <c r="F304" i="1"/>
  <c r="F303" i="1"/>
  <c r="F302" i="1"/>
  <c r="F297" i="1"/>
  <c r="F296" i="1"/>
  <c r="F285" i="1"/>
  <c r="F284" i="1"/>
  <c r="F283" i="1"/>
  <c r="F282" i="1"/>
  <c r="F281" i="1"/>
  <c r="F276" i="1"/>
  <c r="F275" i="1"/>
  <c r="F274" i="1"/>
  <c r="F273" i="1"/>
  <c r="F272" i="1"/>
  <c r="F267" i="1"/>
  <c r="F266" i="1"/>
  <c r="F265" i="1"/>
  <c r="F264" i="1"/>
  <c r="F263" i="1"/>
  <c r="F262" i="1"/>
  <c r="F261" i="1"/>
  <c r="F256" i="1"/>
  <c r="F255" i="1"/>
  <c r="F254" i="1"/>
  <c r="F253" i="1"/>
  <c r="F252" i="1"/>
  <c r="F251" i="1"/>
  <c r="F250" i="1"/>
  <c r="F249" i="1"/>
  <c r="F248" i="1"/>
  <c r="F247" i="1"/>
  <c r="F246" i="1"/>
  <c r="F245" i="1"/>
  <c r="F244" i="1"/>
  <c r="F239" i="1"/>
  <c r="F238" i="1"/>
  <c r="F237" i="1"/>
  <c r="F236" i="1"/>
  <c r="F235" i="1"/>
  <c r="F230" i="1"/>
  <c r="F229" i="1"/>
  <c r="F228" i="1"/>
  <c r="F227" i="1"/>
  <c r="F226" i="1"/>
  <c r="F225" i="1"/>
  <c r="F224" i="1"/>
  <c r="F223" i="1"/>
  <c r="F222" i="1"/>
  <c r="F217" i="1"/>
  <c r="F216" i="1"/>
  <c r="F215" i="1"/>
  <c r="F214" i="1"/>
  <c r="F213" i="1"/>
  <c r="F212" i="1"/>
  <c r="F211" i="1"/>
  <c r="F210" i="1"/>
  <c r="F209" i="1"/>
  <c r="F208" i="1"/>
  <c r="F207" i="1"/>
  <c r="F202" i="1"/>
  <c r="F201" i="1"/>
  <c r="F200" i="1"/>
  <c r="F199" i="1"/>
  <c r="F198" i="1"/>
  <c r="F197" i="1"/>
  <c r="F196" i="1"/>
  <c r="F195" i="1"/>
  <c r="F194" i="1"/>
  <c r="F193" i="1"/>
  <c r="F192" i="1"/>
  <c r="F187" i="1"/>
  <c r="F186" i="1"/>
  <c r="F185" i="1"/>
  <c r="F184" i="1"/>
  <c r="F183" i="1"/>
  <c r="F182" i="1"/>
  <c r="F181" i="1"/>
  <c r="F180" i="1"/>
  <c r="F179" i="1"/>
  <c r="F178" i="1"/>
  <c r="F177" i="1"/>
  <c r="F176" i="1"/>
  <c r="F175" i="1"/>
  <c r="F170" i="1"/>
  <c r="F165" i="1"/>
  <c r="F164" i="1"/>
  <c r="F163" i="1"/>
  <c r="F162" i="1"/>
  <c r="F157" i="1"/>
  <c r="F152" i="1"/>
  <c r="F147" i="1"/>
  <c r="F146" i="1"/>
  <c r="F145" i="1"/>
  <c r="F144" i="1"/>
  <c r="F143" i="1"/>
  <c r="F142" i="1"/>
  <c r="F141" i="1"/>
  <c r="F140" i="1"/>
  <c r="F135" i="1"/>
  <c r="F134" i="1"/>
  <c r="F133" i="1"/>
  <c r="F132" i="1"/>
  <c r="F131" i="1"/>
  <c r="F130" i="1"/>
  <c r="F125" i="1"/>
  <c r="F124" i="1"/>
  <c r="F123" i="1"/>
  <c r="F122" i="1"/>
  <c r="F121" i="1"/>
  <c r="F120" i="1"/>
  <c r="F119" i="1"/>
  <c r="F118" i="1"/>
  <c r="F113" i="1"/>
  <c r="F112" i="1"/>
  <c r="F111" i="1"/>
  <c r="F110" i="1"/>
  <c r="F109" i="1"/>
  <c r="F108" i="1"/>
  <c r="F107" i="1"/>
  <c r="F106" i="1"/>
  <c r="F101" i="1"/>
  <c r="F100" i="1"/>
  <c r="F99" i="1"/>
  <c r="F91" i="1"/>
  <c r="F90" i="1"/>
  <c r="F89" i="1"/>
  <c r="F79" i="1"/>
  <c r="F78" i="1"/>
  <c r="F77" i="1"/>
  <c r="F69" i="1"/>
  <c r="F65" i="1"/>
  <c r="F64" i="1"/>
  <c r="F63" i="1"/>
  <c r="F62" i="1"/>
  <c r="F61" i="1"/>
  <c r="F60" i="1"/>
  <c r="F59" i="1"/>
  <c r="F58" i="1"/>
  <c r="F57" i="1"/>
  <c r="F56" i="1"/>
  <c r="F55" i="1"/>
  <c r="F54" i="1"/>
  <c r="F50" i="1"/>
  <c r="F46" i="1"/>
  <c r="F45" i="1"/>
  <c r="F44" i="1"/>
  <c r="F43" i="1"/>
  <c r="F42" i="1"/>
  <c r="F41" i="1"/>
  <c r="F40" i="1"/>
  <c r="F39" i="1"/>
  <c r="F38" i="1"/>
  <c r="F37" i="1"/>
  <c r="F36" i="1"/>
  <c r="F35" i="1"/>
  <c r="F32" i="1"/>
  <c r="F28" i="1"/>
  <c r="F27" i="1"/>
  <c r="F26" i="1"/>
  <c r="F25" i="1"/>
  <c r="F24" i="1"/>
  <c r="F23" i="1"/>
  <c r="F22" i="1"/>
  <c r="F21" i="1"/>
  <c r="F20" i="1"/>
  <c r="F19" i="1"/>
  <c r="F18" i="1"/>
  <c r="F17" i="1"/>
  <c r="F16" i="1"/>
  <c r="F15" i="1"/>
  <c r="F14" i="1"/>
  <c r="F7" i="1"/>
  <c r="F6" i="1"/>
  <c r="F5" i="1"/>
  <c r="F3" i="1"/>
  <c r="F5421" i="1" l="1"/>
  <c r="F5402" i="1"/>
  <c r="F5389" i="1"/>
  <c r="F621" i="1"/>
  <c r="F5105" i="1"/>
  <c r="F5348" i="1"/>
  <c r="F1206" i="1"/>
  <c r="F5328" i="1"/>
  <c r="F1856" i="1"/>
  <c r="F1985" i="1"/>
  <c r="F3647" i="1"/>
  <c r="E3860" i="1" s="1"/>
  <c r="F1075" i="1"/>
  <c r="F1235" i="1"/>
  <c r="F1818" i="1"/>
  <c r="F1821" i="1" s="1"/>
  <c r="F1383" i="1"/>
  <c r="F1013" i="1"/>
  <c r="F1026" i="1"/>
  <c r="F2908" i="1"/>
  <c r="F3602" i="1"/>
  <c r="E3859" i="1" s="1"/>
  <c r="F768" i="1"/>
  <c r="F2039" i="1"/>
  <c r="F1119" i="1"/>
  <c r="F2897" i="1"/>
  <c r="F3072" i="1"/>
  <c r="F3164" i="1"/>
  <c r="F3280" i="1"/>
  <c r="F4231" i="1"/>
  <c r="E4466" i="1" s="1"/>
  <c r="F761" i="1"/>
  <c r="F874" i="1"/>
  <c r="F278" i="1"/>
  <c r="F2981" i="1"/>
  <c r="F3845" i="1"/>
  <c r="E3863" i="1" s="1"/>
  <c r="F1032" i="1"/>
  <c r="L1322" i="1" a="1"/>
  <c r="L1322" i="1" s="1"/>
  <c r="F1976" i="1"/>
  <c r="F4186" i="1"/>
  <c r="E4465" i="1" s="1"/>
  <c r="F4452" i="1"/>
  <c r="E4469" i="1" s="1"/>
  <c r="F1054" i="1"/>
  <c r="F1446" i="1"/>
  <c r="F1674" i="1"/>
  <c r="F1742" i="1"/>
  <c r="F4587" i="1"/>
  <c r="F4644" i="1"/>
  <c r="F4740" i="1"/>
  <c r="F5011" i="1"/>
  <c r="F5086" i="1"/>
  <c r="F9" i="1"/>
  <c r="F258" i="1"/>
  <c r="F241" i="1"/>
  <c r="F356" i="1"/>
  <c r="F364" i="1"/>
  <c r="F583" i="1"/>
  <c r="F790" i="1"/>
  <c r="F867" i="1"/>
  <c r="F1019" i="1"/>
  <c r="F1525" i="1"/>
  <c r="I1697" i="1"/>
  <c r="F1848" i="1"/>
  <c r="F2006" i="1"/>
  <c r="F2919" i="1"/>
  <c r="F2990" i="1"/>
  <c r="F4052" i="1"/>
  <c r="E4463" i="1" s="1"/>
  <c r="F4806" i="1"/>
  <c r="F4938" i="1"/>
  <c r="F4999" i="1"/>
  <c r="F5193" i="1"/>
  <c r="F316" i="1"/>
  <c r="F331" i="1"/>
  <c r="F560" i="1"/>
  <c r="F855" i="1"/>
  <c r="F1108" i="1"/>
  <c r="F1289" i="1"/>
  <c r="F1354" i="1"/>
  <c r="F1400" i="1"/>
  <c r="F1631" i="1"/>
  <c r="I1670" i="1"/>
  <c r="F2708" i="1"/>
  <c r="F2764" i="1"/>
  <c r="F3088" i="1"/>
  <c r="F3468" i="1"/>
  <c r="E3857" i="1" s="1"/>
  <c r="F3703" i="1"/>
  <c r="E3861" i="1" s="1"/>
  <c r="F3932" i="1"/>
  <c r="E4462" i="1" s="1"/>
  <c r="F4494" i="1"/>
  <c r="F4712" i="1"/>
  <c r="F4862" i="1"/>
  <c r="F5159" i="1"/>
  <c r="F5175" i="1"/>
  <c r="F5233" i="1"/>
  <c r="F48" i="1"/>
  <c r="F204" i="1"/>
  <c r="F219" i="1"/>
  <c r="F541" i="1"/>
  <c r="F939" i="1"/>
  <c r="F1003" i="1"/>
  <c r="F1091" i="1"/>
  <c r="F1563" i="1"/>
  <c r="F1716" i="1"/>
  <c r="F1765" i="1"/>
  <c r="F1995" i="1"/>
  <c r="F2682" i="1"/>
  <c r="F2815" i="1"/>
  <c r="F2889" i="1"/>
  <c r="F3294" i="1"/>
  <c r="F3798" i="1"/>
  <c r="E3862" i="1" s="1"/>
  <c r="M4600" i="1"/>
  <c r="M4602" i="1" s="1"/>
  <c r="F4928" i="1"/>
  <c r="F5115" i="1"/>
  <c r="F67" i="1"/>
  <c r="F682" i="1"/>
  <c r="F695" i="1" s="1"/>
  <c r="F1794" i="1"/>
  <c r="F4141" i="1"/>
  <c r="E4464" i="1" s="1"/>
  <c r="F4405" i="1"/>
  <c r="E4468" i="1" s="1"/>
  <c r="F103" i="1"/>
  <c r="F149" i="1"/>
  <c r="F189" i="1"/>
  <c r="F299" i="1"/>
  <c r="F30" i="1"/>
  <c r="F506" i="1"/>
  <c r="F614" i="1"/>
  <c r="F631" i="1"/>
  <c r="F1297" i="1"/>
  <c r="F1750" i="1"/>
  <c r="F1901" i="1"/>
  <c r="I1910" i="1"/>
  <c r="F1962" i="1"/>
  <c r="F2032" i="1"/>
  <c r="F2425" i="1"/>
  <c r="F4290" i="1"/>
  <c r="E4467" i="1" s="1"/>
  <c r="F5067" i="1"/>
  <c r="F115" i="1"/>
  <c r="F167" i="1"/>
  <c r="F232" i="1"/>
  <c r="F269" i="1"/>
  <c r="F287" i="1"/>
  <c r="F495" i="1"/>
  <c r="F514" i="1"/>
  <c r="F573" i="1"/>
  <c r="F1044" i="1"/>
  <c r="F1061" i="1"/>
  <c r="F1336" i="1"/>
  <c r="F1424" i="1"/>
  <c r="F1431" i="1"/>
  <c r="F1735" i="1"/>
  <c r="F2930" i="1"/>
  <c r="F3051" i="1"/>
  <c r="F3557" i="1"/>
  <c r="E3858" i="1" s="1"/>
  <c r="F5210" i="1"/>
  <c r="F5243" i="1"/>
  <c r="F127" i="1"/>
  <c r="F137" i="1"/>
  <c r="F411" i="1"/>
  <c r="F784" i="1"/>
  <c r="F1325" i="1"/>
  <c r="F1410" i="1"/>
  <c r="F1946" i="1"/>
  <c r="F2017" i="1"/>
  <c r="F2721" i="1"/>
  <c r="F2752" i="1"/>
  <c r="F2866" i="1"/>
  <c r="F3221" i="1"/>
  <c r="F4973" i="1"/>
  <c r="F5135" i="1"/>
  <c r="F5307" i="1"/>
  <c r="F5318" i="1"/>
  <c r="F1928" i="1"/>
  <c r="F5260" i="1"/>
  <c r="F5273" i="1"/>
  <c r="F5253" i="1"/>
  <c r="E3864" i="1" l="1"/>
  <c r="J2701" i="1"/>
  <c r="E4470" i="1"/>
  <c r="F178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<sst xmlns="http://schemas.openxmlformats.org/spreadsheetml/2006/main" count="10245" uniqueCount="2618">
  <si>
    <t>ITEM</t>
  </si>
  <si>
    <t>DESCRIPTION</t>
  </si>
  <si>
    <t>QTY</t>
  </si>
  <si>
    <t>UNIT</t>
  </si>
  <si>
    <t xml:space="preserve"> RATE </t>
  </si>
  <si>
    <t xml:space="preserve"> AMOUNT </t>
  </si>
  <si>
    <t>Supply and installation of Alumex Aluminum profiles with 5mm clear glass  and other necessary items.</t>
  </si>
  <si>
    <t>Supply and installation of Alumex Aluminum Shop front profiles with partition and 5mm clear glass and other necessary items.</t>
  </si>
  <si>
    <t>Supply and installation of KCB profiles with cupboard and work top with other necessary items.</t>
  </si>
  <si>
    <t>Sq/ft</t>
  </si>
  <si>
    <t>Grand Total</t>
  </si>
  <si>
    <t>Item</t>
  </si>
  <si>
    <t>Plumbing work, heat valve, flexible horse and 2 No's zink unit.</t>
  </si>
  <si>
    <t xml:space="preserve"> </t>
  </si>
  <si>
    <t>Supply and fixing 13 AMP x 10 plug bases, necessary wire for 3/036 wire, earth wire, P.V.C casing and all the work.</t>
  </si>
  <si>
    <t>Site cleaning, temporary watchman and storage hut and setting out work.</t>
  </si>
  <si>
    <t>excavations wok for column pit trenches and other excavation and refiling work.</t>
  </si>
  <si>
    <t>screed concrete for 3" thick under concrete.</t>
  </si>
  <si>
    <t>12mm tor steel, 6mm stirrups, bending and binding, formwork, concrete work, and necessary all the work for 9"x9" floor beams</t>
  </si>
  <si>
    <t>16mm, 10mm tor steel bars, 6mm stirrups, binding and bending, formwork, concrete work and necessary all the work for column bases,  9"x9" concrete columns upto ground level.</t>
  </si>
  <si>
    <t>reinforcement work and bending, binding, 16mm , 12mm tor steel, 6mm stirrup, formwork, 1:2:4 mix concreting and all the necessary work for 1st floor concrete slab beam.</t>
  </si>
  <si>
    <t>12mm tor steel, 6mm stirrups, bending and binding, formwork, concrete work, and necessary all the work for ground floor to 1st floor concrete columns.</t>
  </si>
  <si>
    <t>Supply and apply all the necessary goods, concreting,12mm tor steel, 6mm stirrups, bending and binding, formwork for 9" thick base concrete</t>
  </si>
  <si>
    <t>Supply goods and do the masonary work for ground level cement block walls.</t>
  </si>
  <si>
    <t>Supply and apply 3" thick floor concrete for ground floor area.</t>
  </si>
  <si>
    <t>6"x4" thick concrete, form work and 10mm torsteel and all the work for ground floor lintel.</t>
  </si>
  <si>
    <t>Supply and apply 3/4" thick wall plaster for external walls for rogue plaster.</t>
  </si>
  <si>
    <t>Supply and apply 3/4" thick cement wall plaster, 2 coat wall potty, 1 coat wall filler and 2 coat pentalite paint for ground floor internal walls.</t>
  </si>
  <si>
    <t>Supply and apply 2 coats wall potty, wall filler, 2 coats pentalite painting and all the work for ground floor soffit area.</t>
  </si>
  <si>
    <t>Supply and apply all the necessary goods,shutter,formwork,steel jacks, 1:2:4 mix concrete, 4" thick slab concrete for 1st floor slab level.</t>
  </si>
  <si>
    <t>Cubes</t>
  </si>
  <si>
    <t>S/ft</t>
  </si>
  <si>
    <t>Cu/ft</t>
  </si>
  <si>
    <t>L/ft</t>
  </si>
  <si>
    <t>Supply and apply all the necessary goods, concreting,10mm tor steel, 6mm stirrups, bending and binding, formwork for 9" thick base concrete</t>
  </si>
  <si>
    <t>12mm tor steel, 6mm stirrups, bending and binding, formwork, concrete work, and necessary all the work for ground level concrete columns</t>
  </si>
  <si>
    <t>12mm tor steel, 6mm stirrups, bending and binding, formwork, concrete work, and necessary all the work for floor beams</t>
  </si>
  <si>
    <t>12mm tor steel, 6mm stirrups, bending and binding, formwork, concrete work, and necessary all the work for 9"x9" concrete columns upto 1st floor.</t>
  </si>
  <si>
    <t>10mm tor steel, bending and binding, formwork, concrete work, steel props and necessary all the work for 4" thick slab area.</t>
  </si>
  <si>
    <t>12mm tor steel, 6mm stirrups, bending and binding, formwork, concrete work, and necessary all the work for 1st floor slab beams.</t>
  </si>
  <si>
    <t>Supply and apply 3" thick floor concrete for floor area.</t>
  </si>
  <si>
    <t>Supply and apply all the necessary goods for 4" thick cement block walls.</t>
  </si>
  <si>
    <t>Supply and apply 2 coats wall potty, wall filler, 2 coats wall paint and all the work internal walls.</t>
  </si>
  <si>
    <t>External wall plaster and weather shield paint and necessary work</t>
  </si>
  <si>
    <t>Reinforcement work</t>
  </si>
  <si>
    <t>Notes</t>
  </si>
  <si>
    <t>Rate to include for following .</t>
  </si>
  <si>
    <t>a).High yield Tor Steel reinforcement in the following.</t>
  </si>
  <si>
    <t>Note</t>
  </si>
  <si>
    <t>b).All reinforcements shall be free of mill scale,dirt,oil,paint,grease  or  loose  rust before fixing in position and shall be brushed with a stiff wire brush if so directed by the Engineer.</t>
  </si>
  <si>
    <t>c).Rate shall include for cutting,bending,fabricating, placing in position, holding and supporting including temporary fixing supprots,hangers,binding wire spacers and waste.</t>
  </si>
  <si>
    <t>columns</t>
  </si>
  <si>
    <t>beams</t>
  </si>
  <si>
    <t>Concrete work</t>
  </si>
  <si>
    <t>concrete slab mesh</t>
  </si>
  <si>
    <t>Rates for concrete works includes the</t>
  </si>
  <si>
    <t>following</t>
  </si>
  <si>
    <t>a) Mixing, hoisting &amp; placing in position</t>
  </si>
  <si>
    <t>b) Vibrating &amp; curing as directed by the Engineer.</t>
  </si>
  <si>
    <t>c) Making good after removal of form work.</t>
  </si>
  <si>
    <t>e)Concrete  cube  tests  to  be  carried out as directed by the Engineer.</t>
  </si>
  <si>
    <t>slab</t>
  </si>
  <si>
    <t>Kg</t>
  </si>
  <si>
    <t>Form work</t>
  </si>
  <si>
    <t>a).Rate shall include for all necessary boardings,supports,erecting,framing,c cutting angles,striking or removal,cleaning, applying mold oil, etc…</t>
  </si>
  <si>
    <t>b).Rates for form work shall include to received specified finish in the schedule of finishes in the respective</t>
  </si>
  <si>
    <t>areas.</t>
  </si>
  <si>
    <t>c).Type of form work shall be plywood and/ or steel to receive fair face concrete surface on removal of the</t>
  </si>
  <si>
    <t>form work unless specified elsewhere.</t>
  </si>
  <si>
    <t>Sides of Column shafts</t>
  </si>
  <si>
    <t>Sides of  roof beams</t>
  </si>
  <si>
    <t>Soffit of slab</t>
  </si>
  <si>
    <t>In columns bases</t>
  </si>
  <si>
    <t>Beams in first floor slab</t>
  </si>
  <si>
    <t>d) The necessary props, joints, struts,scafoldings, etc..., for form work.</t>
  </si>
  <si>
    <t>cubes</t>
  </si>
  <si>
    <t>Sqr</t>
  </si>
  <si>
    <t>Supply and masonry work 3/4" thick wall plaster for necessary sand, cement, scaffolding and all the work for internal walls.</t>
  </si>
  <si>
    <t>Supply and masonry work 3/4" thick wall plaster rouge finish for external wall plaster.</t>
  </si>
  <si>
    <t>Supply and apply 2 coats wall potty, 1 coat wall filler, and 2 coats pentalite painting . Necessary sand paper, and all the goods for external walls.</t>
  </si>
  <si>
    <t>Supply and apply 2 coats weather Shield  wall paint for external wall paint.</t>
  </si>
  <si>
    <t>Supply and apply 2 coat wall potty, 1 coat wall filler, 2 coats pentalite paint for ground floor and 1st floor soffit area.</t>
  </si>
  <si>
    <t>3/4" thick cement bed, 2'0"x2'0" Rocell tiles (color selected by client), tile adisaw grouting, and all the finishing work for ground and 1st floor area.</t>
  </si>
  <si>
    <t>Supply and laying 2'0"x1'0" Rocell Tile grouting, and finishing work for ground floor and 1st floor bathroom walls area.</t>
  </si>
  <si>
    <t>Supply and fixing Rocell Cement aqua, comerd, wash besing, shower, bathing accessories, and finishing work.(indludes plumbing work)</t>
  </si>
  <si>
    <t>Items</t>
  </si>
  <si>
    <t>Supply and apply 3/4" thick wall plaster, 3 coat wall putty, 1 coat wall filler, and 2 coat pentalite painting for upper floor internal walls.</t>
  </si>
  <si>
    <t>Supply and apply 3/4" thick semi rough wall plaster for upper ground floor external wall plaster, 1 coat wall filler, 2 coats weather shield paint (including scafolding and all goods).</t>
  </si>
  <si>
    <t>Fixing and finishing work for door frames.</t>
  </si>
  <si>
    <t>Supply and masonry work, sand, cement and finishing work for ground floor cement bed area.(includes bathroom area)</t>
  </si>
  <si>
    <t>Supply and masonry work. Front side(shop) cement block walls and river side garage half walls, living area balcony walls and 1st floor temporary wall for staircase.</t>
  </si>
  <si>
    <t>2" thick concrete plate for kitchen party top cement bed and finishing work.</t>
  </si>
  <si>
    <t>Supply and laying corry dust, interlock blocks (color selected by client) and all the finishing work for garage floor area.</t>
  </si>
  <si>
    <t>2 coats wall putty, 1 coat filler, and 2 coats pentalite painting for ground floor soffit area.</t>
  </si>
  <si>
    <t>Supply and masonry work 6" thick brick walls including scafoldings and the necessary work for 1st floor brick walls.</t>
  </si>
  <si>
    <t>6"x8", 10mm tor steel, formwork, and necessary all the work for concrete lintel.</t>
  </si>
  <si>
    <t>3/4" thick wall plaster, wall putty, 1 coat wall filler, 2 coat pentalite wall painting  and all the work for internal walls.</t>
  </si>
  <si>
    <t>3/4" thick wall plaster (semi rough), 1 coat wall filler, 2 coat weather shield, wall painting and all the work.</t>
  </si>
  <si>
    <t>supply and laying cement bed for floor area.</t>
  </si>
  <si>
    <t>Supply and apply auto painting for front office cashier table and showcase and other work</t>
  </si>
  <si>
    <t>Cleaning and wirebrushing for extra roofing area for roof painting and all the work.</t>
  </si>
  <si>
    <t>masonry work for front side concrete work and 2no's gully and paint work.</t>
  </si>
  <si>
    <t>Painting work for river side canapy roof - 3No's</t>
  </si>
  <si>
    <t>Cleaning and painting for lawyer office, hand railing and roller door.</t>
  </si>
  <si>
    <t>Supply and painting for lawyer office front side floor paint.</t>
  </si>
  <si>
    <t>underground floor front side external wall paint area.</t>
  </si>
  <si>
    <t>Masonry work and repairing work for 21'0" L/ft valley gutters and necessary all the work for roof repairing work.</t>
  </si>
  <si>
    <t>Supply and necessary all the work for 1st floor coridow between master bed room and bathroom, slab beams 4" thick concrete and all the work - 35 sq/ft</t>
  </si>
  <si>
    <t>6" thick brick wall, concrete lintol and finishing work for balcony parapet wall.</t>
  </si>
  <si>
    <t>Supply and masonry work for 6" thick brick wall (terrance area room)</t>
  </si>
  <si>
    <t>10mm torsteel, form work and all the work for 6"x6" thick concrete lintel.</t>
  </si>
  <si>
    <t>Supply and fixing scafolding and necessary work for external wall semi rough wall plaster (3/4" thick).</t>
  </si>
  <si>
    <t xml:space="preserve"> wooden work for 3 No's window frames and window, 1 No door frame and door with lock, hingers and other work.</t>
  </si>
  <si>
    <t>2"x2", 2"x1", 3/4"x3/4" box bar, welding and other work, external painting, and all the work for open area hand railing (15 sq/ft).</t>
  </si>
  <si>
    <t>Site cleaning, setting out, watchmen and store</t>
  </si>
  <si>
    <t>Excavation work for column pit retaining wall, foundation and back filling, all the work for balcony area.</t>
  </si>
  <si>
    <t>2" thick screed concrete for column pit and retaining wall.</t>
  </si>
  <si>
    <t>10mm, 12mm tor steel binding, bending  and concreting for column pit and upto ground level 9"x9" columns.</t>
  </si>
  <si>
    <t>12mm tor steel, 6mm stirrups, binding, formwork, concreting and necessary all the work for 9"x9" floor beams.</t>
  </si>
  <si>
    <t xml:space="preserve">10mm tor steel, 6mm stirrups, binding, formwork, concreting and all the work for 9"x9" columns upto 1st floor level </t>
  </si>
  <si>
    <t>10mm tor steel, formwork, concreting for 5" thick retaining wall.</t>
  </si>
  <si>
    <t>12mm tor steel, 6mm stirrups, binding, formwork, steel props, concreting and necessary work for 9"x9" slab beams.</t>
  </si>
  <si>
    <t>10mm tor steel, bending and binding, formwork for 3/4 plywood boards, steel props, concreting and necessary all the work for 1st floor slab area.</t>
  </si>
  <si>
    <t xml:space="preserve">12mm tor steel, formwork and necessary work for upto 1st floor level staircase </t>
  </si>
  <si>
    <t>Supply and masonry work for 6" thick brick wall. Bed room, bath room and kitchen area walls.</t>
  </si>
  <si>
    <t>3" thick plain concrete for bed room, bathroom, and kitchen area floor concrete(include the compact soil).</t>
  </si>
  <si>
    <t>Bathroom, bedroom, kitchen wall plaster for internal walls and soffit area (include for wall putty 3 coats, 1 coat wall filler).</t>
  </si>
  <si>
    <t>No</t>
  </si>
  <si>
    <t>Supply and masonry work for 9" thick brick wall, necessary scafolding and all the work.</t>
  </si>
  <si>
    <t>Supply and masonry work for 6" thick brick walls.</t>
  </si>
  <si>
    <t>12mm tor steel, 6mm stirrups, binding, form work, concreting and necessary work for 9"x9" concrete column.</t>
  </si>
  <si>
    <t>12mm tor steel, 6mm stirrups, binding, form work, jacks and necessary work for 9"x9" beams.</t>
  </si>
  <si>
    <t>10mm tor steel, binding, form work, jacks, concreting and necessary all the work for 6"x9" lintel.</t>
  </si>
  <si>
    <t>Supply and masonry work 3/4" thick wall plaster for lintel walls (includes wall putty, filler 1 coat, and 2 coat emultion paint)</t>
  </si>
  <si>
    <t>soffit and beams, putty and painting work.</t>
  </si>
  <si>
    <t>6"x2", 4"x2", 2"x2" timber, heat resistense foile, 4'x4' ceiling sheet, roofing sheets and necessary painting work (water base and emultion) and all the work for roofing area.</t>
  </si>
  <si>
    <t>Valance board and P.V.C gutters.</t>
  </si>
  <si>
    <t>Clips and fixing down pipes.</t>
  </si>
  <si>
    <t>Cement bed and laying floor tile as well as grouting for floor area.</t>
  </si>
  <si>
    <t>Supply and masonry work for 9" thick brick walls.</t>
  </si>
  <si>
    <t>12mm tor steel, 6mm stirrups, binding, form work and necessary work for 9"x9" concrete columns.</t>
  </si>
  <si>
    <t>12mm tor steel, 6mm stirrups, and all the work for 9"x9" beams.</t>
  </si>
  <si>
    <t>10mm tor steel, form work, jacks and necessary work for 9"x6" concrete lintel.</t>
  </si>
  <si>
    <t>6"x2", 4"x2", 2"x2" timber, 4"x4" ceiling sheets, asbastos roofing sheets, foil and ridge cap and all the work for roofing area. (with painting)</t>
  </si>
  <si>
    <t>valance board and P.V.C (S LON box type) gutters.</t>
  </si>
  <si>
    <t>3/4" thick wall plaster, wall putty, 1 coat wall filler, 2 coat emulsion paint, and necessary all the work for internal walls.</t>
  </si>
  <si>
    <t>clips and fixing and necessary work for P.V.C down pipes.</t>
  </si>
  <si>
    <t>2 coats weather shield paint for external walls.</t>
  </si>
  <si>
    <t>cement bed, tile laying, grouting and necessary work for floor area(tile supplied by client).</t>
  </si>
  <si>
    <t>12mm tor steel, form work and necessary work for 9"x9" beams/</t>
  </si>
  <si>
    <t>10mm tor steel, form work and all the work for 6"x9" lintel.</t>
  </si>
  <si>
    <t>6"x2", 4"x2", 2"x2" timber, 4'x4' ceiling sheets, roofing sheets, foil and painting and necessary all the work for roof area.</t>
  </si>
  <si>
    <t>Valance board and gutters, and necessary work.</t>
  </si>
  <si>
    <t>box type P.V.C down pipes.</t>
  </si>
  <si>
    <t>3/4" thicl wall plaster, wall putty, 1 coat wall filler, 2 coat emulsion, wall paint and all the finishing work.</t>
  </si>
  <si>
    <t>External semi rough wall plaster and 2 coat weather shield paint.</t>
  </si>
  <si>
    <t>Excavation and Back filling work.</t>
  </si>
  <si>
    <t>12mm torsteel, 10mm torsteel, 6mm stirrups, binding and screed concrete, base concrete, form work and necessary work for upto balcony level concrete column (9"x9")</t>
  </si>
  <si>
    <t>12mm torsteel, formwork and all the work for 9"x9" slab beams.</t>
  </si>
  <si>
    <t>4" thick slab concrete work and all the work for balcony area.</t>
  </si>
  <si>
    <t>6"x2" concrete pogolas(custom built) for 13'6" L/ft.</t>
  </si>
  <si>
    <t>Demolish the walls and remove all the unnecessary things and clean the site area.</t>
  </si>
  <si>
    <t>Excavation work and back fillings for column base and all the work.</t>
  </si>
  <si>
    <t>10mm, 12mm tor steel, 6mm stirrups, bending and binding for column base and upto ground level.(9"x9" columns)</t>
  </si>
  <si>
    <t>3" thick screed concrete.</t>
  </si>
  <si>
    <t>12mm tor steel, form work, concreting and necessary work for floor beam.</t>
  </si>
  <si>
    <t>12mm tor steel,  form work and necessary work for 1st floor level concrete columns (9"x9").</t>
  </si>
  <si>
    <t>12mm tor steel, form work, steel props and all the work for slab beams.</t>
  </si>
  <si>
    <t>10mm tor steel (6" CTS), form work, plywood boards, steel props, 4" thick concrete and necessary all the work for 1st floor slab.</t>
  </si>
  <si>
    <t>Supply and masonry work for cement block walls for upper floor.</t>
  </si>
  <si>
    <t>Supply and masonry work. Internal wall plaster, 3 coat wall putty, 1 coat wall filler, 2 coat pentalite paint and other work.</t>
  </si>
  <si>
    <t>Supply and masonry work, semi rough wall plaster, 2 coat wall paintm weather shield and other work.</t>
  </si>
  <si>
    <t>6"x2", 4"x2", 2"x2" timber, 4'x4' ceiling sheet, asbastos roofing sheets and painting work and all the work for servant room roofing area (includes for ridge cap, valance board, gutters, down pipes for SLON Box type)</t>
  </si>
  <si>
    <t>masonry work for cement bed for floor area.</t>
  </si>
  <si>
    <t>excavation work and back filling, column pit and floor beams foundations.</t>
  </si>
  <si>
    <t>10mm, 12mm tor steel, 6mm stirrups, bending and binding, concreting, form work and necessary work for base concrete and 9"x9" columns upto ground floor level.</t>
  </si>
  <si>
    <t>12mm tor steel, 6mm stirrups, bending and binding, formwork, concreting and all the work for 9"x9" floor beams.</t>
  </si>
  <si>
    <t>12mm  tor steel, 6mm stirrups, formwork and all the work for 9"x9" columns for ground floor level upto  1st floor slab level.</t>
  </si>
  <si>
    <t>12mm tor steel, 6mm stirrups, form work, steel props, and necessary all the work for slab beams (9"x9").</t>
  </si>
  <si>
    <t>10mm tor steel (6 CTS), binding and bending, plywood shatter boards and necessary form work, steel props, and concrete for 4" thick slab.</t>
  </si>
  <si>
    <t>No's</t>
  </si>
  <si>
    <t>Supply and masonry work for cement block walls.</t>
  </si>
  <si>
    <t>Semi rough Internal wall plaster, 2 coat wall putty, 1 coat wall filler, 1 coat Emulsion paint and other work.</t>
  </si>
  <si>
    <t>external walls rough wall plaster, 2 coat weather shield and other work.</t>
  </si>
  <si>
    <t>3"x2", 2"x2" box bar, zink aluminum roofing sheets (0.47), valance board and gutters, down pipe, velding work and all the necessary work for roof area.</t>
  </si>
  <si>
    <t>Mahogani door and window frames, doors and windows, including hingers, door locks, paint and necessary all the work.</t>
  </si>
  <si>
    <t>Supply and masonry work for brick walls.</t>
  </si>
  <si>
    <t>Excavation and breaking, refilling for column pit.</t>
  </si>
  <si>
    <t>Cube</t>
  </si>
  <si>
    <t>3" thick screed concrete, 12" thick base concrete, 10mm tor steel, binding and all the work for concrete column base.</t>
  </si>
  <si>
    <t>16mm tor steel, 6mm stirrups, binding and bending, formwork, concreting and necessary all the work for up to slab level concrete column.</t>
  </si>
  <si>
    <t>12mm tor steel, 6mm stirrups, formwork, concrete and necessary work for floor beams(9"x9").</t>
  </si>
  <si>
    <t>12mm tor steel, 8mm stirrups, formwork, concreting  and necessary work for slab beams (12"x9")</t>
  </si>
  <si>
    <t>10mm tor steel, binding, and bending, formwork for plywood boards, jacks, concreting and all the work for 4" thick concrete slab.</t>
  </si>
  <si>
    <t>Supply and masonry work for 6" thick brick wall.</t>
  </si>
  <si>
    <t>Supply and apply wall plaster and all the necessary work.</t>
  </si>
  <si>
    <t>Masonry work, supply cement, sand, scafolding and other work for 9" thick brick wall (brick supplied by client)</t>
  </si>
  <si>
    <t>Masonry work and supply cement, sand, scafolding and other work for 6" thick brick wall (brick supplied by client)</t>
  </si>
  <si>
    <t>10mm tor steel, form work, concreting and necessary work for pantry top and wet kitchen slab.</t>
  </si>
  <si>
    <t>external floor concrete for payment area and internal floor concrete area.</t>
  </si>
  <si>
    <t>supply and masonry work 3/4" thick wall plaster for internal and external.</t>
  </si>
  <si>
    <t>wet kitchen back extended slab.</t>
  </si>
  <si>
    <t>I</t>
  </si>
  <si>
    <t>12mm tor steel, 10mm stirrups, and 6mm stirrups, concrete base, and upto 1st floor level concrete column. 2 No's</t>
  </si>
  <si>
    <t>II</t>
  </si>
  <si>
    <t>12mm tor steel, 6mm stirrups, form work, concreting and necessary work for floor beams.</t>
  </si>
  <si>
    <t>III</t>
  </si>
  <si>
    <t>10mm tor steel, form work, concreting and all the work for slab area.</t>
  </si>
  <si>
    <t>IV</t>
  </si>
  <si>
    <t>12mm tor steel, formwork and necessary work for slab beam.</t>
  </si>
  <si>
    <t>1st floor new (water tank) slab area for 12mm tor steel, form work and other work for 9"x9" concrete columns.</t>
  </si>
  <si>
    <t>12mm tor steel, formwork , concreting and all the work for 2nd floor slab beam.</t>
  </si>
  <si>
    <t>10mm tor steel, form work, and all the work for water tank area concrete slab</t>
  </si>
  <si>
    <t>Excavation work for column pit and floor beams and back filling work</t>
  </si>
  <si>
    <t>3" thick screed concrete</t>
  </si>
  <si>
    <t>10mm tor steel, 9" thick base concrete, and other work for 3'x3' column base.</t>
  </si>
  <si>
    <t>12mm tor steel, 6mm stirrup, bending and binding, form work, and necessary work for 9"x9" concrete column up to 1st floor level.</t>
  </si>
  <si>
    <t>12mm tor steel, 6mm stirrup, binding, formwork, and other work for slab beams.</t>
  </si>
  <si>
    <t>12mm tor steel, formwork and all the work for 9"x9" floor beams.</t>
  </si>
  <si>
    <t>10mm tor steel, (6" CTS) form work, new plywood boards, steel props, concreting and all the work for front side slab.</t>
  </si>
  <si>
    <t>Demolish and all the demolished slab waste, and all the other trash from the site (old car porch).</t>
  </si>
  <si>
    <t>Cut the roof and remove a part and apply concrete gutters and apply down pipe for water drainage.</t>
  </si>
  <si>
    <t>Supply and masonry work for 6" thick brick wall for front side and rear side walls.</t>
  </si>
  <si>
    <t>0.47 zink aluminum sheet for side wall gutter.</t>
  </si>
  <si>
    <t>Grand total</t>
  </si>
  <si>
    <t>Payment Summary</t>
  </si>
  <si>
    <t>2nd Bill Total</t>
  </si>
  <si>
    <t>1st Bill Total</t>
  </si>
  <si>
    <t>Total Payed</t>
  </si>
  <si>
    <t>Balance Payment</t>
  </si>
  <si>
    <t>Description</t>
  </si>
  <si>
    <t>Amount</t>
  </si>
  <si>
    <t>Entrance to new bed room to concrete bridge, new store room, terace area rooms, internal and external wall paint, bathroom finish work (fittings and tile supplied by client).</t>
  </si>
  <si>
    <t xml:space="preserve">Total Received </t>
  </si>
  <si>
    <t>Balance</t>
  </si>
  <si>
    <t>12mm tor steel, 6mm stirrup binding from work, 1:2:4 mix - Grade 25 concrete work and all the necessary work for concrete column.</t>
  </si>
  <si>
    <t>Excavation and refilling column pit, 18No's for 3'.0"x3'.0"x4'.0".</t>
  </si>
  <si>
    <t>Supply and laying Base concrete for 10mm tor steel, binding and screed concrete, 1:2:4 mix concrete, 12" thick concrete base and all the necessary work.</t>
  </si>
  <si>
    <t>12mm tor steel, 6mm stirrup, binding and for work, 1:2:4 mix concrete and all the necessary work for floor beam.</t>
  </si>
  <si>
    <t>4" thick slab concrete - grade 25, including poker vibrating, leveling and form work steal jack and 10mm tor steel, binding and bending and all the necessary work for slab concrete work</t>
  </si>
  <si>
    <t>12mm tor steel, 6mm stirrup , bending and binding, formwork and all the work for 9"x9" slab beam</t>
  </si>
  <si>
    <t>Form work and concrete tor steel and all the work.</t>
  </si>
  <si>
    <t>Supply and apply 1 coat emulsion paint for grand 1st and internal walls (including scafolding, necessary all the work).</t>
  </si>
  <si>
    <t>Supply and apply 1 coat emulsion paint for lintel sofit area.</t>
  </si>
  <si>
    <t>Supply and apply one coat weathershield paint for external walls.</t>
  </si>
  <si>
    <t>supply and apply 2 coat WAP water proof paint for external walls.</t>
  </si>
  <si>
    <t>Cut and finish work for apply varnish one coat and other window and frame, door and frame, curtain panel.</t>
  </si>
  <si>
    <t>matte black finish window gril and other work for all the gril finishing work.</t>
  </si>
  <si>
    <t>Other work</t>
  </si>
  <si>
    <t>Near the front main door varanda, in the wood ceiling remove decayed places and add new woods and apply varnish.</t>
  </si>
  <si>
    <t xml:space="preserve">front varanda roof insert nails and fix and setting up the 26 feet of platain </t>
  </si>
  <si>
    <t>in front varanda, fix the top balcony roof and setting up the 26 feet of platain.</t>
  </si>
  <si>
    <t>in back roof which is 42 feet length and 3 feet width, remove the decayed edge and fix it.</t>
  </si>
  <si>
    <t>in the main bed room, remove the broken and old steel roof plates and fix it.</t>
  </si>
  <si>
    <t>Fixing the AC mounting point in the master bedroom and fixing the removed cement blocks near the banyan tree in the front.</t>
  </si>
  <si>
    <t>Make a gutter, 8"x8", to drain the rain water. Concreting with 2" thick 2" x 2" gal manganese mesh, channeling water, length 21 feet.</t>
  </si>
  <si>
    <t>To the front porch - from the garage driveway down to 4'x12':
1.Insert 2x2 pieces of cement.
2.insert pebbles.</t>
  </si>
  <si>
    <t>The garden in front and around the house is laid out so that it drains and beds are laid</t>
  </si>
  <si>
    <t>Meshing for small openings in round windows</t>
  </si>
  <si>
    <t>Mr. Undugoda, mawilmada, kandy - quotation for renovation work.</t>
  </si>
  <si>
    <t>Installing a handle for the balcony door in the bedroom</t>
  </si>
  <si>
    <t>insert narstop for pantry cupboards. Sq/ft - 20"x5'0"+20"x3'3"+20"x20".</t>
  </si>
  <si>
    <t>Installing a teak veneer sheet on the dining table and applying matte varnish</t>
  </si>
  <si>
    <t>Refitting the right side gate so that the gate can be removed and folded back from the road side and fixing the worn and broken areas with 2 coats of Vicks primer and a coat of paint.</t>
  </si>
  <si>
    <t>Balconies on the front and sides are removed and plastered to the ratio of 1:4. Length 8'0" x 1'1/2".</t>
  </si>
  <si>
    <t>supply a towel rack and set it.</t>
  </si>
  <si>
    <t>apply converters to the tub.</t>
  </si>
  <si>
    <t>Lack of bathrooms</t>
  </si>
  <si>
    <t>supply horse to the telephone shower</t>
  </si>
  <si>
    <t>supply and set a towel rack</t>
  </si>
  <si>
    <t>set a shampoo rack under the shower</t>
  </si>
  <si>
    <t>insert a push vest tap to the wash sink</t>
  </si>
  <si>
    <t>fix the buddy shower holder</t>
  </si>
  <si>
    <t>find the water leaks and fix it.</t>
  </si>
  <si>
    <t>set a towel rack</t>
  </si>
  <si>
    <t>fix the commerd lid</t>
  </si>
  <si>
    <t>set a shampoo rack in the shower square</t>
  </si>
  <si>
    <t>to be estimated</t>
  </si>
  <si>
    <t>Cut down and remove the "Nuga" tree (Bengal Flag Banyan). Remove from the site and transport.</t>
  </si>
  <si>
    <t>Wash basin base repairing.</t>
  </si>
  <si>
    <t>Shower area grouting, water proof and water leak repair.</t>
  </si>
  <si>
    <t>set a tooth brush holder</t>
  </si>
  <si>
    <t>Commerd piston and cypon set repairing.</t>
  </si>
  <si>
    <t>A.Main Bathroom</t>
  </si>
  <si>
    <t>B.Bathroom near the staircase</t>
  </si>
  <si>
    <t>C.Down floor bathroom</t>
  </si>
  <si>
    <t>supply and apply 3/4" thick wall plaster for internal walls, necessary sand, cement, lime and scafolding and all the work.(including edgers, beams, and column plaster.)</t>
  </si>
  <si>
    <t>supply and apply 3/4" thick wall plaster for external walls, semi rough finish. Sand, cement, limes scafolding, and necessary work including edges, column, beams and other work.</t>
  </si>
  <si>
    <t>masonry work for soffit plaster, rough finish.</t>
  </si>
  <si>
    <t>Supply and laying 1" thick cement floor bed for all the floor area. (supply all the necessary goods)</t>
  </si>
  <si>
    <t>Supply tile mortar, tile grouts, tile cutting and laying floor area tile work (tile supplied by client)</t>
  </si>
  <si>
    <t>Supply tile mortar, water proof grouting, cutting, and necessary all the work for bath room wall tile work.</t>
  </si>
  <si>
    <t>Supply and arrangment point wiring, condute, 1/077 wire, 2.5 mm , 7/029 earth wire sandbox, junction box, and all the fittings and wiring work.</t>
  </si>
  <si>
    <t>light point</t>
  </si>
  <si>
    <t>13 AMP socket outlet</t>
  </si>
  <si>
    <t>15 AMP socket outlet</t>
  </si>
  <si>
    <t>M.C.B (include main switch, trip switch, 16 AMP, 10 AMP, 6 AMP, breaker and sunk type steel box)</t>
  </si>
  <si>
    <t>V</t>
  </si>
  <si>
    <t>Earth rode (all the switches, and sockets - Kevilton or Orange - Not included for light fittings)</t>
  </si>
  <si>
    <t>Supply and masonry work for 4" thick brick wall, necessary scaffolding and all the work.</t>
  </si>
  <si>
    <t>10mm tor steel, binding, form work, jacks, concreting and necessary all the work for 9"x4" lintel.</t>
  </si>
  <si>
    <t>6"x2", 4"x2", 2"x2" timber, 4"x4" ceiling sheets, asbestos roofing sheets, foil and ridge cap and all the work for roofing area. (with painting)</t>
  </si>
  <si>
    <t>18"x12" thick concrete column, concrete base,insert 3'0 concrete rings crossing the water, pinch the stone and insert 16mm tor steel, 8mm stirrups, bending and binding, formwork and 1:2:4 mix concreting and all the necessary work for concrete columns.</t>
  </si>
  <si>
    <t>16mm tor steel, 8mm stirrups, form work and concreting, 18"x12" concrete beams.</t>
  </si>
  <si>
    <t>12"x8" H iron, bolt, welding, painting and all the work for saport iron beams.</t>
  </si>
  <si>
    <t>12mm tor steel, double net and steel jack, form work, concreting and all the work for concrete bridge.</t>
  </si>
  <si>
    <t>Supply and masonry work, 4" thick cement blocks, sand, cement, scafolding and necessary all the work for 1st and 2nd floors cement block walls.</t>
  </si>
  <si>
    <t>3/4" thick wall plaster, for necessary sand, cement, scaffolding, and masonry work for lintel walls, 1st and 2nd floors walls.</t>
  </si>
  <si>
    <t>Supply and masonry work, 1" thick soffit plaster for 1st floor and 2nd floor area.</t>
  </si>
  <si>
    <t>I). Ceiling lamp</t>
  </si>
  <si>
    <t>II). Ceiling fan</t>
  </si>
  <si>
    <t>III). Wall lamp</t>
  </si>
  <si>
    <t>IV). 13AMP socket outlet</t>
  </si>
  <si>
    <t>V). 15AMP socket outlet</t>
  </si>
  <si>
    <t>VI). M.C.B Board</t>
  </si>
  <si>
    <t>VII). Bell switch</t>
  </si>
  <si>
    <t>VIII). Garden lamp</t>
  </si>
  <si>
    <t>Supply and fixing (0.47) zink aluminum, gutters, riverts, sillicon, and nut-bolts, and necessary work for 1st and upper floor gutters.</t>
  </si>
  <si>
    <t>Supply and fixing (0.47) Zink aluminum, down pipes, brakets, and all the goods and necessary work for 2nd level to ground level all down pipe installations.</t>
  </si>
  <si>
    <t>3 coats wall putty, sand papers, scaffolding, 1 coat wall filler and 2 coat emulsion painting, and finishing work for all the internal walls for 1st, 2nd and upper floor area walls and soffits.</t>
  </si>
  <si>
    <t>Supply and apply 2 coats weathershield painting for all the external walls.</t>
  </si>
  <si>
    <t>3"x3", 2"x2", 2"x1", 3/4"x3/4" box bars (2.5mm thick), welding and galvanice under coat painting, 2 coat matte finish painting and necessary work for staircase and balcony hand railing work.</t>
  </si>
  <si>
    <t>*Note - All these works should be paid by "Measure and pay" method. I would like to inform you that the other work that is not mentioned here will be started after re-estimating and submitting the other parts of the work to be done.</t>
  </si>
  <si>
    <t>4"x7"thick concrete lintel for 10mm tor steel, form work, concreting and all the other works.</t>
  </si>
  <si>
    <t>3/4" thick semi rough wall plaster, for necessary sand, cement, and outside scafolding, G.I Pipes, clamp and all the work for external wall plaster work.</t>
  </si>
  <si>
    <t>Remove the roof, Put the lintel on the walls again and re install the roof to fit the wood, 4'x4' asbastos free ceiling sheet, 2"x2" battons, 4'x2' wood rafters, heat resist foils, and wall flashing (0.47), valance boards, painting work and all the other works (Reusing and finishing all scrap wooden asbestos roofing sheets that can be used).</t>
  </si>
  <si>
    <t>point wiring for necessary 1/044,  7/036, 2.5mm earth wire, main wire, sun box, condute, bends, junson box, sunk type M.C.B box (steel), main switch, trip switch and breaker, kevilton or orange switches, socket outlet, (A.C.L fire guard wire) and all the wiring work (light fittings supplied by client).</t>
  </si>
  <si>
    <t>T.G.U Kariyawasam, Roentgens Int.(PVT)Ltd.No.116, old veralupa road, veralupa, ratnapura</t>
  </si>
  <si>
    <t>Supply and laying cement bed for 1st and 2nd floor areas, includes cleaning floor area, 1" thick cement bed, tile mortar laying floor tiles, cutting, grouting and all the finishing work (2'x2' Rocell tiles).</t>
  </si>
  <si>
    <t>Plumbing work (hot and cold), water proofing, wall tiling, bathware and fixing accessories, grouting and all the finishing work for 1st and 2nd floor bathrooms (2'x2' Rocell tiles, Rocell bath ware, and Rocell Accessories).</t>
  </si>
  <si>
    <t>Bathroom</t>
  </si>
  <si>
    <t>Date</t>
  </si>
  <si>
    <t>Payment</t>
  </si>
  <si>
    <t>Supply 6" thick brick walls for master bedrooms, 10' with the concrete frame and all the finishing work (rear side plastering and painting).</t>
  </si>
  <si>
    <t>parapet wall for reverside balcony include plastering, painting all the finishing work.</t>
  </si>
  <si>
    <t>Construction of concrete ramp for balcony to garden and preparation of garden by removing soil.</t>
  </si>
  <si>
    <t>Kitchen counters and island, bathroom counters for concreting, reinforcement, form work, brick work and cement finish and all the work.</t>
  </si>
  <si>
    <t>Apply  and masonry work and finish work for washing machine area.</t>
  </si>
  <si>
    <t>Hume pipes (3'0" diameter) 2 pipes (2 palls)for water to flow, cut the soil and prepare the road and use the soil crushing machine to make it suitable for a vehicle to complete the work.</t>
  </si>
  <si>
    <t>Supply and masonry work,3/4" thick wall plaster for internal walls include sand, cement, and scafolding and necessary all the work.</t>
  </si>
  <si>
    <t>Supply and masonry work, for external wall plaster for semi rough finish include scafolding and other goods.</t>
  </si>
  <si>
    <t>Cleaning and supply cement, sand, masonry work and all the work for floor area cement bed.</t>
  </si>
  <si>
    <t>Supply and laying 2'x2' Rocell tile grouting and necessary finishing work for floor area tile work.</t>
  </si>
  <si>
    <t>Supply and laying 1'x2' Rocell wall tile for bath room tiling and grouting and finishing work (including plumbing work and other bath ware supplied by client).</t>
  </si>
  <si>
    <t>Supply and apply 2 coat wall putty, 1 coat wall filler and 2 coat pentalite painting and finishing work internal walls.</t>
  </si>
  <si>
    <t>Supply and apply 2 coat weathershield painting for external walls.</t>
  </si>
  <si>
    <t>Supply and fixing jack or teak wood window frame, window lid, including 6mm glasses, hingers and necessary goods, water base painting and all the finishing work for 6'0'x8'0' window.</t>
  </si>
  <si>
    <t>Supply and fixing jack or teak wood door frame and door include door lock, hingers and water base painting and all the work for door and frame.</t>
  </si>
  <si>
    <t>Clearing and excavation work for concrete column.</t>
  </si>
  <si>
    <t>10mm - 2No's tor steel, bending and binding, formwork and concreting for 9"x4" concrete column, 10'0" to 10'0" feet for boundry wall (include 2'x2'x0'.5" concrete base).</t>
  </si>
  <si>
    <t>10mm tor steel, 6mm stirrups and form work, concreting and necessary all the work for 9"x9" floor beams.</t>
  </si>
  <si>
    <t>Supply and masonry work cement blocks, sand, cement and all the work for boundry wall.</t>
  </si>
  <si>
    <t>3" thick concrete lintel for wall top layer with 10mm tor steel.</t>
  </si>
  <si>
    <t>Supply and apply in side wall plaster for rough finish.</t>
  </si>
  <si>
    <t>Supply and masonry work, 4" thick cement blocks, sand, cement, scaffolding and necessary all the work for 1st and 2nd floors cement block walls.</t>
  </si>
  <si>
    <t>3/4" thick semi rough wall plaster, for necessary sand, cement, and outside scaffolding, G.I Pipes, clamp and all the work for external wall plaster work.</t>
  </si>
  <si>
    <t>Plumbing work (hot and cold), water proofing, wall tiling, bath ware and fixing accessories, grouting and all the finishing work for 1st and 2nd floor bathrooms (2'x2' Rocell tiles, Rocell bath ware, and Rocell Accessories).</t>
  </si>
  <si>
    <t>Remove the roof, Put the lintel on the walls again and re install the roof to fit the wood, 4'x4' asbestos free ceiling sheet, 2"x2" batons, 4'x2' wood rafters, heat resist foils, and wall flashing (0.47), valance boards, painting work and all the other works (Reusing and finishing all scrap wooden asbestos roofing sheets that can be used).</t>
  </si>
  <si>
    <t>Supply and fixing (0.47) Zink aluminum, gutters, riverts, silicon, and nut-bolts, and necessary work for 1st and upper floor gutters.</t>
  </si>
  <si>
    <t>Supply and fixing (0.47) Zink aluminum, down pipes, brackets, and all the goods and necessary work for 2nd level to ground level all down pipe installations.</t>
  </si>
  <si>
    <t>Supply and apply 2 coats weather shield painting for all the external walls.</t>
  </si>
  <si>
    <t>3"x3", 2"x2", 2"x1", 3/4"x3/4" box bars (2.5mm thick), welding and galvanize under coat painting, 2 coat matte finish painting and necessary work for staircase and balcony hand railing work.</t>
  </si>
  <si>
    <t>point wiring for necessary 1/044,  7/036, 2.5mm earth wire, main wire, sun box, conduit, bends, junson box, sunk type M.C.B box (steel), main switch, trip switch and breaker, kevilton or orange switches, socket outlet, (A.C.L fire guard wire) and all the wiring work (light fittings supplied by client).</t>
  </si>
  <si>
    <t>Supply and fixing aluminum window, including 8mm clear glass silicon, rubber beading, hingers and locks and necessary all the goods and other work</t>
  </si>
  <si>
    <t>Clearing and leveling for front side car park area for interlock brick laying and finish the work.</t>
  </si>
  <si>
    <t>Clearing and leveling for rever side car park and garden area, paring for interlock bricks and corry dust and all the necessary work.</t>
  </si>
  <si>
    <t>Supply and fixing PET 2000 Liters water tank, 36mm, 24mm, 12mm P.V.C pipes, sockets, bends, T joint, stop valve and necessary all the work plumbing work and provide different supply unit per each house.</t>
  </si>
  <si>
    <t>12mm tor steel, 6mm stirrups, bending and binding, formwork, concrete work, and necessary all the work for 2nd floor beams</t>
  </si>
  <si>
    <t>12mm tor steel, 6mm stirrups, bending and binding, formwork, concrete work, and necessary all the work for 2nd floor concrete columns.</t>
  </si>
  <si>
    <t>4"x2", 2"x2",3"x1" box bar, roofing sheets (0.47), valance board and gutters, down pipe,  and all the necessary work for roof area.</t>
  </si>
  <si>
    <t>front and rear side garden cleaning and site cleaning work.</t>
  </si>
  <si>
    <t>demolish and destroy outside from the site area (indlude scafolding and machine).</t>
  </si>
  <si>
    <t>Cutting and clearing roof top stair case</t>
  </si>
  <si>
    <t>ground floor, 1st floor old cement block walls</t>
  </si>
  <si>
    <t>1st floor 21'.6"x9"x12" concrete beam</t>
  </si>
  <si>
    <t>per load to remove from the site area.</t>
  </si>
  <si>
    <t>Total for demolishing work</t>
  </si>
  <si>
    <t>remove and stack, roofing sheets, wood  and other for 1st floor and roof top area old roof.</t>
  </si>
  <si>
    <t>1st floor upto roof top slab area, 9"x9" concrete column, demolish and jointing, 12mm tor steel, 6mm stirrups, form work and concreting and other work.</t>
  </si>
  <si>
    <t>9"x9" slab beams for 12mm tor steel, form work and necessary work for roof top slab beams.</t>
  </si>
  <si>
    <t>9"x12", 16mm tor steel and other work for slab beams.</t>
  </si>
  <si>
    <t>10mm tor steel (6 CTS), form work and necessary all the work for roof top slab area.</t>
  </si>
  <si>
    <t>cortyard beams and block walls</t>
  </si>
  <si>
    <t>16mm tor steel, 6mm stirrups, and other work for beams.</t>
  </si>
  <si>
    <t>3',0"x3'.0"x4'.0" excavation work for river side new column pit and back filling.</t>
  </si>
  <si>
    <t>10mm tor steel base net and concrete base.</t>
  </si>
  <si>
    <t>12mm tor steel, 6mm stirrups, bending and binding, formwork, concreting and all the work for basement upto 1st floor level slab (for 9"x9" concrete columns).</t>
  </si>
  <si>
    <t>12mm tor steel, 6mm stirrups, and other work for ground floor plinth beams.</t>
  </si>
  <si>
    <t>16mm tor steel, 6mm stirrups, and all the work for 1st floor level slab beam (9"x12").</t>
  </si>
  <si>
    <t>12mm tor steel, 6mm stirrups, form work and other, 1st floor level slab beam (concreting the old beam and other work).</t>
  </si>
  <si>
    <t>existing new slab for river side car park area.</t>
  </si>
  <si>
    <t>cement block, sand, cement, scafolding and necessary all the work for ground and 1st floor and roof top, all the walls area.</t>
  </si>
  <si>
    <t>Supply and masonry work for 3/4" thick wall plaster, internal walls, ground, 1st floor area.</t>
  </si>
  <si>
    <t>supply and masonry work, scafolding and necessary work for external wall plaster , gorund floor, 1st floor and roof top area, all the external walls.</t>
  </si>
  <si>
    <t>supply and masonry work 3/4" soffit plaster for ground floor, 1st floor and new slab area, old slab area.</t>
  </si>
  <si>
    <t>Wall flasing.</t>
  </si>
  <si>
    <t>9"x9" slab beam for 16mm tor steel and form work and necessary work for cortyard roof level slab beams.</t>
  </si>
  <si>
    <t>5" thick concrete slab for cortyard top level slab area (for fixing the water tank area).</t>
  </si>
  <si>
    <t>to install the 1st floor wood deck apply beams between columns, 12mm tor steel, 6mm stirrup, form work and concreting (welding and jointing and other).</t>
  </si>
  <si>
    <t>between ground floor level and 1st floor level cortyard, floor beam and slab beam.(new work)</t>
  </si>
  <si>
    <t>new bathroom for ground floor slab area and 1st floor slab area.</t>
  </si>
  <si>
    <t>6"x4" wood (red balaw timber) beams, 6"x2" wall mound wood (2'.0"x2'.0" CTS), 1 1/4" thick pare mara timber screw, nut and bolt, smooth finish work and parke sealer painting work and all the finishing work for timber deck floor area (include wood staircase and wood railing).</t>
  </si>
  <si>
    <t>12mm tor steel, form work, concreting and cement bed and "pare mara" wood 1" thick, parke sealer painting and box bar hand railing Painting (QD) and necessary finishing work for 1st floor level upto roof top level staircase.</t>
  </si>
  <si>
    <t>front side car park, supply and fixing 5" thick concrete plate (2'x2') to cover front drainedge.</t>
  </si>
  <si>
    <t>6"x4" wood (red balaw timber) beams, 6"x2" wall mound wood (2'.0"x2'.0" CTS), 1 1/4" thick pare mara timber screw, nut and bolt, smooth finish work and parke sealer painting work and all the finishing work for timber deck floor area (include wood staircase and wood railing). Note* - Rate for  Replacement of "Red balaw timber" to "Garndis" and "Pare mara" to "Tuna".</t>
  </si>
  <si>
    <t>370 rate</t>
  </si>
  <si>
    <t xml:space="preserve">                            -   </t>
  </si>
  <si>
    <t>Sum</t>
  </si>
  <si>
    <t>I) Cutting and clearing roof top stair case</t>
  </si>
  <si>
    <t>II) cortyard beams and block walls</t>
  </si>
  <si>
    <t>III) ground floor, 1st floor old cement block walls</t>
  </si>
  <si>
    <t>IV) 1st floor 21'.6"x9"x12" concrete beam</t>
  </si>
  <si>
    <t>Excavation work and back filling for new rubbel wall foundation.</t>
  </si>
  <si>
    <t>Rubbel, sand. Cement and necessary all the work for vehicle parking area.</t>
  </si>
  <si>
    <t>Parking area up to ground floor level staircase.</t>
  </si>
  <si>
    <t>3"x3", 2"x1 1/2", 1/2"x12/1" box bar, welding and mounting, uncer coat painting (QD), top coat painting and all the work for G.I box bar railing work.</t>
  </si>
  <si>
    <t>Excavation work and 3'.0" diameter concrete ring and top cover and all the necessary work for west water pit.</t>
  </si>
  <si>
    <t>Excavation work and 4'.0" diameter concrete rings and top cover and all the necessary work for drainage pit.</t>
  </si>
  <si>
    <t>Gravel is spread on the side walls of the road and crushed well so that the soil does not wash away and prepare the road as necessary.</t>
  </si>
  <si>
    <t>Plumbing work (hot and cold), water proofing, wall tiling, bathware and fixing accessories, grouting and all the finishing work for bathroom (2'x2' Rocell tiles, Rocell bath ware, and Rocell Accessories).</t>
  </si>
  <si>
    <t>12mm tor steel, 6mm stirrups, formwork, concreting and 9"x9" concrete slab beam.</t>
  </si>
  <si>
    <t>Form work, 10mm tor steel, binding and reinforcement work, 4" thick concreting and all the work for bath room slab area.</t>
  </si>
  <si>
    <t>4" thick cement block, sand, cement, and masonry work for bathroom walls.</t>
  </si>
  <si>
    <t>4" P.V.C and other P.V.C and all the plumbing work.</t>
  </si>
  <si>
    <t>Wall and floor tiling, grouting, and fixing barth ware and accessories (tile, Bath ware and accessories supplied by client).</t>
  </si>
  <si>
    <t>Internal wall putty and paiting.</t>
  </si>
  <si>
    <t>External wall painting.</t>
  </si>
  <si>
    <t>3/4" thick wall plaster for internal and external walls.</t>
  </si>
  <si>
    <t>Demolish and plaster and floor area and move to the outside.</t>
  </si>
  <si>
    <t>SUM</t>
  </si>
  <si>
    <t>3/4" thick wall plaster, apply 3 coat wall putty, 1 coat wall filler and 2 coat emulsion paint, and finish the work.</t>
  </si>
  <si>
    <t>4" thick floor concrete and 1" thick cement bed floor area.</t>
  </si>
  <si>
    <t>excavation work and back filling for retaining wall area.</t>
  </si>
  <si>
    <t>Supply and masonry work,rubble, sand, cement and necessary work for rubbel retaining wall.</t>
  </si>
  <si>
    <t>10mm tor steel and reinforcement work and concrete column 8No for retaining wall, 10' to 10' top level lintol beam.</t>
  </si>
  <si>
    <t>landscaping and supply, laying grass cubs and other work.</t>
  </si>
  <si>
    <t>supply and necessary work for G.I hand railing front side stair case.</t>
  </si>
  <si>
    <t>Supply and fixing scafolding and apply 2 coats weather shield paint for all the external walls.</t>
  </si>
  <si>
    <t>Supply and reinforcement work. 12mm tor steel, 6mm stirrups, binding and bending, formwork, concreting and all the necessary work for 2nd floor slab beam.</t>
  </si>
  <si>
    <t>Supply and form work, plywood boards, and 4"x2" timber, steel jack and all the shattering work. 10mm tor steel, binding, and reinforcement work (6" CTS), 4" thick (1:2:4 mix) grade 25 concreting for 2nd floor slab area.</t>
  </si>
  <si>
    <t>Supply and reinforcement work, 12mm tor steel, 6mm stirrups, binding, and formwork, concreting, and all the work for upto 2nd floor level concrete column.</t>
  </si>
  <si>
    <t>Supply and reinforcement work, 12mm tor steel, 6mm stirrups, binding, and bending, formwork, concreting and necessary all the work for 2nd floor slab beam.</t>
  </si>
  <si>
    <t>Supply and formwork, plywood boards, and 4"x2" timber, steel jacks, and all the shattering work, 10mm tor steel, binding and reinforcement work (6" CTS), 4" thick (1:2:4 mix) grade 25 concreting for 2nd floor slab area.</t>
  </si>
  <si>
    <t>All the damages caused to the walls by other outside workers will fixed and painted and clean again.</t>
  </si>
  <si>
    <t>in the site paused time period, provide salary and food for the watcher (Raja)for securing and maintaining the site.</t>
  </si>
  <si>
    <t>Months</t>
  </si>
  <si>
    <t>`</t>
  </si>
  <si>
    <t>Supply and apply 1 coat wall filler, 2 coat emulsion painting for all the internal walls including scafolding and necessary all the work.</t>
  </si>
  <si>
    <t>Supply and apply 1 coat wall filler, 2 coat emulsion painting for all the soffit and ceiling area including scafolding and necessary all the work.</t>
  </si>
  <si>
    <t>Supply and apply 2 coat weathershield paint for all the external wall area including scafoldings.</t>
  </si>
  <si>
    <t>sand paper smoothing and repainting for all the hand railing</t>
  </si>
  <si>
    <t>Supply and apply matte finish varnish and sand paper smoothing and repainting.</t>
  </si>
  <si>
    <t>Wooden ceiling smoothing by sand paper and matte finish varnish painting, including scafolding and other work.</t>
  </si>
  <si>
    <t>total expenses for 9" width "vadimbu" timber, painting and finishing roof repair which is half destroyed and expired gutters replacement, and supply and fixing all the ridge tiles.</t>
  </si>
  <si>
    <t>supply "mahogani" timber, Glasses, painting, hingers and all the necessary items to make 8 No's of 8"x2" windows</t>
  </si>
  <si>
    <t>Demolishing and re laying for rubble payment, leveling and finishing work.</t>
  </si>
  <si>
    <t>demolish for kitchen floor area and re sand bed, floor tiling, grouting and finishing work for kitchen floor area.</t>
  </si>
  <si>
    <t>water proofing, sand bed and smooth finish, cement applying and finishing work for sunset concrete slab</t>
  </si>
  <si>
    <t>External walls, kitchen walls, living and corridow floor paint, kitchen front side floor paint, and finishing work.</t>
  </si>
  <si>
    <t>fixing for bathroom aluminum and fiber glass cubicals.</t>
  </si>
  <si>
    <t>Kitchen Front floor area sand bed, color cement apply.</t>
  </si>
  <si>
    <t>main hall and clean the blocked P.V.C pipe lines and build for water flows.</t>
  </si>
  <si>
    <t>cut down and clean the roots and remainings of the front tree.</t>
  </si>
  <si>
    <t>on top of the bathroom, Apply (finco) water proofing and apply 3/4" thick cement layer to stop water leakages.</t>
  </si>
  <si>
    <t>s/m</t>
  </si>
  <si>
    <t>Excavation work, back filling, remove the tree and rubbel retaining wall for existing work.</t>
  </si>
  <si>
    <t>compacting soil, 2" thick under concrete laying, 2"x2" galwanice net and laying upto 2" thick concrete layers and finish work for road side wall.</t>
  </si>
  <si>
    <t xml:space="preserve">Supply and other work for out side window and for build a cannopy roof prevent damage from rain and sunlight (4"x2", 2"x2" kempus timber)and 0.47 thick zink aluminum roofing sheets and all the work. </t>
  </si>
  <si>
    <t>Fixing for timber frame for fiber net and necessary hingers, painting and other work.</t>
  </si>
  <si>
    <t>9"x9" concrete gate column, 4"x2" , 2"x 2" frame and 1"x1" box bar and 19'.0" feet width main gate (include hingers, paint work, and all the work)</t>
  </si>
  <si>
    <t>2'.6"x2'.0" concrete drain 18'.0"x2'.0" long L angel welding and painting work as well as other work for drain.</t>
  </si>
  <si>
    <t>9"x5" plain concrete tie beam, 1/2" G.I pipes, 3/4" G.I pipes and 6'.0" high chainlink mesh (10'.0" to 10'.0" G.I column) and all the work for boundary mesh.</t>
  </si>
  <si>
    <t xml:space="preserve">500 liters water tank to store rain water and to place it concreting the floor and plumbing work and other gardening taps and to finish all the necessary work. </t>
  </si>
  <si>
    <t>cut and remove the trees inside the garden (by siva).</t>
  </si>
  <si>
    <t>Apply pipe lines with drains from demsal garden to water meter and install 1000 liter water tank with plumbing work and ball walve and use other tools as well. 1/2" P.V.C pipes 78 and joints, sockets, bents, SLON gum and all the necessary items is used to finish this work.</t>
  </si>
  <si>
    <t>Supply and apply 3 coat wall putty, 1 coat wall filler, and 2 coat emulsion painting (dulux), work for ground, 1st and 2nd floor, all the walls and soffit area (including scafolding and all the necessary goods and other).</t>
  </si>
  <si>
    <t>Supply and apply 1 coat wall filler, 2 coat dulux weather shield, painting work for ground floor, 1st and 2nd and roof top walls and soffit area outside. (including scafolding and other goods).</t>
  </si>
  <si>
    <t>Supply and apply 3 coat waterproof weathercoat for riverside walls, scaffolding and other work.</t>
  </si>
  <si>
    <t>Supply and apply 3 coat weather shield, painting work for boundary walls.</t>
  </si>
  <si>
    <t>Supply and apply door and window painting work, smooth work, and other work (JAT paint and 1st class goods).</t>
  </si>
  <si>
    <t>Ground floor, 1st floor, 2nd floor and roof area for 4" thick ground filling is necessary, need to concrete again with chips metal. For concreting and finishing work.</t>
  </si>
  <si>
    <t>Floor tiling with tile mortar and grouting and all the necessary work (tiles will be supplied by client).</t>
  </si>
  <si>
    <t>Bathroom wall tiling with tile mortar and grouting and all the necessary work.</t>
  </si>
  <si>
    <t xml:space="preserve">4" P.V.C (drainadge line) 1 1/2" P.V.C wash waterline and water supply line for 1 1/2", 1 3/4", 1/2" pipes and stop valve, hot water  all the plumbing work </t>
  </si>
  <si>
    <t>bathware accessories, angle valves, blessiber hose ,mirror and fixing all the fittings (these items will be supplied by client)/</t>
  </si>
  <si>
    <t>Fixing the 2nd floor door window frame and door frame and wall plaster and edges finishing for necessary work (11'.0" x 9'.0" - 4 No, 8'.0" x 6'.0" - 2No, 8'.0" x 3'.0" -3 No)</t>
  </si>
  <si>
    <t>From ground floor to 2nd floor Demolish the staircase and demolish living room, dining room and kitchen area walls and remove all the remaining waste from the working site, 8'.0" x 8'.0" open dining area window and other work.</t>
  </si>
  <si>
    <t>Remove and demolish front side roof, concrete column, window and door, garage shed and brick walls.</t>
  </si>
  <si>
    <t>excavation work for column pit</t>
  </si>
  <si>
    <t>10mm tor steel, binding, bending, 2" thick screed concrete, 12" thick (1:2:4 mix) concrete base and other work for 5 No's base footing.</t>
  </si>
  <si>
    <t>12mm tor steel, 6mm stirrups, form work, and concreting for plinth beams.</t>
  </si>
  <si>
    <t>12mm tor steel, 6mm stirrups, bending and binding, form work, concreting and all the work.</t>
  </si>
  <si>
    <t>12mm tor steel, 6mm sitrrups, form work, steel jacks, concreting and other work for 1st floor level slab beams.</t>
  </si>
  <si>
    <t>10mm tor steel, binding, plywood boards and form work, steel jack, 4" thick (1:2:4 mix grade 25 concrete) and all the work for 1st floor slab area.</t>
  </si>
  <si>
    <t>5"x3" red ballow timber or teack timber window frame, hingers, glass and JAT water base painting work and all the work for 8'.0"x8'.0" door window frame.</t>
  </si>
  <si>
    <t xml:space="preserve">brick walls for 6" thick 1st floor level upto staircase area and front side floor (bucket) and bed room. </t>
  </si>
  <si>
    <t>6"x3", 4"x2", 2"x2" red ballow timber, lunumidella timber, 0.47 thick zink aluminum roofing sheet, gutters, and down pipes, and all the work for roof area (including JAT water base painting).</t>
  </si>
  <si>
    <t>Supply and masonry work 3/4" thick wall plaster.</t>
  </si>
  <si>
    <t>all the soffit area and internal wall putty, 1 coat wall filler, 2 coat emulsion paint and finishing work.</t>
  </si>
  <si>
    <t>Supply and apply 1 coat wall filler, and 2 coat weathershield paint for external wall area.</t>
  </si>
  <si>
    <t>2024/10/17 - 2nd quotation.</t>
  </si>
  <si>
    <t>2nd phase finishing work 1st bill.</t>
  </si>
  <si>
    <t>2024/11/05 - quotation 1st phase.</t>
  </si>
  <si>
    <t>2024/11/05 - quotation 2nd phase.</t>
  </si>
  <si>
    <t>2025/01/17 - quotation grand total LKR 1,722,100.00 and landscaping LKR 232,000.00 is removed and finished work total price 1,490,100.00 and amount received is LKR 797,100.00.</t>
  </si>
  <si>
    <t>2025/02/24 - quotation Item No 3 and 4 has been removed and Item No 10 related to water tank is removed and the dropped only LKR 71,000.00 and the grand total for that quotation is LKR. 1,625,700.00.</t>
  </si>
  <si>
    <t>Total</t>
  </si>
  <si>
    <t xml:space="preserve">Received </t>
  </si>
  <si>
    <t>Currency</t>
  </si>
  <si>
    <t>LKR</t>
  </si>
  <si>
    <t>Total Balance</t>
  </si>
  <si>
    <t>extended lada chain link fence for 80 L/ft and rate of 2650.00</t>
  </si>
  <si>
    <t>Tiles</t>
  </si>
  <si>
    <t>Ground floor kitchen, living and office area floor tiles</t>
  </si>
  <si>
    <t>Outside open varanda.</t>
  </si>
  <si>
    <t>Powder room</t>
  </si>
  <si>
    <t>1st floor master bedroom.</t>
  </si>
  <si>
    <t>15 usa, 80 palala adi, 1200x1520 sqft 1,800,000+</t>
  </si>
  <si>
    <t>outside varanda</t>
  </si>
  <si>
    <t>bathroom floor area</t>
  </si>
  <si>
    <t>Walls</t>
  </si>
  <si>
    <t>Bedroom 2nd floor area</t>
  </si>
  <si>
    <t>bathroom wall area</t>
  </si>
  <si>
    <t>bedroom 3rd floor area</t>
  </si>
  <si>
    <t>TV room and Living area</t>
  </si>
  <si>
    <t>Outside varanda</t>
  </si>
  <si>
    <t>floor tile</t>
  </si>
  <si>
    <t>wall tile</t>
  </si>
  <si>
    <t>Woods</t>
  </si>
  <si>
    <t>12" x 8'.8" wood</t>
  </si>
  <si>
    <t>12" x 8'.8"  wood</t>
  </si>
  <si>
    <t>6"x7'.0" wood</t>
  </si>
  <si>
    <t>10"x7'.0" wood</t>
  </si>
  <si>
    <t>12",10",9" x 8'.0" woods</t>
  </si>
  <si>
    <t>supply tor steel, stirrups, bending and binding, form work, concreting and all the necessary work including bricks and all the necessary items for 15'  x 80' wall.</t>
  </si>
  <si>
    <t>Cement</t>
  </si>
  <si>
    <t>Skim coat</t>
  </si>
  <si>
    <t>Sand</t>
  </si>
  <si>
    <t>metal</t>
  </si>
  <si>
    <t>6"x3" timber - 12 L/ft</t>
  </si>
  <si>
    <t>4"x2" timber - 12 L/ft</t>
  </si>
  <si>
    <t>2"x2" timber batton</t>
  </si>
  <si>
    <t>4'x4' ceiling sheet</t>
  </si>
  <si>
    <t>10" valance board</t>
  </si>
  <si>
    <t>Bricks</t>
  </si>
  <si>
    <t>P.V.C Items</t>
  </si>
  <si>
    <t>1/2 length</t>
  </si>
  <si>
    <t>1 1/2 length</t>
  </si>
  <si>
    <t>1/2 length T type</t>
  </si>
  <si>
    <t>1/2 L bow type</t>
  </si>
  <si>
    <t>1/2 F socket</t>
  </si>
  <si>
    <t>1/2 Join socket</t>
  </si>
  <si>
    <t>1" bent</t>
  </si>
  <si>
    <t>1" L bow</t>
  </si>
  <si>
    <t>1" T join</t>
  </si>
  <si>
    <t>1" socket</t>
  </si>
  <si>
    <t xml:space="preserve">1 1/2 L bow </t>
  </si>
  <si>
    <t>1 1/2 T socket</t>
  </si>
  <si>
    <t>Hot water</t>
  </si>
  <si>
    <t>Condute</t>
  </si>
  <si>
    <t>F /L bow</t>
  </si>
  <si>
    <t>L bow</t>
  </si>
  <si>
    <t>F /socket</t>
  </si>
  <si>
    <t>SLON gum</t>
  </si>
  <si>
    <t>Hot water gum</t>
  </si>
  <si>
    <t>Ridge tile</t>
  </si>
  <si>
    <t>Wall filler</t>
  </si>
  <si>
    <t>Emulsion paint</t>
  </si>
  <si>
    <t>weather shield paint</t>
  </si>
  <si>
    <t>1/2" nails</t>
  </si>
  <si>
    <t>3" nails</t>
  </si>
  <si>
    <t>2" nails</t>
  </si>
  <si>
    <t>1" nails</t>
  </si>
  <si>
    <t>main door frame</t>
  </si>
  <si>
    <t>bed room door frame</t>
  </si>
  <si>
    <t>bath room door frame</t>
  </si>
  <si>
    <t>fan light</t>
  </si>
  <si>
    <t>window frame</t>
  </si>
  <si>
    <t xml:space="preserve">Bathroom wall tile </t>
  </si>
  <si>
    <t>Bathroom floor tile</t>
  </si>
  <si>
    <t>tile mortar</t>
  </si>
  <si>
    <t>Grout</t>
  </si>
  <si>
    <t>Grams</t>
  </si>
  <si>
    <t>Liters</t>
  </si>
  <si>
    <t>Kilogram</t>
  </si>
  <si>
    <t>Bags</t>
  </si>
  <si>
    <t>Emulsion painting and other work for bathroom.</t>
  </si>
  <si>
    <t>Dulux painting and all the work for walls area.</t>
  </si>
  <si>
    <t>Main switch 16 AMP breaker, 10AMP breaker, 6AMP breaker include M.C.B metal box.</t>
  </si>
  <si>
    <t>Light fittings</t>
  </si>
  <si>
    <t>Socket outlet</t>
  </si>
  <si>
    <t>Wall lamps</t>
  </si>
  <si>
    <t>ceiling lamps</t>
  </si>
  <si>
    <t>step light</t>
  </si>
  <si>
    <t xml:space="preserve">ceiling fans </t>
  </si>
  <si>
    <t>Scrap material removing</t>
  </si>
  <si>
    <t>concrete walls demolishing</t>
  </si>
  <si>
    <t>Goods tranportation</t>
  </si>
  <si>
    <t>Soil removing</t>
  </si>
  <si>
    <t>make base pits</t>
  </si>
  <si>
    <t>make foundation</t>
  </si>
  <si>
    <t>Soil transportation</t>
  </si>
  <si>
    <t>Soil filling</t>
  </si>
  <si>
    <t>Apply beams 9"x9"</t>
  </si>
  <si>
    <t>Lifting columns up 9''x9''</t>
  </si>
  <si>
    <t>Apply slab 4"</t>
  </si>
  <si>
    <t>concreting 3" staircase</t>
  </si>
  <si>
    <t>construct stone walls</t>
  </si>
  <si>
    <t>Wall plastering</t>
  </si>
  <si>
    <t>Beam and columns plastering</t>
  </si>
  <si>
    <t>Apply potty</t>
  </si>
  <si>
    <t>Apply painting</t>
  </si>
  <si>
    <t>Remove old roof</t>
  </si>
  <si>
    <t>building finishing roof with asbestos and wood ceiling with top tiles.</t>
  </si>
  <si>
    <t>Building common roof</t>
  </si>
  <si>
    <t>Apply wadimbu</t>
  </si>
  <si>
    <t>anton for down pipes</t>
  </si>
  <si>
    <t>Wall cutting</t>
  </si>
  <si>
    <t>Floor concreting</t>
  </si>
  <si>
    <t>Wall tiling</t>
  </si>
  <si>
    <t>Floor tiling</t>
  </si>
  <si>
    <t>Normal steel hand fence and wood hand railing</t>
  </si>
  <si>
    <t>anton for gutters</t>
  </si>
  <si>
    <t>Electricity, lamps and panel lamps</t>
  </si>
  <si>
    <t>13 AMP power socket</t>
  </si>
  <si>
    <t>15 AMP power socket</t>
  </si>
  <si>
    <t>Fan wiring and installation</t>
  </si>
  <si>
    <t>A/C wiring and and installation</t>
  </si>
  <si>
    <t>Bathroom fitting installation</t>
  </si>
  <si>
    <t>Commered and piston</t>
  </si>
  <si>
    <t>wall plumbing</t>
  </si>
  <si>
    <t>shower unit</t>
  </si>
  <si>
    <t>Rack and hangers</t>
  </si>
  <si>
    <t>3/4 pipe applying</t>
  </si>
  <si>
    <t>4" socket pipe</t>
  </si>
  <si>
    <t xml:space="preserve">3" waste pipe </t>
  </si>
  <si>
    <t xml:space="preserve">2" waste pipe </t>
  </si>
  <si>
    <t>Hot water pipe applying</t>
  </si>
  <si>
    <t>2x2x2 manhole</t>
  </si>
  <si>
    <t>1 1/2x 1 1/2x 1 1/2 manhole</t>
  </si>
  <si>
    <t>1000 Liter water tank supplying and fixing</t>
  </si>
  <si>
    <t>item</t>
  </si>
  <si>
    <t>Apply base 3'x3'</t>
  </si>
  <si>
    <t>Apply base 4'x4'</t>
  </si>
  <si>
    <t>Construct walls 9"</t>
  </si>
  <si>
    <t>Construct walls 6"</t>
  </si>
  <si>
    <t>4"x2", 5"x3",6"x2",2"x2" Red balaw timber with lunu midella timber, 0.47 zink aluminum roofing sheet, wall flashing, rich cap, heat resist foil and JAT waterbase paint and all the necessary finishing work.</t>
  </si>
  <si>
    <t>Gini Sapu valance board, painting, fixing and all the work.</t>
  </si>
  <si>
    <t>Supply and fixing (0.47) Zink aluminum, down pipes, brakets, and all the goods and necessary work for all down pipe installations.</t>
  </si>
  <si>
    <t>Supply and fixing (0.47) zink aluminum, gutters, riverts, sillicon, and nut-bolts, and necessary work for gutters.</t>
  </si>
  <si>
    <t>9" thick brick wall for external and internall walls (bricks supplied by client), windows and doors upto walls included</t>
  </si>
  <si>
    <t>Remove 9" thick brick walls, concrete lintel and remove old window frame and door frame</t>
  </si>
  <si>
    <t>Remove old wall plaster area(labor charges only)</t>
  </si>
  <si>
    <t>Remove small and big soil cubes from the site by lorries.</t>
  </si>
  <si>
    <t>9"x9" lintel above old wall window and door frame, and front riverside wall.</t>
  </si>
  <si>
    <t>New door, windows, fan light, tighten by aulphase (labor charges only)</t>
  </si>
  <si>
    <t>Supply and apply cement, sand and other work for internal and external wall plaster.</t>
  </si>
  <si>
    <t>Plastering for external slab rianguard edge(labor charges only)</t>
  </si>
  <si>
    <t>Supply and laying cement bed stair case</t>
  </si>
  <si>
    <t>Supply and finishing work for cement bed area</t>
  </si>
  <si>
    <t>Supply and laying 3" thick floor concrete for front side open area.</t>
  </si>
  <si>
    <t>Supply and concreting 4" floor concrete for car porch and front side garden area.</t>
  </si>
  <si>
    <t>2'.0"x0'.9"x75'.0" excavation work and all the work for base concrete.</t>
  </si>
  <si>
    <t>10mm tor steel, binding, form work and concreting for 4" thick concrete retaining wall.</t>
  </si>
  <si>
    <t>Supply and apply wall putty, smooth finish, and 1 coat wall filler and other work for soffit area and internal walls area.</t>
  </si>
  <si>
    <t>Concrete slab, walls, concrete base and steps and all the concrete work for staircase upto garden</t>
  </si>
  <si>
    <t>Supply and laying P.V.C pipe, hot water pipe and goods, bathroom fittings, 3 water tanks to other area, plumbing work and fixing fittings and necessary work including 2"x2" manhole 2 Nos, hot water greaser.</t>
  </si>
  <si>
    <t>A.C.L wire and conduit pipe and other fittings and point wiring for light point</t>
  </si>
  <si>
    <t>Nos</t>
  </si>
  <si>
    <t>Wiring and all the work for 13 AMP socket outlet</t>
  </si>
  <si>
    <t>Wiring and all the work for 15 AMP socket outlet</t>
  </si>
  <si>
    <t>Wiring and P.V.C pipe and other work for roler door power supply</t>
  </si>
  <si>
    <t>Fixing for M.C.B box and fittings.</t>
  </si>
  <si>
    <t>Fixing light fittings</t>
  </si>
  <si>
    <t>Old bathroom internal wall painting (labor and material charges only)</t>
  </si>
  <si>
    <t>brick wall, paster and putty, painting</t>
  </si>
  <si>
    <t>paster</t>
  </si>
  <si>
    <t xml:space="preserve">painting, wall puty, filler and all </t>
  </si>
  <si>
    <t>brick wall</t>
  </si>
  <si>
    <t>Floor concrete</t>
  </si>
  <si>
    <t>cement bed</t>
  </si>
  <si>
    <t>Supply and masonry work for 6" thick brick wall, necessary scaffolding and all the work.</t>
  </si>
  <si>
    <t>Supply and apply  3 coat wall putty, 1 coat wall filler, and 2 coat pentalite painting for internal walls.</t>
  </si>
  <si>
    <t>bathroom plumbing work, wall tiling and floor tiling work, grouting, fittings and accessories fixing work.(accessories and bathware supplied by client)</t>
  </si>
  <si>
    <t>Supply and apply 2 coat wall putty, 1 coat wall filler, 2 coats pentalite paint for soffit area.</t>
  </si>
  <si>
    <t>excavations work and 10mm, 12mm tor steel, 6mm stirrups, bending and binding for column base</t>
  </si>
  <si>
    <t>12mm tor steel, 6mm stirrups, bending and binding, formwork, concrete work, and necessary all the work for concrete columns.</t>
  </si>
  <si>
    <t>reinforcement work and bending, binding, 16mm , 12mm tor steel, 6mm stirrup, formwork, 1:2:4 mix concreting and all the necessary work for concrete slab beam.</t>
  </si>
  <si>
    <t>Supply and apply 4" thick floor concrete for floor area.</t>
  </si>
  <si>
    <t>Supply and masonry work for soffit plaster, wall plaster, wall putty, paint work and all the necessary work.</t>
  </si>
  <si>
    <t>remove all unnecessary soil and waste from the site by lorries(including cleaning and loding to lorries)</t>
  </si>
  <si>
    <t>Apply 3" thick plain concrete for floor area.</t>
  </si>
  <si>
    <t>Apply cement bed, 2'x2' Rocell tiles, Supply and apply tile mortar, grouting and finishing work.</t>
  </si>
  <si>
    <t>Supply and apply weathershield for external walls.</t>
  </si>
  <si>
    <t>Supply and apply 1 coat putty, 1 coat wall filler, 2 coats Dulux paint and all the work for internal walls.</t>
  </si>
  <si>
    <t>Suplply 4" width "Tuna" Timber skertain, apply water base paint and all the finishing work.</t>
  </si>
  <si>
    <t>Sand paper the old Door and windows and Apply JAT water base paint.</t>
  </si>
  <si>
    <t>Demolishing work and remove the waste from the site.</t>
  </si>
  <si>
    <t>1/2 P.V.C, 1 1/2 P.V.C hot water line, all the plumbing work</t>
  </si>
  <si>
    <t>Replastering work for 3/4" thick and floor cement bed and other masonry work.</t>
  </si>
  <si>
    <t>tile mortar and tile laying, grouting and all the finishing work ( tiles are supplied by client)</t>
  </si>
  <si>
    <t>bathware accessories and all the fittings, fixing and other work (all the fittings supplied by client)</t>
  </si>
  <si>
    <t>2'.0"x4'.0" fanlight window frame and brass hingers, glasses, flashes and necessary goods and fixing and paint work (Auto paint)</t>
  </si>
  <si>
    <t>*Internal walls only</t>
  </si>
  <si>
    <t>1 coat wall filler, 2 coat wall painting and sand paper work and necessary work only for internal walls(only painting and filler)</t>
  </si>
  <si>
    <t>1 coat wall filler only for internal walls.</t>
  </si>
  <si>
    <t>12mm tor steel, 6mm stirrups, and other work for plinth beams.</t>
  </si>
  <si>
    <t>reinforcement work and bending, binding, 16mm, 12mm tor steel, 6mm stirrup, formwork, 1:2:4 mix concreting and all the necessary work for concrete slab beam.</t>
  </si>
  <si>
    <t>Supply and apply all the necessary goods, shutter, formwork, steel jacks, 1:2:4 mix concrete, 4" thick concrete for slab.</t>
  </si>
  <si>
    <t>remove all unnecessary soil and waste from the site by lorries(including cleaning and loading to lorries)</t>
  </si>
  <si>
    <t>Supply and apply weather shield for external walls.</t>
  </si>
  <si>
    <t>Supply 4" width "Tuna" Timber ascertain, apply water base paint and all the finishing work.</t>
  </si>
  <si>
    <t>concreting, reinforcement, form work, brick work and cement finish and all the work for bathroom.</t>
  </si>
  <si>
    <t>Soil removing and all the work for 10"x8", 12' deep drainage pit for two different rooms.</t>
  </si>
  <si>
    <t>Supply and apply all the necessary goods,shutter,formwork,steel jacks, 1:2:4 mix concrete, 4" thick slab concrete for slab .</t>
  </si>
  <si>
    <t>3/4" thick cement bed, 2'0"x2'0" Rocell tiles (color selected by client), tile adisaw grouting, and all the finishing work for ground and bathroom floor area.</t>
  </si>
  <si>
    <t>Front side old buiding demolishing and cleaning work.</t>
  </si>
  <si>
    <t>9"x9" concrete column, 12mm tor steel,  and other reinforcement work, form work and all the concrete work.</t>
  </si>
  <si>
    <t>9"x9" slab beam for 12mm tor steel, and other reinforcement work, form work, concreting and necessary other work.</t>
  </si>
  <si>
    <t>4" thick concreting, form work for plywood boards, steel jack 10mm for stairs and necessary all the work for slab area.</t>
  </si>
  <si>
    <t>supply and masonry work for 4" thick cement block walls.</t>
  </si>
  <si>
    <t>masonry work for 3/4" thick wall paster for internal and external walls.</t>
  </si>
  <si>
    <t>Supply and laying 3 coat wall putty, smooth finish and 1 coat wall filler as well as 2 coat Emulsion paint.</t>
  </si>
  <si>
    <t>Supply and apply 1 coat wall filler, 2 coat weather shield paint for all external walls.</t>
  </si>
  <si>
    <t>Supply and applying 3/4" cement bed for all the floor area.</t>
  </si>
  <si>
    <t>12mm tor steel, 6mm stirrups, bending and binding, formwork and concreting for 9"x9" concrete column.</t>
  </si>
  <si>
    <t>12mm tor steel, 6mm stirrups, and reinforcement work, form work and concreting work for 9"x9" slab beams.</t>
  </si>
  <si>
    <t>10mm tor steel, and reinforcement work, plywood boards, steel jacks and all the form work and 4" thick concrete slab area.</t>
  </si>
  <si>
    <t>Excavation work for column base and refilling and other work.</t>
  </si>
  <si>
    <t>10mm tor steel, binding and screed concrete, 1:2:4 mix (grade 25) Base concrete and necessary work.</t>
  </si>
  <si>
    <t>12mm tor steel, 6mm stirrups, bending and binding, form work and (grade 25) concreting and necessary work upto slab level (9"x9") concrete columns.</t>
  </si>
  <si>
    <t>12mm tor steel, 6mm stirrups,form work, concreting and all the work for floor beams.</t>
  </si>
  <si>
    <t>12mm tor steel, 6mm stirrups, form work and all the work for slab beam.</t>
  </si>
  <si>
    <t>10mm tor steel, binding and bending, form work (including plywood board and steel jack), 4" thick concreting and all the work for front side slab area.</t>
  </si>
  <si>
    <t>Demolishing and remove door frame, window frame and refixing and finishing work.</t>
  </si>
  <si>
    <t>demolishing and cleaning old roof, concrete columns and all the work.</t>
  </si>
  <si>
    <t>new window frame and window lids (including glasses, hingers, locks and necessary work) fixing and all the work (8'.0"x8'.0" french window 1 No's).</t>
  </si>
  <si>
    <t>Supply and masonry work for 3/4" thick wall plaster, internal and external walls.</t>
  </si>
  <si>
    <t>soffit and all the walls putty  and 1 coat wall filler, 2 coat wall painting and finishing work.</t>
  </si>
  <si>
    <t>3"x3" Box bar for columns, hand rail box bar 3"x 1 1/2", bottom box bar 1"x1", 12mm round plain bar, welding catloy and anticoros 1 coat, black matte finish 2 coat spray, and all the finishing work.</t>
  </si>
  <si>
    <t>3"x3" Box bar for columns,Thekka hand rail with 3 coat water base paint and all the finishing work 3"x 1 1/2", bottom box bar 1"x1", 12mm round plain bar, welding catloy and anticoros 1 coat, black matte finish 2 coat spray, and all the finishing work.</t>
  </si>
  <si>
    <t>Basement staircase demolishing and cleaning work.</t>
  </si>
  <si>
    <t>12mm tor steel, 6mm stirrups, binding, form work, jacks and necessary work for 9"x9" beams for slab and deck area.</t>
  </si>
  <si>
    <t>Supply and masonry work, 4" thick cement blocks, sand, cement, scaffolding and necessary all the work for 2nd floors cement block walls.</t>
  </si>
  <si>
    <t>Supply and masonry work for 3/4" thick wall plaster for internal walls</t>
  </si>
  <si>
    <t>New staircase 7'.0"x20'.0", concreting and all the work.</t>
  </si>
  <si>
    <t>all the necessary items supplying and all the work for 7"x4" thick concrete lintol.</t>
  </si>
  <si>
    <t xml:space="preserve">1st floor - cement block, sand, cement, scaffolding and necessary all the work for 4" thick walls. </t>
  </si>
  <si>
    <t>supply and masonry work 3/4" soffit plaster for ground floor, 1st floor slab area.</t>
  </si>
  <si>
    <t>12mm tor steel, 6mm stirrups, bending and binding, formwork, concreting and all the work for basement up to 1st floor level slab (for 9"x9" concrete columns).</t>
  </si>
  <si>
    <t>Supply and apply all the necessary goods,shutter,formwork,steel jacks, 1:2:4 mix concrete, for 5" thick slab area.</t>
  </si>
  <si>
    <t>16mm tor steel, 6mm stirrups, and all the work for new bathroom 1st floor and second floor level slab beam</t>
  </si>
  <si>
    <t>Supply and apply all the necessary goods,shutter,formwork,steel jacks, 1:2:4 mix concrete, for bathroom slab area.</t>
  </si>
  <si>
    <t>Supply and masonry work for 4" thick floor concrete in river side apartment area.</t>
  </si>
  <si>
    <t>75% of roof work is finished, total amount.</t>
  </si>
  <si>
    <t>all the necessary wood has been bought for wooden deck advanced payment.</t>
  </si>
  <si>
    <t>demolish and destroy outside from the site area (include scaffolding and machine).</t>
  </si>
  <si>
    <t>II) courtyard beams and block walls</t>
  </si>
  <si>
    <t>remove and stack, roofing sheets, wood and other for 1st floor and roof top area old roof.</t>
  </si>
  <si>
    <t>all the necessary items supplying and all the work for 7"x4" thick concrete lintel.</t>
  </si>
  <si>
    <t>Supply and apply all the necessary goods, shutter, formwork, steel jacks, 1:2:4 mix concrete, for 5" thick slab area.</t>
  </si>
  <si>
    <t>12mm tor steel, 6mm stirrups, and all the work for new bathroom 1st floor and second floor level slab beam</t>
  </si>
  <si>
    <t>Supply and apply all the necessary goods, shutter, formwork, steel jacks, 1:2:4 mix concrete, for bathroom slab area. (courtyard area new bathroom)</t>
  </si>
  <si>
    <t>75% of roof work is finished, following amount is billed to the total.</t>
  </si>
  <si>
    <t>all the necessary wood has been bought for wooden deck and billed to the total.</t>
  </si>
  <si>
    <t>3',0"x3'.0"x4'.0" excavation work for river side new construction work for extending the building, column pit and back filling.</t>
  </si>
  <si>
    <t>Supply and apply all the necessary goods, shutter, formwork, steel jacks, 1:2:4 mix concrete, for Roof top slab and new bathroom slab.</t>
  </si>
  <si>
    <t>9"x12", 16mm tor steel and other work for slab beams and wooden deck area beams.(gap between the columns are more than 20’ feet and has been extended beams).</t>
  </si>
  <si>
    <t>Ground and 1st floor tile area</t>
  </si>
  <si>
    <t>sq/ft</t>
  </si>
  <si>
    <t>balcony and corridow outside area.</t>
  </si>
  <si>
    <t>car porch area.</t>
  </si>
  <si>
    <t>sum</t>
  </si>
  <si>
    <t>garden area on the garage</t>
  </si>
  <si>
    <t>bathroom wall tiles</t>
  </si>
  <si>
    <t>Bathroom floor tiles</t>
  </si>
  <si>
    <t xml:space="preserve">angle walve </t>
  </si>
  <si>
    <t>shower and mixer tap</t>
  </si>
  <si>
    <t xml:space="preserve">biday shower </t>
  </si>
  <si>
    <t xml:space="preserve">greeser </t>
  </si>
  <si>
    <t xml:space="preserve">18" flexible hourse </t>
  </si>
  <si>
    <t>bathroom accessories sets</t>
  </si>
  <si>
    <t>commards</t>
  </si>
  <si>
    <t>wash basing</t>
  </si>
  <si>
    <t>6 AMP breaker</t>
  </si>
  <si>
    <t>10 AMP breaker</t>
  </si>
  <si>
    <t>16 AMP breaker</t>
  </si>
  <si>
    <t>2 pole Main switch</t>
  </si>
  <si>
    <t>2 pole trip switch</t>
  </si>
  <si>
    <t>4 pole main switch</t>
  </si>
  <si>
    <t>4 pole trip switch</t>
  </si>
  <si>
    <t>Kevilton switch</t>
  </si>
  <si>
    <t>1 GAN switch</t>
  </si>
  <si>
    <t>2 GAN switch</t>
  </si>
  <si>
    <t>3 GAN switch</t>
  </si>
  <si>
    <t>4 GAN switch</t>
  </si>
  <si>
    <t>1 GAN 2 way switch</t>
  </si>
  <si>
    <t>ceiling light (sunk type)</t>
  </si>
  <si>
    <t>lamp shade (living, dining and kitchen area)</t>
  </si>
  <si>
    <t>Dining table lamp</t>
  </si>
  <si>
    <t>pantry island lamp</t>
  </si>
  <si>
    <t>bathroom ceiling lamp</t>
  </si>
  <si>
    <t>garden light</t>
  </si>
  <si>
    <t>sunk type step lights</t>
  </si>
  <si>
    <t xml:space="preserve">spotlight </t>
  </si>
  <si>
    <t>garden wall mount lamp</t>
  </si>
  <si>
    <t>bathroom gali cover</t>
  </si>
  <si>
    <t>french window 8'.6"x8'.0"</t>
  </si>
  <si>
    <t>french window 8'.6"x6'.0"</t>
  </si>
  <si>
    <t>french window 8'.6"x3'.9"</t>
  </si>
  <si>
    <t>window 6'.3"x2'.0"</t>
  </si>
  <si>
    <t>window 4'.6"x3'.6"</t>
  </si>
  <si>
    <t>fan light 1'.10"x3'.8"</t>
  </si>
  <si>
    <t>window 8'.2"x3'.7"</t>
  </si>
  <si>
    <t>window 6'.0"x5'.0"</t>
  </si>
  <si>
    <t>window 2'.8"x5'.0"</t>
  </si>
  <si>
    <t>window and fanlight sizes</t>
  </si>
  <si>
    <t>A/C machines for bedroom</t>
  </si>
  <si>
    <t>A/C machines for office room</t>
  </si>
  <si>
    <t>A/C machines for living area</t>
  </si>
  <si>
    <t>Back store room demolishing work and cleaning work and remove from the site area by lorry.</t>
  </si>
  <si>
    <t>apply 1 coa t filler, 2 coat paint and weathershield in back wall external.</t>
  </si>
  <si>
    <t>separate back ceiling work.</t>
  </si>
  <si>
    <t>apply 2 coat wadimbu</t>
  </si>
  <si>
    <t>front and side windows removing and paint removal and reinstall the windows (apply wooden planks) and finish the work, apply water base paint and all the work (will not apply putty)</t>
  </si>
  <si>
    <t>finished extra works</t>
  </si>
  <si>
    <t xml:space="preserve">apply plaster and gutters to kitchen side slab </t>
  </si>
  <si>
    <t>insert 9 lamps.</t>
  </si>
  <si>
    <t>Flower pot demolish and apply new concrete walls and finish the work.</t>
  </si>
  <si>
    <t>Garage area, open varanda area, and Lift area column base, foundation pits and other excavation work.</t>
  </si>
  <si>
    <t xml:space="preserve">Back filling, leveling and compressing work. </t>
  </si>
  <si>
    <t xml:space="preserve">3" thick Mass concrete for column base </t>
  </si>
  <si>
    <t>1' Thick column base -14 No's , 6" center ,10mm tor steel, reinforcement and concrete base work.</t>
  </si>
  <si>
    <t>9"x12" concrete column for garage area Including 12mm tor steel- 6 No's, 6mm stirrups, formwork, concreting and all the work.</t>
  </si>
  <si>
    <t>9"x9" concrete column-8 No's, 12mm tor steel, 6mm stirrups, formwork, concreting and all the work.</t>
  </si>
  <si>
    <t>12mm tor steel, 6mm stirrups, formwork and concreting for plinth beams</t>
  </si>
  <si>
    <t>16mm tor steel, 12mm tor steel, 6mm stirrups, formwork and concreting for 18"x9" slab beam for car porche area.</t>
  </si>
  <si>
    <t>10mm tor steel, reinforcement work and ply wood boards, shuttering work and all the formwork, and concreting work for car porche slab area.(6" thick concrete)</t>
  </si>
  <si>
    <t xml:space="preserve">varanda area, 1st floor and 2nd floor new slab beam and roof area and total beams </t>
  </si>
  <si>
    <t>12mm tor steel, 6mm stirrups, formwork and concreting for slab beam for open varanda area, 1st floor and 2nd floor new slab beam and roof area and total beams</t>
  </si>
  <si>
    <t>10mm tor steel, formwork, 4" thick concrete work and all the work for New slab area for corridow area and open varanda area ground floor level.</t>
  </si>
  <si>
    <t>12mm tor steel, 6mm stirrups, formwork and concreting for staircase 1st floor and 2nd floor new concrete columns.</t>
  </si>
  <si>
    <t>10mm tor steel, formwork, 4" thick concrete work and all the work for 1st floor and 2nd floor new slab area.</t>
  </si>
  <si>
    <t xml:space="preserve">12mm tor steel, bending, formwork, concreting and all the work for Ground floor level upto roof top staircase </t>
  </si>
  <si>
    <t>Masonry work, supply cement, sand, scafolding and other work for 9" thick brick wall, for ground floor and 1st floor walls area.</t>
  </si>
  <si>
    <t>Masonry work, supply cement, sand, scafolding and other work for 6" thick brick wall for ground and 1st floor and upper floor walls.</t>
  </si>
  <si>
    <t>supply 10mm tor steel, formwork, concreting all the necessary work for 9"x6" lintel for ground and first floor area.</t>
  </si>
  <si>
    <t>supply 10mm tor steel, formwork, concreting all the necessary work for 7"x6" concrete lintel for ground, first and upper floor.</t>
  </si>
  <si>
    <t>Supply and masonry work 3/4" thick wall plaster for necessary sand, cement, scaffolding and all the work for ground, first and upper floor  internal walls.</t>
  </si>
  <si>
    <t>Supply and masonry work 3/4" thick semi rough external wall plaster for necessary sand, cement, scaffolding and all the work for ground, first and upper floor external walls.</t>
  </si>
  <si>
    <t>New work for lift area, concrete base, concrete columns, concrete beams and rooftop slab area and all the finishing work for lift structural work.</t>
  </si>
  <si>
    <t>Supply and fixing G.I - C channel, Gypson board fixing and apply putty and 3 coat Emlusion paint and all the finishing work for ground and first floor ceiling area.</t>
  </si>
  <si>
    <t>Bathroom walls floor and upper floor opening floor area water proof work.</t>
  </si>
  <si>
    <t>Sq/M</t>
  </si>
  <si>
    <t>4", 2", 1 1/2", 1", 3/4", 1/2" P.V.C, 3/4", 1/2" Hot water pipes, including stock valve and all the plumbing goods for bathroom and kitchen area plumbing work.</t>
  </si>
  <si>
    <t>Supply sand, cement and all the necessary goods for Floor cement bed apply tile mortar and Floor tiling, grouting and all the finishing work for ground, first and upper floor tiling work.(tile supplied by client)</t>
  </si>
  <si>
    <t>Supply and applying apply tile mortar, grouting and applying bathroom wall tiles for ground, first and upper floor bathroom walls area.(Tile supplied by client)</t>
  </si>
  <si>
    <t>4"x2" box bar, 2"x2" box bar, velding and 0.47 Roofing sheets, gutters, down pipes, painting and all the finishing work for first floor, stair case area, water tank area.</t>
  </si>
  <si>
    <t>new D board  with 6mcbs , main and trip switch</t>
  </si>
  <si>
    <t>wall lamps</t>
  </si>
  <si>
    <t>suspended lamps</t>
  </si>
  <si>
    <t>15 amp power sockets</t>
  </si>
  <si>
    <t>Fans</t>
  </si>
  <si>
    <t>garden lamps</t>
  </si>
  <si>
    <t>Electrical work.</t>
  </si>
  <si>
    <t>VI</t>
  </si>
  <si>
    <t>VII</t>
  </si>
  <si>
    <t>VIII</t>
  </si>
  <si>
    <t>13 amp power sockets</t>
  </si>
  <si>
    <t>IX</t>
  </si>
  <si>
    <t>Step lights</t>
  </si>
  <si>
    <t>Supply and apply 3 coat wall putty, 1 coat wall filler, 2 coat Emulsion paint for internal walls</t>
  </si>
  <si>
    <t>Supply and apply 1 coat wall filler, 2 coat weather shield, weather guard wall paint for external walls.</t>
  </si>
  <si>
    <t xml:space="preserve">old building demolished and removed area </t>
  </si>
  <si>
    <t>newly constructed areas added to the old building including car porche area</t>
  </si>
  <si>
    <t xml:space="preserve">Mr. athula wijayananda, senanakaya road, nawala - demolished parts from the old building and extended and newly added parts </t>
  </si>
  <si>
    <t>concrete base, concrete columns, concrete beams and all the finishing work for new lift area concrete structure ground floor upto second floor level.</t>
  </si>
  <si>
    <t xml:space="preserve">newly added Ground floor corridow area </t>
  </si>
  <si>
    <t>newly added first floor corridow area</t>
  </si>
  <si>
    <t>newly added Ground floor upto second floor level new staircase and Roof area.</t>
  </si>
  <si>
    <t xml:space="preserve"> all the work for newly added staircase upper roof area</t>
  </si>
  <si>
    <t>water tank slab area and Extended slab area for first floor and upper floor water tank area.</t>
  </si>
  <si>
    <t>101, 102, 103, 107, 108, 109, 110, 111 Rooms Tera Cota floor paint and apply 2 coats appoxy</t>
  </si>
  <si>
    <t>Supply and apply 1 coat potty, 2 coats paint, remove existing grout and apply new grout, fix doors and windows and apply 1 coat waterbase top coat, Remove and reapply grouting in washrooms if necessary, Canapy roof interior area enamal paint work, balcony area painting work, Door and window edge finishing work, Canoby roof enamal paint and all the necessary finishing work for section A.</t>
  </si>
  <si>
    <t>104, 105, 106, 208, 214, 215, 216, 217, 218, 223, 224, 225, 226, 227, 228, 229, 230, 231, 232, 233, 234, 320, 321, 322 Rooms, cut the wood by machines and apply 2 coats of 60/50 semi gloss floor paint.</t>
  </si>
  <si>
    <t>201, 202, 203, 204, 205, 206, 207, 301, 302, 303, 304, 307, 308, 309, 310,311, 414, 415, 416, 417, 418, 419, 423, 424, 426, 427 Rooms Cut the wood by machines and apply 2 coats of 60/50 semi gloss floor paint.</t>
  </si>
  <si>
    <t>Ground floor public corridor area, apply 1 coat potty, 2 coat paint, skertain finish, 1 coat water base top coat if necessary, apply stickers to the glass of doors, and all the finishing work.</t>
  </si>
  <si>
    <t>Power room painting and finishing work.</t>
  </si>
  <si>
    <t>1st floor public corridor area, apply 1 coat potty, 2 coat paint, skertain finish, 1 coat water base top coat if necessary, apply stickers to the glass of doors, and all the finishing work.</t>
  </si>
  <si>
    <t>Bar lobby and restaurant area ceiling and walls apply 1 coat potty, 2 coats painting.</t>
  </si>
  <si>
    <t>Restaurant area floor apply 60/50 - 2 coats painting, apply 1 JAT to coat to wood decorative columns (15 No's).</t>
  </si>
  <si>
    <t>213 - 234 room site public corridor area, apply 1 coat potty, 2 coat paint, skertain finish, 1 coat water base top coat if necessary, apply stickers to the glass of doors, and all the finishing work.</t>
  </si>
  <si>
    <t>218 - 222 Room site Balcony including front side ceiling, steel hand rails, front side interior wall weather shield   applying and all the painting work.</t>
  </si>
  <si>
    <t>226 - 234 room site public corridor area, apply 1 coat potty, 2 coat paint, skertain finish, 1 coat water base top coat if necessary, apply stickers to the glass of doors, and all the finishing work.</t>
  </si>
  <si>
    <t>226 - 234 room site staircase, skertain finish, apply 1 coat potty, 2 coat paint, 2 coat water base top coats on doors if necessary.</t>
  </si>
  <si>
    <t>Ground floor level upto 3rd floor level staircase, skertain finish, apply 1 coat potty, 2 coat paint, 2 coat water base top coats on doors if necessary.</t>
  </si>
  <si>
    <t>319 room site public corridor area, apply 1 coat potty, 2 coat paint, skertain finish, 1 coat water base top coat if necessary, apply stickers to the glass of doors, and all the finishing work.</t>
  </si>
  <si>
    <t>414 - 419 room site Balcony including front side ceiling, steel hand rails, Gutters, down pipes, front side interior wall weather shield   applying and all the painting work.</t>
  </si>
  <si>
    <t>424 - 434 room site public corridor area, apply 1 coat potty, 2 coat paint, skertain finish, 1 coat water base top coat if necessary, apply stickers to the glass of doors, and all the finishing work.</t>
  </si>
  <si>
    <t>301 - 311 room site  public corridor area, apply 1 coat potty, 2 coat paint, skertain finish, 1 coat water base top coat if necessary, apply stickers to the glass of doors, and all the finishing work.</t>
  </si>
  <si>
    <t>Lift room site staircase, skertain finish, apply 1 coat potty, 2 coat paint, 2 coat water base top coats on doors if necessary.</t>
  </si>
  <si>
    <t>Ground floor reception lobby, round pillers, walls, ceiling area, apply 1 coat potty, 2 coat paint, 1 coat weather shield for front side walls.</t>
  </si>
  <si>
    <t>Admin block and spa block front office, apply 1 coat potty, 2 coats paint and all the finishing work.</t>
  </si>
  <si>
    <t>Pool pavidian walls, apply 1 coat potty, 2 coat paint, ceiling painting and all the other painting work.</t>
  </si>
  <si>
    <t>3"x3", 1"x1" box bar, 10mm round steel, 1"x 1/4" flat iron, and teak wood, welding painting, and all the finishing work for staircase and other area hand railing.</t>
  </si>
  <si>
    <t>Supply and apply 1 coat wall filler, 2 coat Emulsion painting, apply wall putty for damage area, and smooth work, and all the finishes (including bathroom and all the soffit areas)</t>
  </si>
  <si>
    <t>Remove and demolishing old tiling and wall plaster removing and re concreting, re plastering, plumbing work, wall and floor tiling, grouting and all the finishing work including angel valve, flexible hose, basing west, and all the necessary goods.</t>
  </si>
  <si>
    <t>Cardinal floor polish apply for floor area (had to apply 3 coats because of the red color of the floor)</t>
  </si>
  <si>
    <t>I.</t>
  </si>
  <si>
    <t>II.</t>
  </si>
  <si>
    <t>III.</t>
  </si>
  <si>
    <t>IV.</t>
  </si>
  <si>
    <t>V.</t>
  </si>
  <si>
    <t>VI.</t>
  </si>
  <si>
    <t>VII.</t>
  </si>
  <si>
    <t>Wall tiles, floor tiles and plaster, 4'.0" x 4'.0" fan light, and all the removing and demolishing work.</t>
  </si>
  <si>
    <t>Plumbing work with hot water waste line, kitchen area washing machine water supply, and all the plumbing work.</t>
  </si>
  <si>
    <t>window space replace with new 9" thick wall.</t>
  </si>
  <si>
    <t>Supply and fixing Greeser unit 1 No's, Flexible hose 5 No's, angel valve 5 No's, basing waste 1 No's, 1 1/4" basing flexible hose 1 No's, Gully cover 2 No's, Garden tap (washing machine) and all the goods.</t>
  </si>
  <si>
    <t>4'.0 x 2'.0 powder coated frame, 6mm glass, sand blast sticker, and fixing and finishing work.</t>
  </si>
  <si>
    <t>New power supply, M.C.B box to greaser unit, 7/036 wire, earth wire, 20 AMP breaker, socket outlet, and 2 pole switch, washing machine power supply, and all the electrical work.</t>
  </si>
  <si>
    <t xml:space="preserve">VIII. </t>
  </si>
  <si>
    <t>Fixing bathware and power unit.</t>
  </si>
  <si>
    <t>wall plaster, floor cement bed, supply tile mortar, tiling walls, floor grouting and all the work.(walls : 159.6 Sq/ft, Floor : 54.0 sq/ft)</t>
  </si>
  <si>
    <t>Supply and apply 1 coat paint, remove existing grout and apply new grout if necessary, fix doors and windows and apply 1 coat water base top coat, remove and reapply grouting in washrooms, Canopy roof enamal paint and all the necessary finishing work for section B.</t>
  </si>
  <si>
    <t>Section A - 40 rooms (101 - 103, 107 - 111, 201 - 207, 301 - 311, 414 - 419, 423, 424, 426, 427)</t>
  </si>
  <si>
    <t>Supply and apply 1 coat paint if necessary and fix doors and windows, Canopy roof enamal paint and all the necessary work for 305 and 306 rooms.</t>
  </si>
  <si>
    <t>General manager, Swiss hotel, lake side, kandy.</t>
  </si>
  <si>
    <t>BOQ for painting and finishing work</t>
  </si>
  <si>
    <t>Section B - 34 rooms (104, 105, 106, 208, 214, 215, 216, 217, 218, 223, 225, 226, 227, 228, 229, 230, 231, 232, 233, 234, 320, 321, 322)</t>
  </si>
  <si>
    <t>Scratched walls painting work, including supply and apply 2 coat wall putty, smooth finish by sand papers and apply 2 coats of Dulux Master palatte paint and all the work.</t>
  </si>
  <si>
    <t>Scratched walls painting work, including supply and apply 2 coat wall putty, smooth finish by sand papers and apply 2 coats of Emulsion paint and all the work.</t>
  </si>
  <si>
    <t>Supply and apply 2 coats weather shield (WAP) paint for external walls.</t>
  </si>
  <si>
    <t>Supply and fixing scafolding and necessary work for 3/4" thick external and internal wall plaster.</t>
  </si>
  <si>
    <t>Supply and apply  2 coat wall potty, 1 coat wall filler and 2 coat pentalite paint for internal walls.</t>
  </si>
  <si>
    <t>Demolishing Roof, walls, and all the old tiles and cleaning work.</t>
  </si>
  <si>
    <t>Exavation work, back filling and all the necessary work.</t>
  </si>
  <si>
    <t>12mm tor steel, 6mm stirrups, bending, binding, formwork and all the necessary work for base concrete.</t>
  </si>
  <si>
    <t>12mm tor steel, 6mm stirrups, bending and binding, formwork, concrete work, and necessary all the work for tie beams</t>
  </si>
  <si>
    <t>Masonry work and supply cement, sand, scafolding and other work for 6" thick brick wall</t>
  </si>
  <si>
    <t>Supply and apply 3" thick plain concrete, including soil compact work, sand, cement and all the necessary work.</t>
  </si>
  <si>
    <t>Supply and laying cement bed, including sand, cement and all the necessary work.</t>
  </si>
  <si>
    <t>Roof repair work including replacing old woods, fixing new gutters, down pipes, kitchen area ceiling work and all the repairing work.</t>
  </si>
  <si>
    <t>new window frame and window lids (including glasses, hingers, locks and necessary work) fixing, painting work and all the finishing work</t>
  </si>
  <si>
    <t>demolish work, floor tile demolish and new tile, pantry work, demolish and 2 bathroom fitting, plumbing work</t>
  </si>
  <si>
    <t xml:space="preserve">Item </t>
  </si>
  <si>
    <t>Supply and laying 1" thick cement bed, tile mortar, supply and apply 2.0'x2.0' Rocell Floor tiles, cutting and grouting and all the necessary work.</t>
  </si>
  <si>
    <t>Old bathroom demolishing work, cleaning work and remove from the site area.</t>
  </si>
  <si>
    <t xml:space="preserve">items </t>
  </si>
  <si>
    <t xml:space="preserve">soffits, wall paint work, aluminum doors and windows, slide aluminum doors, pantry work </t>
  </si>
  <si>
    <t>supply and fixing aluminum door, including 8mm clear glass silicon, rubber beading, hingers and locks and necessary all the goods and other work</t>
  </si>
  <si>
    <t>Supply and apply bathware accessories including comerd, shower, bath tub and angle valves, blessiber hose ,mirror and fixing all the fittings and comerd, wash besing, shower, bathing accessories, and all the finishing work and all the plumbing work</t>
  </si>
  <si>
    <t xml:space="preserve">supply and install pantry cupboards and all necessary goods including microwave, washing machine, 4 burners cooker, cooker hood, dishwasher and paintwork and all the finishing work. </t>
  </si>
  <si>
    <t>Supply and apply scaffolding, 2 coat potty, 1 coat wall filler and 2 coat emulsion painting, and finishing work for all the internal  soffits area and walls.</t>
  </si>
  <si>
    <t>bathroom</t>
  </si>
  <si>
    <t>Supply and applying apply tile mortar, grouting and applying bathroom wall tiles for ground, bathroom walls area.</t>
  </si>
  <si>
    <t>10'.0 width x 8'.5" height folding door, 10mm tempered glass, including hingers, 8mm clear glass silicon, rubber beading, locks and all the necessary goods.</t>
  </si>
  <si>
    <t>Floor demolishing work including remove all old tiles and clean and remove from site area.</t>
  </si>
  <si>
    <t>Cleaning site of debries and cleaning work.</t>
  </si>
  <si>
    <t>supply and apply 2 coats weather shield (WAP) paint for concrete columns.</t>
  </si>
  <si>
    <t>cleaning, sand paper smoothing, and applying water base, varnish and top coatings to timber skirting.</t>
  </si>
  <si>
    <t>carefully removing damaged aluminum fabricated 8'x8' sliding french type window to re use the outer frame other than bottom railing.</t>
  </si>
  <si>
    <t>Manufacturing and supplying 2 seater sofa, including material (cusions to be reused), mahogani timber frame work.(630mm x 1320mm x 750mm - HxWxD)</t>
  </si>
  <si>
    <t>Manufacturing and supplying 400mm x 750mm x 750mm (HxWxD) coffee table made out of mahogani.</t>
  </si>
  <si>
    <t>manufacturing and supplying of mahogani "S" type side table 450mm x 400mm x 400mm (HxWxD).</t>
  </si>
  <si>
    <t>extended chain link fench 18 feet, including concrete beam and all the work.</t>
  </si>
  <si>
    <t>extra concrete amount between concrete drainage and fench.</t>
  </si>
  <si>
    <t>supply and install 2000L water tank, concrete floor set up, fixing P.V.C pipe lines, plumbing work and ball walve and use other tools as well. 1/2" P.V.C pipes and joints, sockets, bents, SLON gum and all the necessary items is used to finish this work.</t>
  </si>
  <si>
    <t>Riverside extended cement block walls all the finishing work.</t>
  </si>
  <si>
    <t>cut and remove the jack fruit tree (payment for shiva)</t>
  </si>
  <si>
    <t xml:space="preserve">Grand Total </t>
  </si>
  <si>
    <t>2025/03/11 quotation, payment balance 2,854,500.00</t>
  </si>
  <si>
    <t>Grand total for both bills</t>
  </si>
  <si>
    <t>3/14/2025 payed</t>
  </si>
  <si>
    <t xml:space="preserve">total payed </t>
  </si>
  <si>
    <t>06/26/2025 payed</t>
  </si>
  <si>
    <t>late work panelty because of not completing the specific work on or before the deadline.</t>
  </si>
  <si>
    <t>-</t>
  </si>
  <si>
    <t xml:space="preserve">Total for this bill </t>
  </si>
  <si>
    <t>2025/03/11 quotation bill</t>
  </si>
  <si>
    <t>supplying and unstalling 8'x8' double slide window, 8mm tempered glass, 100mm double channel frame, including rolen, rubber and moyar beeding, including cost of transportation.</t>
  </si>
  <si>
    <t>Manufacturing and supply of granite top dia, 660mm x 558mm, might be metal fabricated thick ceramic tile topped corner table.</t>
  </si>
  <si>
    <t>smoothing and repainting slide folding window with 1 powder coat repair kit.</t>
  </si>
  <si>
    <t>boundary line concrete beam  headline</t>
  </si>
  <si>
    <t>10mm torsteel, 6 mm stirup, binding bending and reinfocement work, formwork, and 9"x9" concrete beam. Including cleaning, excavation and all the necessary</t>
  </si>
  <si>
    <t>10'x10' concrete column upto beam top, including excavation, 2"x2" column pit, formwork, reinfocement, 10mm torsteel, 6mm…......</t>
  </si>
  <si>
    <t>210 L/ft 1850</t>
  </si>
  <si>
    <t>21 Items 12,000</t>
  </si>
  <si>
    <t>mr. Naveen, hadeniya</t>
  </si>
  <si>
    <t>Cleaning work, Excavation work, supply and applying 10mm tor steel, 6mm stirrup, bending and binding, formwork, reinforcement work for 9"x9" concrete beams.</t>
  </si>
  <si>
    <t>Excavation work for 2"x2" column pits, supply and applying 10mm torsteel, 6mm stirrups, bending and binding, formwork, reinfocement work for concrete columns upto beam top placed in 10'x10' range.</t>
  </si>
  <si>
    <t>Existing building demolishing work</t>
  </si>
  <si>
    <t>6" thick brick wall demolish work</t>
  </si>
  <si>
    <t>Excavation work</t>
  </si>
  <si>
    <t>Reinforced concrete mixing and applying (including vibrating and curing) site mixed concrete 1:2:4 (20mm) grade C 20/ 1: 1 1/2: 3(20mm) grade C 25.</t>
  </si>
  <si>
    <t>Lintol concrete work</t>
  </si>
  <si>
    <t>6"x 6" concreting work.</t>
  </si>
  <si>
    <t>brick wall constructing work (cement, sand, 1:5 cement mixture)</t>
  </si>
  <si>
    <t>Wall plaster</t>
  </si>
  <si>
    <t>Floor Cement bed</t>
  </si>
  <si>
    <t>Floor tiling work</t>
  </si>
  <si>
    <t>Wall tiling work</t>
  </si>
  <si>
    <t>New walls or repaired old walls</t>
  </si>
  <si>
    <t>Apply 1 coat filler.</t>
  </si>
  <si>
    <t>Apply 2 coat potty and cutting work for plastered wall.</t>
  </si>
  <si>
    <t>Apply 12" x 24" wall tile</t>
  </si>
  <si>
    <t>Apply 24" x 24" floor tile</t>
  </si>
  <si>
    <t>Smooth finish work for cement bed</t>
  </si>
  <si>
    <t>Apply 20mm thick floor cement bed</t>
  </si>
  <si>
    <t>Ground floor 9" thick brick wall constructing work (50 x 95 x 196mm)</t>
  </si>
  <si>
    <t>Ground floor 100mm thick concrete work.</t>
  </si>
  <si>
    <t>Site area soil filling and compacting (150mm) using own area soil.</t>
  </si>
  <si>
    <t>Brick floor demolish work</t>
  </si>
  <si>
    <t>Less than or equal to 40 Sq/ft door or window demolish work</t>
  </si>
  <si>
    <t>Apply 2 coat paint.</t>
  </si>
  <si>
    <t>Smooth finished floor painting work</t>
  </si>
  <si>
    <t>Apply fast drying 2 coats of paint including washing, cleaning and smoothing work.</t>
  </si>
  <si>
    <t>Ceiling and asbastos work</t>
  </si>
  <si>
    <t>Formwork, reinforcement work, concreting and cement bed for pantry table top</t>
  </si>
  <si>
    <t>Bathroom and pantry sink unit, plumbing work, 4" P.V.C drainadge line, waste water line and all the plumbing work.</t>
  </si>
  <si>
    <t>Fixing bathroom aluminum door.</t>
  </si>
  <si>
    <t>Fixing bathware and accessories and pantry sink unit, and other work.</t>
  </si>
  <si>
    <t>Supporting for septic tank burying work</t>
  </si>
  <si>
    <t>Labors</t>
  </si>
  <si>
    <t>Apply 15mm thick semi rough wall plaster</t>
  </si>
  <si>
    <t>Pantry top and Pantry walls (24" x 24")</t>
  </si>
  <si>
    <t>Apply 2 coat Potty.</t>
  </si>
  <si>
    <t>Roof Work</t>
  </si>
  <si>
    <t>Apply ridge tile and roofing work</t>
  </si>
  <si>
    <t>Ceiling construction work using asbastos sheets.</t>
  </si>
  <si>
    <t>smoothing and apply 2 coat water base for door and windows.</t>
  </si>
  <si>
    <t>old bathroom fittings, plumbing removing.</t>
  </si>
  <si>
    <t>Plumbing work</t>
  </si>
  <si>
    <t>4" thick Brick wall</t>
  </si>
  <si>
    <t>3" thick Floor concrete</t>
  </si>
  <si>
    <t>Floor cement bed</t>
  </si>
  <si>
    <t>Wall titanium</t>
  </si>
  <si>
    <t>Floor titanium</t>
  </si>
  <si>
    <t>Bathroom  floor tile, wall tile, floor concrete and wall plaster demolish work</t>
  </si>
  <si>
    <t xml:space="preserve">Bathware and bathroom accessories fixing </t>
  </si>
  <si>
    <t>Cleaning site.</t>
  </si>
  <si>
    <t>Excavation for foundation.</t>
  </si>
  <si>
    <t>DPC layer</t>
  </si>
  <si>
    <t>Demolishing chimney structure</t>
  </si>
  <si>
    <t>Expose existing foundation rubble for a better connection</t>
  </si>
  <si>
    <t>Driver Quarters</t>
  </si>
  <si>
    <t>concrete connection of existing foundation to new foundation</t>
  </si>
  <si>
    <t>New Random Rubble foundation</t>
  </si>
  <si>
    <t>supply and fixing Scaffolding.</t>
  </si>
  <si>
    <t>carrying cement block 8" bricks  to building site.</t>
  </si>
  <si>
    <t xml:space="preserve">soild cement block walls </t>
  </si>
  <si>
    <t>lintel 4"x6"</t>
  </si>
  <si>
    <t>Excavation work, back filling and all the necessary work.</t>
  </si>
  <si>
    <t>Masonry work and supply cement, sand, scaffolding and other work for 6" thick brick wall</t>
  </si>
  <si>
    <t>Supply and fixing scaffolding and necessary work for 3/4" thick external and internal wall plaster.</t>
  </si>
  <si>
    <t>Roof repair work including replacing old woods, fixing new gutters, down pipes,  including 2 concrete columns.</t>
  </si>
  <si>
    <t>10mm tor steel, 6mm stirrups, bending and binding and all the work for 4" thick extended concrete slab from old concrete slab.</t>
  </si>
  <si>
    <t>12mm tor steel, 6mm stirrups, bending and binding and all the work for 9"x9" slab beams.</t>
  </si>
  <si>
    <t>supply and apply soffit plaster and apply 2 coats putty for soffit, 1 coat filler, 2 coat paint and all the finishing work.</t>
  </si>
  <si>
    <t>Excavation work for column pit and other concrete work.</t>
  </si>
  <si>
    <t xml:space="preserve">Column pit and floor area back filling </t>
  </si>
  <si>
    <t>10mm tor steel, 6mm stirrups, bending and binding , formwork and concreting work for 3'x3' columns.</t>
  </si>
  <si>
    <t>12mm tor steel, 6mm stirrups, formwork, bending and binding and concreting and all the work for 9"x9" plinth beam.</t>
  </si>
  <si>
    <t>10mm tor steel, 6mm stirrups, formwork, concreting work and all the work for up to roof area columns.</t>
  </si>
  <si>
    <t>supply and all the masonry work for cement block walls.</t>
  </si>
  <si>
    <t>supply and masonry work 3/4" thick cement plaster, wall putty, 1 coat wall filler, 2 coat emulsion paint and all the finishing work for internal walls.</t>
  </si>
  <si>
    <t>Supply and masonry work 3/4" thick semi rough wall plaster, 1 coat wall filler, 2 coat weather shield paint for all the external walls.</t>
  </si>
  <si>
    <t>5"x3", 4"x2", 2"x2" wooden raft and asbastos roofing sheet, ridges tiles, valance board, P.V.C gutters, and down pipes, and 4'x4' asbastos sheeet with ceiling frame and all the finishing work and emulsion painting and all the work for roof and ceiling work.</t>
  </si>
  <si>
    <t>8'x3' main door, 7'x3' room door, 6'x6' window, 3'x2' fan light, 6'x4' window and including door frame and door lids, window frames and windows lids, locks, hingers, and necessary goods and water base painting work.</t>
  </si>
  <si>
    <t>botj room plumbing work , wall tile, floor tile and all the finishing work (tile and bathware accessories supplied by client)</t>
  </si>
  <si>
    <t>floor concreting and cement bed, and floor tiling work (tile supplied by client)</t>
  </si>
  <si>
    <t>Supply 16mm tor steel, 8mm stirrups, bending, binding, formwork and (1:2:4 mix- grade 25) concreting, necessary all the work for 12"x9" floor tie beams (Lanva tor steel, Tokyo super Cement)</t>
  </si>
  <si>
    <t>16mm, 12mm tor steel, 8mm stirrups, bending, and binding, formwork and (1:2:4 mix - grade 25) concreting, and all the work for 1'x1' columns</t>
  </si>
  <si>
    <t>16mm, 12mm tor steel, 8mm stirrups, reinforcement work, form work, concreting and steel jacks, and all the work for 1'x1' slab beams.</t>
  </si>
  <si>
    <t>12mm, 10mm tor steel, binding and bending, double net, reinforcement work, 3/4" thick plywood work, 4"x2" wooden rafters, and formwork, steel jacks, and shattering work, 9" thick (grade 25) concreting and all the work for car porche area.</t>
  </si>
  <si>
    <t>10mm tor steel, bending, and binding, 3/4" thick plywood boards, steel jack, formwork and concreting, 4 1/2" thick concreting for ground floor slab area (include 2 staircases)</t>
  </si>
  <si>
    <t>12mm, 10mm tor steel, binding and bending, double net, reinforcement work, 3/4" thick plywood work, 4"x2" wooden rafters, and formwork, steel jacks, and shattering work, 9" thick (grade 25) concreting and all the work for car Porche area.</t>
  </si>
  <si>
    <t>Reinforcement and concreting work for all the half constructed concrete columns.</t>
  </si>
  <si>
    <t>Sqz/ft</t>
  </si>
  <si>
    <t>Backfilling and all the necessary work</t>
  </si>
  <si>
    <t>Supply and apply all the necessary goods, concreting, 10mm tor steel, 6mm stirrups, bending and binding, formwork for 9" thick base concrete</t>
  </si>
  <si>
    <t>12mm tor steel, 6mm stirrups, bending and binding, formwork, concrete work, and necessary all the work concrete columns.</t>
  </si>
  <si>
    <t>12mm tor steel, 6mm stirrups, formwork and concreting for staircase</t>
  </si>
  <si>
    <t>Supply and masonry work 6" thick brick walls including scafoldings and the necessary work for master bedroom, kitchen area and bathroom area.</t>
  </si>
  <si>
    <t>Supply and apply 3/4" thick cement wall plaster, 2 coat wall potty, 1 coat wall filler and 2 coat pentalite paint for  internal walls.</t>
  </si>
  <si>
    <t>10mm tor steel, bending and binding, form work and all the work for 9" thick concrete base.</t>
  </si>
  <si>
    <t>9" thick from concrete base bottom and 7" thick on top concrete wall including 10mm tor steel, bending, binding, form work for plywood board, steel jack and other work (1:2:4 mix grade 25 concrete) and all the work for retaining concrete wall (including 9"x9" concrete columns 4No's)</t>
  </si>
  <si>
    <t>ITEM NO</t>
  </si>
  <si>
    <t>removing asbastos roof</t>
  </si>
  <si>
    <t>removing the ceiling</t>
  </si>
  <si>
    <t>removing doors and windows under 40 sqft</t>
  </si>
  <si>
    <t>removing doors and windows above 40 sqft</t>
  </si>
  <si>
    <t>demolishing block walls</t>
  </si>
  <si>
    <t>demolishing 6" brick walls</t>
  </si>
  <si>
    <t>demolishing 9" brick walls</t>
  </si>
  <si>
    <t>demolishing cement floor with bricks</t>
  </si>
  <si>
    <t>demolishing 4" or less than 4", no tor steel included floor</t>
  </si>
  <si>
    <t>demolishing 4" or less than 4", tor steel included floor</t>
  </si>
  <si>
    <t xml:space="preserve">demolishing foundation wall </t>
  </si>
  <si>
    <t>Earth digging work</t>
  </si>
  <si>
    <t>refill and compressing 150mm using soil in the site</t>
  </si>
  <si>
    <t>Making rubbel wall, cement, sand, 1:5 concrete.</t>
  </si>
  <si>
    <t>foundation normal rubbel wall (150mm - 250mm)</t>
  </si>
  <si>
    <t>foundation top level normal rubbel wall (150mm - 250mm).</t>
  </si>
  <si>
    <t>apply stone chips (without style)</t>
  </si>
  <si>
    <t>apply stone chips (with style)</t>
  </si>
  <si>
    <t>Concreting work</t>
  </si>
  <si>
    <t>mass concrete mixing and applying : site mixed concrete 1:3:6 (40mm), (Grade 15 Mix)/ 1:2:4 (20mm), Grade 20 Mix)</t>
  </si>
  <si>
    <t>foundation beam 50mm thick concreting</t>
  </si>
  <si>
    <t>foundation beam 75mm thick concreting</t>
  </si>
  <si>
    <t>DPC work</t>
  </si>
  <si>
    <t>reinforced concrete mixing and applying (vibrating and curing includes), site mixed concrete 1:2:4 (20mm) grade 'C-20'/1:1 1/1:3(20mm) grade 'C-25'</t>
  </si>
  <si>
    <t>floor and slab concreting</t>
  </si>
  <si>
    <t xml:space="preserve">ground floor 100mm thick concreting </t>
  </si>
  <si>
    <t>ground floor 150mm thick concreting</t>
  </si>
  <si>
    <t>column concreting upto 1st floor</t>
  </si>
  <si>
    <t>6"x6"</t>
  </si>
  <si>
    <t>9"x9"</t>
  </si>
  <si>
    <t>beam concreting</t>
  </si>
  <si>
    <t>9"x6"</t>
  </si>
  <si>
    <t>9"x12"</t>
  </si>
  <si>
    <t>lintel concreting</t>
  </si>
  <si>
    <t>4 1/2" x 6"</t>
  </si>
  <si>
    <t>12"x12"</t>
  </si>
  <si>
    <t>ready mixed concrete (including placing, vibrating and curing</t>
  </si>
  <si>
    <t>ready mixed concreting (first floor slab)</t>
  </si>
  <si>
    <t>ground floor column formwork fixing, cleaning and repairing after using.</t>
  </si>
  <si>
    <t>to beam sides and slabs, joist and necessary jacks, shuttering work, and removing when necessary (height upto 3.6 meters)</t>
  </si>
  <si>
    <t>metal formwork including necessary items</t>
  </si>
  <si>
    <t>wood including necessary items</t>
  </si>
  <si>
    <t>formwork including necessary items</t>
  </si>
  <si>
    <t>ground floor columns, formwork fixing, celaning and repairing after work.</t>
  </si>
  <si>
    <t>beam sides and slab, joist, necessary jacks, shuttering work and removing when necessary (height upto 3.6 meters)</t>
  </si>
  <si>
    <t>Reinforcement - tor steel bending and binding</t>
  </si>
  <si>
    <t>slab beam, columns and lintels reinforcement work, tor steel bending and G.I binding.</t>
  </si>
  <si>
    <t>brick work (cement, sand, 1:5 cement mix)</t>
  </si>
  <si>
    <t>ground floor 4 1/2" thick brick wall (50x95x196mm)</t>
  </si>
  <si>
    <t>brick work</t>
  </si>
  <si>
    <t>ground floor 9" thick brick wall (50x95x196mm)</t>
  </si>
  <si>
    <t>cement floor 3" thick ground floor brick work (50x95x196mm)</t>
  </si>
  <si>
    <t>Hollow block work</t>
  </si>
  <si>
    <t>ground floor 4" thick block walls (400mmx200mmx100mm)</t>
  </si>
  <si>
    <t>ground floor 6" thick block walls (400mmx200mmx100mm)</t>
  </si>
  <si>
    <t>Solid block work</t>
  </si>
  <si>
    <t>ground floor 8" thick block walls (400mmx200mmx200mm)</t>
  </si>
  <si>
    <t>Water proofing</t>
  </si>
  <si>
    <t>Plastering work</t>
  </si>
  <si>
    <t>wall plastering - cement, sand, 1:5 cement mix</t>
  </si>
  <si>
    <t>15mm rough plastering</t>
  </si>
  <si>
    <t>15mm semi rough plastering</t>
  </si>
  <si>
    <t>15mm smooth finish plastering</t>
  </si>
  <si>
    <t>Plastering work - cement, sand, 1:3 cement mix</t>
  </si>
  <si>
    <t>10mm (beams, slab soffits) plastering</t>
  </si>
  <si>
    <t>plastered (beams, slab soffits) smooth finish</t>
  </si>
  <si>
    <t>molding work</t>
  </si>
  <si>
    <t>4" molding work</t>
  </si>
  <si>
    <t>6" molding work</t>
  </si>
  <si>
    <t>Skirting work, cement, sand, 1:3 cement mix</t>
  </si>
  <si>
    <t>12mmx100mm size skirting creation and smooth finish</t>
  </si>
  <si>
    <t>Tiling work</t>
  </si>
  <si>
    <t>8"x8" tile</t>
  </si>
  <si>
    <t>12"x12" tile</t>
  </si>
  <si>
    <t>16"x16" tile</t>
  </si>
  <si>
    <t>24"x24" tile</t>
  </si>
  <si>
    <t>Tile skirting work</t>
  </si>
  <si>
    <t>lower area of wall, tile skirting work</t>
  </si>
  <si>
    <t>wall tile work</t>
  </si>
  <si>
    <t>8"x16" tiles</t>
  </si>
  <si>
    <t>12"x24" tiles</t>
  </si>
  <si>
    <t>interlock stabs work</t>
  </si>
  <si>
    <t>80mm thick interlock apply, floor fixing and quarry dust using for leveling.</t>
  </si>
  <si>
    <t>300x300x50mm thick concrete paving apply, ground fixing and quarry dust for leveling</t>
  </si>
  <si>
    <t>Labor supplying</t>
  </si>
  <si>
    <t>not trained labors</t>
  </si>
  <si>
    <t>half trained labors</t>
  </si>
  <si>
    <t>trained labors</t>
  </si>
  <si>
    <t>specially trained labors</t>
  </si>
  <si>
    <t>paint removal and cleaning</t>
  </si>
  <si>
    <t>potty and painted old walls</t>
  </si>
  <si>
    <t>filler and painted old walls</t>
  </si>
  <si>
    <t>painted steel work</t>
  </si>
  <si>
    <t>painted aluminum work</t>
  </si>
  <si>
    <t>waterbase applied old wooden items</t>
  </si>
  <si>
    <t>varnish applied old wooden items</t>
  </si>
  <si>
    <t>enamel painted old wooden items</t>
  </si>
  <si>
    <t>New walls or fixed old walls/ R.C.C beams, slab</t>
  </si>
  <si>
    <t>plastered walls, R.C.C beams, slabs 2 coat potty apply and smoothing.</t>
  </si>
  <si>
    <t>plastered walls, 2 coat potty apply and smoothing</t>
  </si>
  <si>
    <t>apply 1 filler coat</t>
  </si>
  <si>
    <t>apply 2 filler coats</t>
  </si>
  <si>
    <t>apply 1 coat paint</t>
  </si>
  <si>
    <t>apply 2 coats paint</t>
  </si>
  <si>
    <t>painted walls repainting work</t>
  </si>
  <si>
    <t>apply paint on roof asbastos plates</t>
  </si>
  <si>
    <t xml:space="preserve">apply 1 coat paint on upside </t>
  </si>
  <si>
    <t>apply 2 coat paint on upside</t>
  </si>
  <si>
    <t>apply 1 coat paint on downside</t>
  </si>
  <si>
    <t>apply paint on cement floor</t>
  </si>
  <si>
    <t>apply 1 coat fast drying paint on floor (washing, cleaning and smoothing includes)</t>
  </si>
  <si>
    <t>apply 2 coat fast drying paint on floor (washing, cleaning and smoothing includes)</t>
  </si>
  <si>
    <t>New or fixed old steel items painting.</t>
  </si>
  <si>
    <t>apply 1 coat of anticorrosive paint on steel items</t>
  </si>
  <si>
    <t>apply 2 coat of anticorrosive paint on steel items</t>
  </si>
  <si>
    <t>apply 1 coat paint on steel items</t>
  </si>
  <si>
    <t>apply 2 coat paint on steel items</t>
  </si>
  <si>
    <t>New or fixed old aluminum items painting</t>
  </si>
  <si>
    <t>apply 1 coat paint on aluminum items</t>
  </si>
  <si>
    <t>apply 2 coat paint on aluminum items</t>
  </si>
  <si>
    <t>New or fixed old wooden items painting</t>
  </si>
  <si>
    <t>apply 1 coat waterbase and smoothing</t>
  </si>
  <si>
    <t>apply 2 coat waterbase and smoothing</t>
  </si>
  <si>
    <t>apply 1 coat enamel paint</t>
  </si>
  <si>
    <t>apply 2 coat enamel paint</t>
  </si>
  <si>
    <t>apply 1 coat varnishing paint and smoothing</t>
  </si>
  <si>
    <t>apply 2 coat varnishing paint and smoothing</t>
  </si>
  <si>
    <t>2 slide roof using asbastos sheets</t>
  </si>
  <si>
    <t>normal wood rafters roof</t>
  </si>
  <si>
    <t>perlin roof</t>
  </si>
  <si>
    <t>wooden finish roof</t>
  </si>
  <si>
    <t>asbastos finish roof</t>
  </si>
  <si>
    <t>2 slide roof zink aluminum sheets</t>
  </si>
  <si>
    <t>Thatched roof using zink aluminum sheets</t>
  </si>
  <si>
    <t>Roof top work</t>
  </si>
  <si>
    <t>rooftop work by zink aluminum sheets</t>
  </si>
  <si>
    <t>vadimbu work</t>
  </si>
  <si>
    <t>wooden vadimbu work</t>
  </si>
  <si>
    <t>steel vadimbu work</t>
  </si>
  <si>
    <t>Gutters work</t>
  </si>
  <si>
    <t>P.V.C pipe gutters installation</t>
  </si>
  <si>
    <t>zink aluminum or steel plate gutters installation</t>
  </si>
  <si>
    <t>Down pipe work</t>
  </si>
  <si>
    <t>zink aluminum or steel plate down pipe installation</t>
  </si>
  <si>
    <t>P.V.C pipe Down pipe installation</t>
  </si>
  <si>
    <t>Ceiling installation work</t>
  </si>
  <si>
    <t>Flat ceiling installation using asbastos sheets</t>
  </si>
  <si>
    <t>Roof ceiling installation using asbastos sheets</t>
  </si>
  <si>
    <t>Flat ceiling installation using ceiling planks</t>
  </si>
  <si>
    <t>Roof ceiling installation using ceiling planks</t>
  </si>
  <si>
    <t>Hanging ceiling work</t>
  </si>
  <si>
    <t>Daily salary for labors</t>
  </si>
  <si>
    <t>Door frame work</t>
  </si>
  <si>
    <t>3"x4" wood</t>
  </si>
  <si>
    <t>3"x5" wood</t>
  </si>
  <si>
    <t>window frame work</t>
  </si>
  <si>
    <t>Door lids work</t>
  </si>
  <si>
    <t>Battened door</t>
  </si>
  <si>
    <t>panelled door</t>
  </si>
  <si>
    <t>plywood door</t>
  </si>
  <si>
    <t>decorative door</t>
  </si>
  <si>
    <t>sliding door</t>
  </si>
  <si>
    <t>Window lids work</t>
  </si>
  <si>
    <t>Crossed battened window</t>
  </si>
  <si>
    <t>Glass plain window</t>
  </si>
  <si>
    <t>glass square window</t>
  </si>
  <si>
    <t>Frame installation</t>
  </si>
  <si>
    <t>door frame installation</t>
  </si>
  <si>
    <t>Door lids installation</t>
  </si>
  <si>
    <t>Window lids installation</t>
  </si>
  <si>
    <t>Door and window lids painting work</t>
  </si>
  <si>
    <t>Wood protectors painting</t>
  </si>
  <si>
    <t>water base painting</t>
  </si>
  <si>
    <t>polishing work</t>
  </si>
  <si>
    <t>varnishing work</t>
  </si>
  <si>
    <t>door and window frame painting</t>
  </si>
  <si>
    <t>Pantry cupboard installation</t>
  </si>
  <si>
    <t>Lower racks (35" height, 24" depth) without wooden deck</t>
  </si>
  <si>
    <t>Higher racks(35" height, 14" depth) wooden</t>
  </si>
  <si>
    <t>Lower racks (35" height, 24" depth) without aluminum deck</t>
  </si>
  <si>
    <t>Higher racks(35" height, 14" depth) Aluminum</t>
  </si>
  <si>
    <t>Lower racks (35" height, 24" depth) without PVC board deck</t>
  </si>
  <si>
    <t>Higher racks(35" height, 14" depth) PVC board</t>
  </si>
  <si>
    <t>Grenite deck installation</t>
  </si>
  <si>
    <t>Eco board deck installation</t>
  </si>
  <si>
    <t>Pantry cupboard painting</t>
  </si>
  <si>
    <t>Apply wood protector painting</t>
  </si>
  <si>
    <t>apply water base painting</t>
  </si>
  <si>
    <t>Mt</t>
  </si>
  <si>
    <t>floor cement bed</t>
  </si>
  <si>
    <t>12mm thick floor cement bed</t>
  </si>
  <si>
    <t>20mm thick floor cement bed</t>
  </si>
  <si>
    <t>cemend bed smooth finish</t>
  </si>
  <si>
    <t>apply cement and finish the rooftop using roof ridge tiles</t>
  </si>
  <si>
    <t>removing ridge tile roof</t>
  </si>
  <si>
    <t>Setting up site area</t>
  </si>
  <si>
    <t>bushes and tree removal upto 1 meter height, removing rubbish upto 50 meters far from proposed building walls.</t>
  </si>
  <si>
    <t>upto 150mm soil removing and store in site area as instructions</t>
  </si>
  <si>
    <t>digging and things got from digging tranfer to less than 10 meters away for site area floor compacting, filling and necessary stones reducing.</t>
  </si>
  <si>
    <t>Wall glass cubes work</t>
  </si>
  <si>
    <t>190x190x80mm glass cubes for walls</t>
  </si>
  <si>
    <t>12.0</t>
  </si>
  <si>
    <t>12.1</t>
  </si>
  <si>
    <t>12.2</t>
  </si>
  <si>
    <t>12.3</t>
  </si>
  <si>
    <t>12.4</t>
  </si>
  <si>
    <t>1.0</t>
  </si>
  <si>
    <t>1.1</t>
  </si>
  <si>
    <t>1.2</t>
  </si>
  <si>
    <t>1.3</t>
  </si>
  <si>
    <t>1.4</t>
  </si>
  <si>
    <t>1.5</t>
  </si>
  <si>
    <t>1.6</t>
  </si>
  <si>
    <t>1.7</t>
  </si>
  <si>
    <t>1.8</t>
  </si>
  <si>
    <t>1.9</t>
  </si>
  <si>
    <t>1.10</t>
  </si>
  <si>
    <t>1.11</t>
  </si>
  <si>
    <t>1.12</t>
  </si>
  <si>
    <t>2.0</t>
  </si>
  <si>
    <t>2.1</t>
  </si>
  <si>
    <t>2.2</t>
  </si>
  <si>
    <t>2.3</t>
  </si>
  <si>
    <t>3.0</t>
  </si>
  <si>
    <t>3.1</t>
  </si>
  <si>
    <t>3.2</t>
  </si>
  <si>
    <t>Excavation of soil up to 1.5 meters deep, including wall construction and drainage systems for water management or pit formation, with potential extension or transfer of findings to depths of 10 meters or less.</t>
  </si>
  <si>
    <t>5.0</t>
  </si>
  <si>
    <t>5.1</t>
  </si>
  <si>
    <t>5.2</t>
  </si>
  <si>
    <t>5.3</t>
  </si>
  <si>
    <t>5.4</t>
  </si>
  <si>
    <t>6.0</t>
  </si>
  <si>
    <t>6.1</t>
  </si>
  <si>
    <t>6.1.1</t>
  </si>
  <si>
    <t>6.1.2</t>
  </si>
  <si>
    <t>6.1.3</t>
  </si>
  <si>
    <t>6.2</t>
  </si>
  <si>
    <t>6.2.1</t>
  </si>
  <si>
    <t>6.2.1.1</t>
  </si>
  <si>
    <t>6.2.1.2</t>
  </si>
  <si>
    <t>6.2.2</t>
  </si>
  <si>
    <t>6.2.2.2</t>
  </si>
  <si>
    <t>6.2.2.3</t>
  </si>
  <si>
    <t>6.2.3</t>
  </si>
  <si>
    <t>6.2.3.1</t>
  </si>
  <si>
    <t>6.2.3.2</t>
  </si>
  <si>
    <t>6.2.3.3</t>
  </si>
  <si>
    <t>6.2.3.4</t>
  </si>
  <si>
    <t>6.2.4</t>
  </si>
  <si>
    <t>6.2.4.1</t>
  </si>
  <si>
    <t>6.2.4.2</t>
  </si>
  <si>
    <t>6.2.4.3</t>
  </si>
  <si>
    <t>6.2.4.4</t>
  </si>
  <si>
    <t>6.2.4.5</t>
  </si>
  <si>
    <t>6.3</t>
  </si>
  <si>
    <t>6.3.1</t>
  </si>
  <si>
    <t>6.4</t>
  </si>
  <si>
    <t>6.4.1</t>
  </si>
  <si>
    <t>6.4.1.1</t>
  </si>
  <si>
    <t>6.4.1.2</t>
  </si>
  <si>
    <t>6.4.2</t>
  </si>
  <si>
    <t>6.4.2.1</t>
  </si>
  <si>
    <t>6.4.2.2</t>
  </si>
  <si>
    <t>6.5</t>
  </si>
  <si>
    <t>6.5.1</t>
  </si>
  <si>
    <t>7.0</t>
  </si>
  <si>
    <t>7.1</t>
  </si>
  <si>
    <t>7.1.1</t>
  </si>
  <si>
    <t>7.1.2</t>
  </si>
  <si>
    <t>7.1.3</t>
  </si>
  <si>
    <t>7.2</t>
  </si>
  <si>
    <t>7.2.1</t>
  </si>
  <si>
    <t>7.2.2</t>
  </si>
  <si>
    <t>7.2.3</t>
  </si>
  <si>
    <t>7.3</t>
  </si>
  <si>
    <t>7.3.1</t>
  </si>
  <si>
    <t>7.3.2</t>
  </si>
  <si>
    <t>7.3.3</t>
  </si>
  <si>
    <t>8.0</t>
  </si>
  <si>
    <t>9.0</t>
  </si>
  <si>
    <t>9.1</t>
  </si>
  <si>
    <t>9.1.1</t>
  </si>
  <si>
    <t>9.1.2</t>
  </si>
  <si>
    <t>9.1.3</t>
  </si>
  <si>
    <t>9.2</t>
  </si>
  <si>
    <t>9.2.1</t>
  </si>
  <si>
    <t>9.2.2</t>
  </si>
  <si>
    <t>9.3</t>
  </si>
  <si>
    <t>9.3.1</t>
  </si>
  <si>
    <t>9.3.2</t>
  </si>
  <si>
    <t>9.4</t>
  </si>
  <si>
    <t>9.4.1</t>
  </si>
  <si>
    <t>9.4.2</t>
  </si>
  <si>
    <t>9.4.3</t>
  </si>
  <si>
    <t>9.5</t>
  </si>
  <si>
    <t>9.5.1</t>
  </si>
  <si>
    <t>10</t>
  </si>
  <si>
    <t>10.1</t>
  </si>
  <si>
    <t>10.1.1</t>
  </si>
  <si>
    <t>10.1.2</t>
  </si>
  <si>
    <t>10.1.3</t>
  </si>
  <si>
    <t>10.1.4</t>
  </si>
  <si>
    <t>10.2</t>
  </si>
  <si>
    <t>10.2.1</t>
  </si>
  <si>
    <t>10.3</t>
  </si>
  <si>
    <t>10.3.1</t>
  </si>
  <si>
    <t>10.3.2</t>
  </si>
  <si>
    <t>10.4</t>
  </si>
  <si>
    <t>10.4.1</t>
  </si>
  <si>
    <t>11</t>
  </si>
  <si>
    <t>11.1</t>
  </si>
  <si>
    <t>11.2</t>
  </si>
  <si>
    <t>2.4</t>
  </si>
  <si>
    <t>2.5</t>
  </si>
  <si>
    <t>2.6</t>
  </si>
  <si>
    <t>4.0</t>
  </si>
  <si>
    <t>4.1</t>
  </si>
  <si>
    <t>4.2</t>
  </si>
  <si>
    <t>4.3</t>
  </si>
  <si>
    <t>8.1</t>
  </si>
  <si>
    <t>8.2</t>
  </si>
  <si>
    <t>8.3</t>
  </si>
  <si>
    <t>8.4</t>
  </si>
  <si>
    <t>8.5</t>
  </si>
  <si>
    <t>8.6</t>
  </si>
  <si>
    <t>3.3</t>
  </si>
  <si>
    <t>Thatched roof using asbastos sheets</t>
  </si>
  <si>
    <t xml:space="preserve">roof drainage </t>
  </si>
  <si>
    <t>10.0</t>
  </si>
  <si>
    <t>11.0</t>
  </si>
  <si>
    <t>3.4</t>
  </si>
  <si>
    <t>3.5</t>
  </si>
  <si>
    <t>10.5</t>
  </si>
  <si>
    <t>10.6</t>
  </si>
  <si>
    <t>10.7</t>
  </si>
  <si>
    <t>10.8</t>
  </si>
  <si>
    <t>11.3</t>
  </si>
  <si>
    <t>11.4</t>
  </si>
  <si>
    <t>AMOUNT</t>
  </si>
  <si>
    <t>Unit</t>
  </si>
  <si>
    <t>Quantity</t>
  </si>
  <si>
    <t xml:space="preserve"> Rate </t>
  </si>
  <si>
    <t xml:space="preserve"> Total </t>
  </si>
  <si>
    <t>A</t>
  </si>
  <si>
    <t>Demolishing work excavation and filling</t>
  </si>
  <si>
    <t>A.1</t>
  </si>
  <si>
    <t xml:space="preserve">demolishing existing 9' wall of the cheese factory to </t>
  </si>
  <si>
    <t>provide for new 4x7 door opening</t>
  </si>
  <si>
    <t>sft</t>
  </si>
  <si>
    <t>A.2</t>
  </si>
  <si>
    <t xml:space="preserve">removing existing wall plaster to replaster </t>
  </si>
  <si>
    <t>A.3</t>
  </si>
  <si>
    <t xml:space="preserve">removing asbestos of the existing roof to connect new </t>
  </si>
  <si>
    <t>metal frame work</t>
  </si>
  <si>
    <t>A.4</t>
  </si>
  <si>
    <t xml:space="preserve">removing existing pavement section to provide for </t>
  </si>
  <si>
    <t>column pit excavation( if constructed with bricks)</t>
  </si>
  <si>
    <t>A.5</t>
  </si>
  <si>
    <t>removal of  vegetation over 50 mtrs from site</t>
  </si>
  <si>
    <t>A.6</t>
  </si>
  <si>
    <t>removal of 6" top soil stocking in site</t>
  </si>
  <si>
    <t>A.7</t>
  </si>
  <si>
    <t>excavation of  column pit (4 ft deep) 3x3</t>
  </si>
  <si>
    <t>cu ft</t>
  </si>
  <si>
    <t>A.8</t>
  </si>
  <si>
    <t>excavation for foundations 2.5'x1.75'</t>
  </si>
  <si>
    <t>A.9</t>
  </si>
  <si>
    <t>filling up and ramming hard with a Whacker</t>
  </si>
  <si>
    <t>Carried to Summary</t>
  </si>
  <si>
    <t>B</t>
  </si>
  <si>
    <t xml:space="preserve">Concreter </t>
  </si>
  <si>
    <t>based on that the column pits are 4 ft deep from plinth beam bottom</t>
  </si>
  <si>
    <t>B.1</t>
  </si>
  <si>
    <t>Supply and laying column  base lean concrete 75mm, 10mm tor steel, binding and screed concrete, 1:2:4 mix (grade 25) concrete, and all the necessary work.</t>
  </si>
  <si>
    <t xml:space="preserve"> sft </t>
  </si>
  <si>
    <t>B.2</t>
  </si>
  <si>
    <t xml:space="preserve"> supply and laying foundation base lean concrete 50mm, 1:2:4 mix (grade 25) concrete and all the necessary work.</t>
  </si>
  <si>
    <t>B.3</t>
  </si>
  <si>
    <t>16mm, 10mm tor steel, 6mm stirrups, binding and bending, formwork, concrete work and all the necessary work for 150mm thick, 3x3 column bases.</t>
  </si>
  <si>
    <t>B.4</t>
  </si>
  <si>
    <t>12mm tor steel, 6mm stirrups, bending and binding, formwork, concrete work and all the necessary work for columns to plinth level average 3 ft.</t>
  </si>
  <si>
    <t xml:space="preserve"> ft </t>
  </si>
  <si>
    <t>B.5</t>
  </si>
  <si>
    <t>reinforcement work cutting bending and binding work</t>
  </si>
  <si>
    <t xml:space="preserve">   </t>
  </si>
  <si>
    <t>for B.3 and B.4</t>
  </si>
  <si>
    <t xml:space="preserve"> kg </t>
  </si>
  <si>
    <t>B.6</t>
  </si>
  <si>
    <t>form work B.3 and B.4</t>
  </si>
  <si>
    <t>B.7</t>
  </si>
  <si>
    <t>12mm tor steel, 6mm stirrups, bending and binding, formwork, 1:2:4 mix (grade 25) concrete, and all the necessary work for 9x9 plinth beam</t>
  </si>
  <si>
    <t>B.8</t>
  </si>
  <si>
    <t>12mm tor steel, 6mm stirrups, bending and binding, formwork, 1:2:4 mix (grade 25) concrete, and all the necessary work for 9x6 plinth beams</t>
  </si>
  <si>
    <t>B.9</t>
  </si>
  <si>
    <t>for B.7and B.8</t>
  </si>
  <si>
    <t>B.10</t>
  </si>
  <si>
    <t>form work B.7 and B.8</t>
  </si>
  <si>
    <t>b.11</t>
  </si>
  <si>
    <t>12mm tor steel, 6mm stirrups, bending and binding, 1:2:4 mix (grade 25) concrete, and all the necessary work for columns up to roof level - 9 No's</t>
  </si>
  <si>
    <t>B.12</t>
  </si>
  <si>
    <t>B.13</t>
  </si>
  <si>
    <t>B.14</t>
  </si>
  <si>
    <t>6"x9" thick concrete, form work, 10mm tor steel and all the necessary work for lintel</t>
  </si>
  <si>
    <t>B.15</t>
  </si>
  <si>
    <t>6"x6" thick concrete, form work, 10mm tor steel and all the necessary work for lintel</t>
  </si>
  <si>
    <t>B.16</t>
  </si>
  <si>
    <t>wall top copin 6x9</t>
  </si>
  <si>
    <t>B.17</t>
  </si>
  <si>
    <t>B.18</t>
  </si>
  <si>
    <t>B.19</t>
  </si>
  <si>
    <t>floor mass concrete 100mm thickness</t>
  </si>
  <si>
    <t>B.20</t>
  </si>
  <si>
    <t>floor mass concrete 75mm thickness</t>
  </si>
  <si>
    <t>C</t>
  </si>
  <si>
    <t>Rubble foundation</t>
  </si>
  <si>
    <t>C.1</t>
  </si>
  <si>
    <t>foundation cross 1.75x1+1.25x1+1x1.5 (avg 3.5ft tall) below G/L</t>
  </si>
  <si>
    <t xml:space="preserve"> cu.ft </t>
  </si>
  <si>
    <t>C.2</t>
  </si>
  <si>
    <t>foundation cross +1.25x1+1x1.5 (avg 3.5ft tall) above G/L</t>
  </si>
  <si>
    <t>D</t>
  </si>
  <si>
    <t>Construction of walls</t>
  </si>
  <si>
    <t>D.1</t>
  </si>
  <si>
    <t>Supply and masonry work for 9" thick brick walls including scaffoldings and all the necessary work.</t>
  </si>
  <si>
    <t>D.2</t>
  </si>
  <si>
    <t>Supply and masonry work for 6" thick brick walls including scaffoldings and all the necessary work.</t>
  </si>
  <si>
    <t>D.3</t>
  </si>
  <si>
    <t>4.5 brick formation</t>
  </si>
  <si>
    <t>E</t>
  </si>
  <si>
    <t>plaster and pavier</t>
  </si>
  <si>
    <t>E.1</t>
  </si>
  <si>
    <t>Supply sand, cement and all the necessary things and apply 15mm semi rough wall paster and all the necessary work.</t>
  </si>
  <si>
    <t>E.2</t>
  </si>
  <si>
    <t>Supply and apply plastering of wall smooth line finishing work.</t>
  </si>
  <si>
    <t>E.3</t>
  </si>
  <si>
    <t>supply and plastering of floor rough 30mm heavy use( to pave cement)</t>
  </si>
  <si>
    <t>E.4</t>
  </si>
  <si>
    <t>plastering of floor rough 20mm ( to pave cement)</t>
  </si>
  <si>
    <t>E.5</t>
  </si>
  <si>
    <t>Supply and apply tile mortar, grouting and all the finishing work for tiling walls cool room and milk processing rm up to 4.5 ft (tiles will be supplied by client)</t>
  </si>
  <si>
    <t>E.6</t>
  </si>
  <si>
    <t>Supply and apply tile mortar, grouting and all the finishing work for tiling walls of cool room / processing rm above 4.5 ft (tiles will be supplied by client)</t>
  </si>
  <si>
    <t>E.7</t>
  </si>
  <si>
    <t>Supply and apply tile mortar, grouting and all the finishing work for tiling bath room walls and floor (tiles will be supplied by client)</t>
  </si>
  <si>
    <t>E.8</t>
  </si>
  <si>
    <t>Supply and apply tile mortar, grouting and all the finishing work for tiling bath room floor (small area)(tiles will be supplied by client)</t>
  </si>
  <si>
    <t>E.9</t>
  </si>
  <si>
    <t>cement paving floor</t>
  </si>
  <si>
    <t>F</t>
  </si>
  <si>
    <t xml:space="preserve">Complete corrugated asbestos roof with zn al gutters and </t>
  </si>
  <si>
    <t xml:space="preserve">                               -   </t>
  </si>
  <si>
    <t>F.1</t>
  </si>
  <si>
    <t>down pipes and barges etc, and asbestos ceiling</t>
  </si>
  <si>
    <t>roof with 4 box bar trusses over processing and cooling room</t>
  </si>
  <si>
    <t>F.2</t>
  </si>
  <si>
    <t>rest on sq. tube rafters and perlin frame work 50%mix</t>
  </si>
  <si>
    <t>F.3</t>
  </si>
  <si>
    <t>flat ceiling over cool room and processing room</t>
  </si>
  <si>
    <t>f.4</t>
  </si>
  <si>
    <t>eve ceiling over rest of the area interior only</t>
  </si>
  <si>
    <t>f.5</t>
  </si>
  <si>
    <t>fixing zn al valance boards</t>
  </si>
  <si>
    <t xml:space="preserve"> lft </t>
  </si>
  <si>
    <t>F.6</t>
  </si>
  <si>
    <t>fixing zn al gutters</t>
  </si>
  <si>
    <t>F.7</t>
  </si>
  <si>
    <t>Fixing  zn al down pipes</t>
  </si>
  <si>
    <t>F.8</t>
  </si>
  <si>
    <t>fixing zn al barges board</t>
  </si>
  <si>
    <t>G</t>
  </si>
  <si>
    <t>Color washing</t>
  </si>
  <si>
    <t>G.1</t>
  </si>
  <si>
    <t>supply and applying 2 coats of putty on walls and smoothing</t>
  </si>
  <si>
    <t>G.2</t>
  </si>
  <si>
    <t>supply and applying  2 coats of filleron walls and smoothing</t>
  </si>
  <si>
    <t>G.3</t>
  </si>
  <si>
    <t>supply and applying 2 coats of emulsion paint on smoothened walls</t>
  </si>
  <si>
    <t>G.5</t>
  </si>
  <si>
    <t>supply and applying  2 coats of filler on ceiling and smoothing</t>
  </si>
  <si>
    <t>G.6</t>
  </si>
  <si>
    <t>supply and applying 2 coats of emulsion paint on smoothened  ceiling</t>
  </si>
  <si>
    <t>G.7</t>
  </si>
  <si>
    <t xml:space="preserve"> supply and roller applying a coat of putty/cement/sand on </t>
  </si>
  <si>
    <t>exterior walls for better finish</t>
  </si>
  <si>
    <t>G.8</t>
  </si>
  <si>
    <t>supply and applying 2 coats of weather shied to exterior walls</t>
  </si>
  <si>
    <t>H</t>
  </si>
  <si>
    <t>doors and windows and opening</t>
  </si>
  <si>
    <t xml:space="preserve"> Qty </t>
  </si>
  <si>
    <t xml:space="preserve"> Width(in) </t>
  </si>
  <si>
    <t xml:space="preserve"> Height(in) </t>
  </si>
  <si>
    <t>H.1</t>
  </si>
  <si>
    <t>D2 Double Door</t>
  </si>
  <si>
    <t>(ALUMEX 100mm Swing door with 4mm white cladding. SS304 screws</t>
  </si>
  <si>
    <t>and Hinges used. SS 304 Door handle</t>
  </si>
  <si>
    <t>and Alpha lock with key used)</t>
  </si>
  <si>
    <t>H.2</t>
  </si>
  <si>
    <t>D3 Single Door</t>
  </si>
  <si>
    <t>(ALUMEX 100mm Swing door with 4mm white cladding. SS304 screws and Hinges used. SS 304</t>
  </si>
  <si>
    <t>h.3</t>
  </si>
  <si>
    <t>D3B Single Door</t>
  </si>
  <si>
    <t>H.4</t>
  </si>
  <si>
    <t>D4 Single Door</t>
  </si>
  <si>
    <t>H.5</t>
  </si>
  <si>
    <t>D1 Single Door</t>
  </si>
  <si>
    <t>H.6</t>
  </si>
  <si>
    <t>FL2</t>
  </si>
  <si>
    <t>(ALUMEX 70mm Casement used. 5mm pin head glass used with heavy</t>
  </si>
  <si>
    <t>SS304 Screws used for structural mounting purposes. Neutral Cure silicon used as structural sealent)</t>
  </si>
  <si>
    <t>H.7</t>
  </si>
  <si>
    <t>FH3(ALUMEX 70mm Casement used. 5mm pin head glass used with heavy duty CDM 304 bar hinges used. SS304 Screws used for structural mounting purposes. Neutral Cure silicon used as structural sealent)</t>
  </si>
  <si>
    <t>H.8</t>
  </si>
  <si>
    <t>(ALUMEX 100mm Swing door with 4mm white cladding. Sliding door</t>
  </si>
  <si>
    <t>H.9</t>
  </si>
  <si>
    <t>Transportation fees</t>
  </si>
  <si>
    <t>Complete corrugated asbestos roof with zn al gutters and down pipes and barges etc, and asbestos ceiling</t>
  </si>
  <si>
    <t>Electrical work</t>
  </si>
  <si>
    <t>I.1</t>
  </si>
  <si>
    <t>6W</t>
  </si>
  <si>
    <t>12W</t>
  </si>
  <si>
    <t>16W</t>
  </si>
  <si>
    <t>I.2</t>
  </si>
  <si>
    <t>Standard wire, and all the materials, kevilton socket outlet for:</t>
  </si>
  <si>
    <t>Supply and laying 1" condute, 1/044 fire guard wire, sunk box, L.E.D panel (ceiling sunk type), Kevilton square type switch and  all the necessary materials for point wiring for celining light:</t>
  </si>
  <si>
    <t>13 AMP</t>
  </si>
  <si>
    <t>15 AMP</t>
  </si>
  <si>
    <t>I.3</t>
  </si>
  <si>
    <t>Three Phase panel board (steel box), 4 poll main switch, 4 poll trip switch, single phase trip switch 3 Nos, trip switch 3 Nos, 16 AMP breaker, 10 AMP breaker, box bar, fixing and all the wiring work (material brands will be selected by client)</t>
  </si>
  <si>
    <t>Carried to summary</t>
  </si>
  <si>
    <t>1</t>
  </si>
  <si>
    <t>removing old water tank, all P.V.C pipe lines, and removing all items.</t>
  </si>
  <si>
    <t>2</t>
  </si>
  <si>
    <t>3</t>
  </si>
  <si>
    <t>fixing sink and install a new sink tap.</t>
  </si>
  <si>
    <t>4</t>
  </si>
  <si>
    <t>supply and apply new 1/2", 1", 2" P.V.C pipe line, water tank and Ball valve installation, G.I clips installation and all the necessary items finish the water line work.</t>
  </si>
  <si>
    <t>removing external wall plaster and replastering, apply weather shield painting and finish the work (including scaffolding and all the necessary items).</t>
  </si>
  <si>
    <t>Floor damage fixing and filling, supply and apply (Frinco) parrelastic water proof, all the necessary materials including applying nest, 2 coat water proofing and 3/4" thick floor leveling, cement bed and all the work(inluding rooftop floor area, upto garage concrete flat garden area, interiors of flower pots around the garden, bathroom not included)</t>
  </si>
  <si>
    <t>finishing work</t>
  </si>
  <si>
    <t>Dr. manelgama</t>
  </si>
  <si>
    <t xml:space="preserve">basement </t>
  </si>
  <si>
    <t>ground floor</t>
  </si>
  <si>
    <t>5</t>
  </si>
  <si>
    <t>6</t>
  </si>
  <si>
    <t>7</t>
  </si>
  <si>
    <t>8</t>
  </si>
  <si>
    <t>9</t>
  </si>
  <si>
    <t xml:space="preserve">door frame, window frame and fanlight, awul pass, ana ghla, sawikirimata, 13 No's </t>
  </si>
  <si>
    <t>12</t>
  </si>
  <si>
    <t>Extra work</t>
  </si>
  <si>
    <t>for roller door gate, concrete structural work, front side concrete wall and floor concrete work near the gate, plastering, painting and all the finishing work</t>
  </si>
  <si>
    <t>supply and apply 3 coats wall Potty, smoothing work and supply and apply 1 coat filler, 2 coat paint for basement and ground floor soffit.</t>
  </si>
  <si>
    <t>supply and apply 3 coats wall Potty, smoothing work and supply and apply 1 coat filler, 2 coat paint for basement and ground floor internal walls.</t>
  </si>
  <si>
    <t>supply sand, cement, and all the necessary goods for 3" thick floor concrete, cement bed, and all the finishing work.</t>
  </si>
  <si>
    <t>Supply tile mortar, grouting and all the necessary goods for floor tiling (tile supplied by client)</t>
  </si>
  <si>
    <t>supply and apply external wall paint for front and riverside walls.</t>
  </si>
  <si>
    <t>bathroom plumbing work including supply and apply hot water, vase water,  and all the necessary goods for drainage line and all the fittings for 3 bathrooms.</t>
  </si>
  <si>
    <t>underground floor toilet pit, excavation work, apply 4 No's of 3' rings, concrete plate and all the finishing work.</t>
  </si>
  <si>
    <t>ground floor toilet pit, excavation work, apply 4 No's of 4' rings, concrete plate and all the finishing work.</t>
  </si>
  <si>
    <t>front side Root removal and excavation work, supply sand cement and all the necessary goods for extra concrete wall, 10mm tor steel, block wall, wall plaster and all the finishing work.</t>
  </si>
  <si>
    <t>Brick wall demolishing work of total 92 sq/ft and removing debris from the site area by lorries.</t>
  </si>
  <si>
    <t>supply 12mm tor steel, 6mm stirrups, bending, binding, formwork and all the work for 9"x7" concrete beam.</t>
  </si>
  <si>
    <t>Supply and masonry work 6" thick brick walls including scafoldings and the necessary work</t>
  </si>
  <si>
    <t>Supply and masonry work 3/4" thick wall plaster, necessary sand, cement, scaffolding for beam bottom, wall sides and all the work.</t>
  </si>
  <si>
    <t>Supply class 1 timber, hingers, fastners, clear glass, apply water base, painting and all the necessary work for 6'x4' window frame and lids (Grill will not be included)</t>
  </si>
  <si>
    <t>Supply and masonry work 4" thick brick walls including scafoldings and the necessary work for vet kitchen.</t>
  </si>
  <si>
    <t>Supply 10mm tor steel, sand, cement, formwork and all the necessary work for 3" thick concrete plate for vet kitchen.</t>
  </si>
  <si>
    <t>Supply and masonry work 3/4" thick wall plaster, necessary sand, cement, scaffolding for wall area and concrete plate.</t>
  </si>
  <si>
    <t>Supply sand, cement and necessary all the work for vet kitchen cement bed and semi smoothing work.</t>
  </si>
  <si>
    <t>Excavation work in foundation and floor area.</t>
  </si>
  <si>
    <t>1'5" thick rubbel wall removal for door opening.</t>
  </si>
  <si>
    <t>13</t>
  </si>
  <si>
    <t>14</t>
  </si>
  <si>
    <t>15</t>
  </si>
  <si>
    <t>16</t>
  </si>
  <si>
    <t>17</t>
  </si>
  <si>
    <t>18</t>
  </si>
  <si>
    <t>19</t>
  </si>
  <si>
    <t>20</t>
  </si>
  <si>
    <t>21</t>
  </si>
  <si>
    <t>22</t>
  </si>
  <si>
    <t>23</t>
  </si>
  <si>
    <t>24</t>
  </si>
  <si>
    <t>25</t>
  </si>
  <si>
    <t>26</t>
  </si>
  <si>
    <t>back filling and all the necessary work</t>
  </si>
  <si>
    <t>5"x7" thick concrete, form work and 10mm torsteel and all the work for lintels.</t>
  </si>
  <si>
    <t>floor concrete work for payment area.</t>
  </si>
  <si>
    <t>smooth finishing work for plastering.</t>
  </si>
  <si>
    <t>1'6"x9'0" lintol</t>
  </si>
  <si>
    <t xml:space="preserve">all the necessary work for drainadge and 4" thick riverside wall </t>
  </si>
  <si>
    <t>Apply ridge tile and all the necessary work.</t>
  </si>
  <si>
    <t>apply floor paint</t>
  </si>
  <si>
    <t>apply 4" PVC pipe line  to the drainadge pit.</t>
  </si>
  <si>
    <t>25sqft 4" thick drainage pit concrete plate room area.</t>
  </si>
  <si>
    <t>apply valance board painting</t>
  </si>
  <si>
    <t>apply ceiling potty and painting work.</t>
  </si>
  <si>
    <t>apply 1 coat wall filler, 2 coats paint and all the work for external wall painting</t>
  </si>
  <si>
    <t>apply 1 coat wall filler, 2 coats paint and all the work for internal walls.</t>
  </si>
  <si>
    <t>fixing scafolding and necessary work for 3/4" thick external wall plaster.</t>
  </si>
  <si>
    <t>fixing scafolding and necessary work for 3/4" thick internal wall plaster.</t>
  </si>
  <si>
    <t>masonry work, 4" thick cement blocks, sand, cement, scafolding and necessary all the work for cement block walls.</t>
  </si>
  <si>
    <t>apply rubbel foundation and all the necessary work.</t>
  </si>
  <si>
    <t>27</t>
  </si>
  <si>
    <t>Apply 4" thick drainadge pit concrete plate in room area.</t>
  </si>
  <si>
    <t>apply Cement bed and all the necessary work</t>
  </si>
  <si>
    <t>apply 3" thick floor concrete and all the necessary work</t>
  </si>
  <si>
    <t>asbastos ceiling work and all the necessary work</t>
  </si>
  <si>
    <t>asbastos roof work and all the necessary work.</t>
  </si>
  <si>
    <t>Valance board and necessary work.</t>
  </si>
  <si>
    <t>back filling</t>
  </si>
  <si>
    <t>12mm tor steel, 6mm stirrups, bending and binding, formwork for 9"x9" concrete columns.</t>
  </si>
  <si>
    <t>12mm tor steel, 6mm stirrups, bending and binding, formwork for 9"x12" plinth beams.</t>
  </si>
  <si>
    <t>Excavation work for 3'x3' column pit, 6 Nos</t>
  </si>
  <si>
    <t>Supply and apply all the necessary goods, concreting,12mm tor steel, 6mm stirrups, bending and binding, formwork for 1:2:4 mix concrete for base concrete.</t>
  </si>
  <si>
    <t>10mm torsteel, form work and all the work for 6"x7" thick concrete lintel.</t>
  </si>
  <si>
    <t>Supply and fixing scafolding and necessary work for 3/4" thick semi rough wall plaster .</t>
  </si>
  <si>
    <t>1'5" thick rubble wall removal for door opening.</t>
  </si>
  <si>
    <t>apply rubble foundation and all the necessary work.</t>
  </si>
  <si>
    <t>supply and fixing Scaffolding for all the work from start to finish.</t>
  </si>
  <si>
    <t>carrying cement block 4" bricks to building site.</t>
  </si>
  <si>
    <t>masonry work, 4" thick cement blocks, sand, cement, scaffolding and necessary all the work for cement block walls.</t>
  </si>
  <si>
    <t>1'6"x9'0" lintel</t>
  </si>
  <si>
    <t>4"x6" lintel</t>
  </si>
  <si>
    <t>5"x7" thick concrete, form work and 10mm tor steel and all the work for lintels.</t>
  </si>
  <si>
    <t>Apply 4" thick drainage pit concrete plate in room area.</t>
  </si>
  <si>
    <t>fixing scaffolding and necessary work for 3/4" thick internal wall plaster.</t>
  </si>
  <si>
    <t>fixing scaffolding and necessary work for 3/4" thick external wall plaster.</t>
  </si>
  <si>
    <t>asbestos roof work and all the necessary work.</t>
  </si>
  <si>
    <t>asbestos ceiling work and all the necessary work</t>
  </si>
  <si>
    <t>apply 4" PVC pipe line to the drainage pit.</t>
  </si>
  <si>
    <t xml:space="preserve">all the necessary work for drainage and 4" thick riverside wall </t>
  </si>
  <si>
    <t>Neat cement paving on plaster floor</t>
  </si>
  <si>
    <t>Site cleaning and all the work</t>
  </si>
  <si>
    <t>10mm tor steel, 6mm stirrups, bending and binding, formwork and all the work for column base concrete</t>
  </si>
  <si>
    <t>16mm tor steel, 6mm stirrups, bending and binding, formwork and all the work for 9"x9" concrete column from base concrete upto 1st floor level slab</t>
  </si>
  <si>
    <t>12mm tor steel, 6mm stirrups, bending and binding, formwork and all the work for 9"x9" plinth beam.</t>
  </si>
  <si>
    <t>12mm tor steel, 6mm stirrups, bending and binding, formwork and all the work for 12"x9" slab beam.</t>
  </si>
  <si>
    <t>10mm tor steel, 6mm stirrups, bending and binding, jacks, formwork and all the work for 1st floor slab area.</t>
  </si>
  <si>
    <t>12mm tor steel, 6mm stirrups, bending and binding, formwork and all the work for ground floor level upto 1st floor level staircase.</t>
  </si>
  <si>
    <t>Supply and constructing temporary site hut and all the work.</t>
  </si>
  <si>
    <t>Back filling</t>
  </si>
  <si>
    <t>Supply and apply 3" thick floor plain concrete for floor area.</t>
  </si>
  <si>
    <t>Supply and masonry work for external semi rough wall plaster.</t>
  </si>
  <si>
    <t>Supply and masonry work for internal  3/4" thick wall plaster</t>
  </si>
  <si>
    <t>Supply and apply 3 coat potty, 1 coat wall filler and 2 coat Emulsion paint for soffit area.</t>
  </si>
  <si>
    <t>Supply and apply 3 coat wall potty, 1 coat wall filler, and 2 coat Emulsion paint for internal walls.</t>
  </si>
  <si>
    <t>Tile mortar, tile grout, cutting and tile applying work and all the necessary tiling work for servant toilet and ground floor bathroom walls.</t>
  </si>
  <si>
    <t>3/4" thick sand cement bed, tile mortar, tile grout, cutting and tile applying work and all the work for ground floor tiling (Tile supplied by client)</t>
  </si>
  <si>
    <t>Bathroom, kitchen and hard kitchen plumbing work includes hot water line, 4" drainadge line, waste water line and all the work for septic tank and waste water pit.</t>
  </si>
  <si>
    <t>16mm tor steel - 4 No's, 12mm tor steel - 4 No's, 6mm stirrups, binding and bending, formwork and all the work for 1'x1' concrete column.</t>
  </si>
  <si>
    <t>16mm tor steel - 4 No's, 12mm tor steel - 4 No's, 6mm stirrups, binding and bending, formwork and all the work for 1'x1' slab beam.</t>
  </si>
  <si>
    <t>10mm tor steel, 6mm stirrups, bending 
and binding, jacks, plywood boards, 
formwork, 1:2:4 Grade 25 Mix 
concrete and all the work for 5" thick slab.</t>
  </si>
  <si>
    <t>12mm tor steel, 6mm stirrups, bending and binding, formwork, 1:2:4 Grade 25 Mix concrete and all the work for first floor level upto 2nd floor level staircase.</t>
  </si>
  <si>
    <t>10mm tor steel, 6mm stirrups, bending</t>
  </si>
  <si>
    <t>and binding, jacks, plywood boards,</t>
  </si>
  <si>
    <t>formwork, 1:2:4 Grade 25 Mix</t>
  </si>
  <si>
    <t>concrete and all the work for 5" thick slab.</t>
  </si>
  <si>
    <t>12mm tor steel, 6mm stirrups, bending and binding, formwork, 1:2:4 Grade 25 Mix concrete and all the work for first floor level up to 2nd floor level staircase.</t>
  </si>
  <si>
    <t>Bathroom repairing work, includes commerd sheet cover and remove and fix tilings and water leaks.</t>
  </si>
  <si>
    <t>4" PVC drainage line removing and laying new pipe line, new manhole and repairing work.</t>
  </si>
  <si>
    <t>apply ball valve to the water tank, laying pipe lines and all the necessary work</t>
  </si>
  <si>
    <t>full garden and house cleaning, remove vegetations, empolyee food and salary.</t>
  </si>
  <si>
    <t>1 1/2" PVC line, From bathroom to lake new pipe line and drainage and all the work (all the pipe lines was covered in roots)</t>
  </si>
  <si>
    <t>Transportation and all the other expenses.</t>
  </si>
  <si>
    <t>Supply and laying GI Pillars - 60mm dia meter (6 No's), including excavation and concreting.</t>
  </si>
  <si>
    <t xml:space="preserve">No's </t>
  </si>
  <si>
    <t>Floor concreting, 3" thick path floor cement bed finishing work, necessary all the work for cement work ( includes 2 No's 6" thick stork)</t>
  </si>
  <si>
    <t>2"x2", 1"x1" box, 0.47 thick Zink aluminum roofing sheet, screws, riverts and necessary all the goods and painting, finishing work for roof area.</t>
  </si>
  <si>
    <t>P.V.C Gutters, GI brackets fixing, End caps, down pipes and other items (includes the external paint - color selected by client).</t>
  </si>
  <si>
    <t xml:space="preserve">1 1/2", 1" GI pipe hand railing, including painting, velding and all the necessary work. </t>
  </si>
  <si>
    <t xml:space="preserve">Bath ware and bathroom accessories fixing </t>
  </si>
  <si>
    <t>Formwork</t>
  </si>
  <si>
    <t>Tor steel</t>
  </si>
  <si>
    <t>KG</t>
  </si>
  <si>
    <t>1"x2" timber</t>
  </si>
  <si>
    <t>4"x2" timber</t>
  </si>
  <si>
    <t>wooden rafters</t>
  </si>
  <si>
    <t>10mm tor steel, 6mm stirrups, bending and binding, jacks, plywood boards, formwork, 1:2:4 Grade 25 Mixconcrete and all the work for 5" thick slab.</t>
  </si>
  <si>
    <t>12mm tor steel, 6mm stirrups, binding and bending, formwork and all the work for concrete column.</t>
  </si>
  <si>
    <t>Supply and apply  1 coat wall filler and 2 coat pentalite painting and finishing work internal walls and soffit area.</t>
  </si>
  <si>
    <t>Supply and apply 1 coat wall filler, 2 coat weather shield paint for all the external walls.</t>
  </si>
  <si>
    <t>12mm tor steel, 6mm stirrups, binding and bending, formwork and all the work for slab beam.</t>
  </si>
  <si>
    <t>supply and apply 3 coats wall Potty, smoothing work and supply and apply 1 coat filler, 2 coat paint for soffit.</t>
  </si>
  <si>
    <t>supply and apply 3 coats wall Potty, smoothing work and supply and apply 1 coat filler, 2 coat paint for internal walls.</t>
  </si>
  <si>
    <t>mr. karannagoda, balagolla, kengalla.</t>
  </si>
  <si>
    <t xml:space="preserve">BOQ for </t>
  </si>
  <si>
    <t>fixing all the plumbing work, bathroom accessories, bathware, shower mixer, headshower, bidake shower, and finishing work (bathware and accessories supplied by client)</t>
  </si>
  <si>
    <t>Concrete column and plinth beam work</t>
  </si>
  <si>
    <t>2"x2" timber 2000 Lft, 4"x2" timber 480 Lft, 1"x2" timber 450 Lft, 6"x3" timber 80 Lft, is used until today and still estimating and hard to measure, and more than the BOQ, 2"x2" 1500 Lft extra has been used</t>
  </si>
  <si>
    <t>and when removing roof, the timber are curved damaged etc, so replacement of those is must.</t>
  </si>
  <si>
    <t>12mm tor steel, 6mm stirrups, bending and binding, formwork, concrete work, and necessary all the work for concrete columns upto plinth beams level.</t>
  </si>
  <si>
    <t>As of today, the following timber quantities have been used:
2"x2" timber: 2,000 Lft
4"x2" timber: 480 Lft
1"x2" timber: 450 Lft
6"x3" timber: 80 Lft
These figures are still being estimated and are difficult to measure precisely. Usage has already exceeded the original BOQ, with an additional 1,500 Lft of 2"x2" timber consumed.
Furthermore, during roof removal, many timber sections were found to be curved, damaged, or otherwise compromised. Therefore, replacing these timbers is essential.</t>
  </si>
  <si>
    <t>Mnager quarters No 2</t>
  </si>
  <si>
    <t>Demolishing 9" thick brick wall</t>
  </si>
  <si>
    <t>8" thick concrete cube demolishing</t>
  </si>
  <si>
    <t>4'x4' window frames and lid removal</t>
  </si>
  <si>
    <t>6'.6"x3' door and lids removal</t>
  </si>
  <si>
    <t>Rubbel foundation Excavation work</t>
  </si>
  <si>
    <t>Payment area concrete wall excavation work</t>
  </si>
  <si>
    <t xml:space="preserve">4" thick concrete wall </t>
  </si>
  <si>
    <t>Reinforcement</t>
  </si>
  <si>
    <t xml:space="preserve">rubbel foundation  </t>
  </si>
  <si>
    <t xml:space="preserve">Oven and chiminy removal </t>
  </si>
  <si>
    <t>3" thick floor concrete</t>
  </si>
  <si>
    <t xml:space="preserve">Floor cement bed and color cement </t>
  </si>
  <si>
    <t>Floor paint</t>
  </si>
  <si>
    <t>100mm cement block walls</t>
  </si>
  <si>
    <t>Cement plastering to wall finishes smooth with potty</t>
  </si>
  <si>
    <t xml:space="preserve">35mm - 150mm reveals </t>
  </si>
  <si>
    <t xml:space="preserve">35mm - 150mm semi rough reveals </t>
  </si>
  <si>
    <t>Semi rough wall plaster</t>
  </si>
  <si>
    <t>Weather shield paint</t>
  </si>
  <si>
    <t>Roof ceiling removal</t>
  </si>
  <si>
    <t xml:space="preserve">Asbastos ceiling </t>
  </si>
  <si>
    <t>2 coat potty and 1 coat wall filler, 2 coat emulsion ceiling paint</t>
  </si>
  <si>
    <t xml:space="preserve">extended roof </t>
  </si>
  <si>
    <t>Valance board</t>
  </si>
  <si>
    <t>Valance board 1 coat primer, 2 coat enamel paint</t>
  </si>
  <si>
    <t>PVC Gutters</t>
  </si>
  <si>
    <t>Down pipe</t>
  </si>
  <si>
    <t>Ridge tiles</t>
  </si>
  <si>
    <t>Roofing paint</t>
  </si>
  <si>
    <t>3" thick payment concrete</t>
  </si>
  <si>
    <t>payment concrete formwork</t>
  </si>
  <si>
    <t>plinth plaster and cement finishing work</t>
  </si>
  <si>
    <t xml:space="preserve">7"x4" lintel </t>
  </si>
  <si>
    <t>pantry top concrete</t>
  </si>
  <si>
    <t>cement bed and tile</t>
  </si>
  <si>
    <t>plumbing work, fixing sink unit, sink tap, waste water line and all the work</t>
  </si>
  <si>
    <t>bathroom wall tile</t>
  </si>
  <si>
    <t>bathroom plumbing work, laying pipe PVC on wall, include waste water, sink waste, pipe line</t>
  </si>
  <si>
    <t>110mm diameter, type 400 drainage line</t>
  </si>
  <si>
    <t>bidet spray</t>
  </si>
  <si>
    <t>closet with angle valve and flexible horse</t>
  </si>
  <si>
    <t>ceramic sink</t>
  </si>
  <si>
    <t xml:space="preserve">hot water shower </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</si>
  <si>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</si>
  <si>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</si>
  <si>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</si>
  <si>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</si>
  <si>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</si>
  <si>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</si>
  <si>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</si>
  <si>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</si>
  <si>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</si>
  <si>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</si>
  <si>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</si>
  <si>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</si>
  <si>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</si>
  <si>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</si>
  <si>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</si>
  <si>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</si>
  <si>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</si>
  <si>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</si>
  <si>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</si>
  <si>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</si>
  <si>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</si>
  <si>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</si>
  <si>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</si>
  <si>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</si>
  <si>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</si>
  <si>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</si>
  <si>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</si>
  <si>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</si>
  <si>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</si>
  <si>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</si>
  <si>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</si>
  <si>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</si>
  <si>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</si>
  <si>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servant toilet wall tiles</t>
  </si>
  <si>
    <t>Floor tile</t>
  </si>
  <si>
    <t>fixing 6'.6"x3' door frame</t>
  </si>
  <si>
    <t>fixing window frame</t>
  </si>
  <si>
    <t>Door and window water base paint</t>
  </si>
  <si>
    <t>61</t>
  </si>
  <si>
    <t>Demolishing wall plaster</t>
  </si>
  <si>
    <r>
      <t>1</t>
    </r>
    <r>
      <rPr>
        <vertAlign val="superscript"/>
        <sz val="14"/>
        <color rgb="FF000000"/>
        <rFont val="Times New Roman"/>
        <family val="1"/>
      </rPr>
      <t>st</t>
    </r>
    <r>
      <rPr>
        <sz val="14"/>
        <color rgb="FF000000"/>
        <rFont val="Times New Roman"/>
        <family val="1"/>
      </rPr>
      <t xml:space="preserve"> floor</t>
    </r>
  </si>
  <si>
    <r>
      <t>2</t>
    </r>
    <r>
      <rPr>
        <vertAlign val="superscript"/>
        <sz val="14"/>
        <color rgb="FF000000"/>
        <rFont val="Times New Roman"/>
        <family val="1"/>
      </rPr>
      <t>nd</t>
    </r>
    <r>
      <rPr>
        <sz val="14"/>
        <color rgb="FF000000"/>
        <rFont val="Times New Roman"/>
        <family val="1"/>
      </rPr>
      <t xml:space="preserve"> floor</t>
    </r>
  </si>
  <si>
    <r>
      <t>1</t>
    </r>
    <r>
      <rPr>
        <vertAlign val="superscript"/>
        <sz val="11"/>
        <color rgb="FF000000"/>
        <rFont val="Times New Roman"/>
        <family val="1"/>
      </rPr>
      <t>st</t>
    </r>
    <r>
      <rPr>
        <sz val="11"/>
        <color rgb="FF000000"/>
        <rFont val="Times New Roman"/>
        <family val="1"/>
      </rPr>
      <t xml:space="preserve"> floor upto 2</t>
    </r>
    <r>
      <rPr>
        <vertAlign val="superscript"/>
        <sz val="11"/>
        <color rgb="FF000000"/>
        <rFont val="Times New Roman"/>
        <family val="1"/>
      </rPr>
      <t>nd</t>
    </r>
    <r>
      <rPr>
        <sz val="11"/>
        <color rgb="FF000000"/>
        <rFont val="Times New Roman"/>
        <family val="1"/>
      </rPr>
      <t xml:space="preserve"> floor New staircase 7'.0"x20'.0", concreting and all the work.</t>
    </r>
  </si>
  <si>
    <r>
      <t>Supply 16mm tor steel, 8mm stirrups, bending, binding, formwork and (1:2:4 mix- grade 25) concreting, necessary all the work for 12"x9" floor tie beams (Lanva tor steel, Tokyo super Cement)</t>
    </r>
    <r>
      <rPr>
        <sz val="11"/>
        <color theme="1"/>
        <rFont val="Times New Roman"/>
        <family val="1"/>
      </rPr>
      <t xml:space="preserve"> </t>
    </r>
  </si>
  <si>
    <r>
      <t xml:space="preserve"> </t>
    </r>
    <r>
      <rPr>
        <sz val="11"/>
        <color rgb="FF000000"/>
        <rFont val="Times New Roman"/>
        <family val="1"/>
      </rPr>
      <t>Door handle and Alpha lock with key used)</t>
    </r>
  </si>
  <si>
    <r>
      <t xml:space="preserve"> </t>
    </r>
    <r>
      <rPr>
        <sz val="11"/>
        <color rgb="FF000000"/>
        <rFont val="Times New Roman"/>
        <family val="1"/>
      </rPr>
      <t>duty CDM 304 bar hinges used.</t>
    </r>
  </si>
  <si>
    <t>Rubble floor demolish work</t>
  </si>
  <si>
    <t>cu/ft</t>
  </si>
  <si>
    <t>9" thick brick wall demolish work</t>
  </si>
  <si>
    <t>9"x9"x8' concrete reinforcemnt beam.</t>
  </si>
  <si>
    <t>Cement bed and red cement finishing work</t>
  </si>
  <si>
    <t>Apply 15mm thick wall plaster, wall potty, smooth finish.</t>
  </si>
  <si>
    <t>wall filler and paint</t>
  </si>
  <si>
    <t>Roof repairing, 6"x3", 5"x2" timber connection, existing support jack removal.</t>
  </si>
  <si>
    <t>extended roof</t>
  </si>
  <si>
    <t>Roof paint</t>
  </si>
  <si>
    <t xml:space="preserve">drainage and waste water line </t>
  </si>
  <si>
    <t xml:space="preserve">Bip tap </t>
  </si>
  <si>
    <t>bathroom 4'x4' gali work and gali cover fixing</t>
  </si>
  <si>
    <t>re apply 2 coat wall potty, 1 coat wall filler, 2 coat weather shield for front wall</t>
  </si>
  <si>
    <t>6"x 9" lintel concreting work.</t>
  </si>
  <si>
    <t>manager quarters 1</t>
  </si>
  <si>
    <t>apply floor concrete and all the necessary work</t>
  </si>
  <si>
    <t>Payment 4" thick block walls</t>
  </si>
  <si>
    <t>sqft</t>
  </si>
  <si>
    <t>roof coverings</t>
  </si>
  <si>
    <t>ridge tile</t>
  </si>
  <si>
    <t>PROPOSED REFURBISHMENT OF THE REST HOUSE KITHULGALA FOR CHC REST HOUSE (PVT) LTD.</t>
  </si>
  <si>
    <t>PACKAGE 3 - MOCKUP ROOM (SIX ROOM)</t>
  </si>
  <si>
    <t>QSERVE (PVT) LTD.</t>
  </si>
  <si>
    <t>CONSULTANT QUANTITY SURVEYORS 31B, ALBERT PLACE, DEHIWALA.</t>
  </si>
  <si>
    <t>TEL/ FAX: 733219, 738064</t>
  </si>
  <si>
    <t>BILL OF QUANTITIES</t>
  </si>
  <si>
    <t>NO</t>
  </si>
  <si>
    <t>RATE</t>
  </si>
  <si>
    <t>B/00</t>
  </si>
  <si>
    <t>PRELIMINARIES</t>
  </si>
  <si>
    <t>The Bidder is advised to refer to the General Notes, Pricing Preambles, Drawings, Specifications, Condition of Contract, Special Conditions of Contract and other relevant documents prior to pricing of the following items. It is the tenderer's responsibility to see that his price includes for complying with all the requirements of the conditions of contract and other documents whether specifically referred to in this Bill of Quantities or not.</t>
  </si>
  <si>
    <t>The Bidder is advised to visit the site of the proposed work, as it is his responsibility to ascertain the conditions such as access to the site, external working space, storage area, availability of power and water etc. or any other conditions of relevance.</t>
  </si>
  <si>
    <t>Any other preliminary items not listed below but deemed necessary for the successful execution of the project shall be included in the Bidder rates, as no claims for extra payments for such, would be entertained.</t>
  </si>
  <si>
    <t>A list of typical general items are given below. However, the tenderer is requested to price only those items that may affect this contract.</t>
  </si>
  <si>
    <t>The Bidder shall be responsible for any loss or damage to the works, existing structures, adjoining or adjacent structures and unfixed materials during the term of the contract.</t>
  </si>
  <si>
    <t>All temporary works shall be dismantled and cleared away from the site on completion of the work.</t>
  </si>
  <si>
    <t>The items in the Preliminaries will be paid on actual but not exceeding the quoted value.</t>
  </si>
  <si>
    <t>Plant, Material &amp; Work Practices</t>
  </si>
  <si>
    <t>No work in any trade shall be carried out in such a manner as to cause any damage and nuisance to adjacent owners or the public.</t>
  </si>
  <si>
    <t>Mechanical plant and equipment which emits excessive noise, water, smoke, fumes, obnoxious liquids, gases etc., will not be allowed to be used on the site. If the use of such machinery becomes necessary, the Bidder is expected to obtain prior approval from the Employer and the Engineer.</t>
  </si>
  <si>
    <t>The Engineer has the discretion as to when he deems it necessary for the Bidder to take precautions, maintain or repair any such plant and equipment or order their removal from the site.</t>
  </si>
  <si>
    <t>As soon as the Bidder has been given instructions to proceed with the Works, Bidder shall immediately submit the site layout plan for temporary facilities for Engineer's approval.</t>
  </si>
  <si>
    <t>The rate shall include for relocation of temporary sheds, offices and stores as required according to the site condition.</t>
  </si>
  <si>
    <t>Site Cleaning-</t>
  </si>
  <si>
    <t>B/1</t>
  </si>
  <si>
    <t>Allow for maintaining the site in a clean and orderly condition during the entire construction period, and on completion, disposal of rubbish and debris and clearing up site regular without allowing for accumulation and leaving all in good order at handing over. The burying of rubbish and debris on site will not be allowed and no trees to be cut without prior approval from the Engineer.</t>
  </si>
  <si>
    <t>Insurance-</t>
  </si>
  <si>
    <t>B/2</t>
  </si>
  <si>
    <t>Allow for providing Contractor's all risk insurance policy with third party liability as required by the Contract including insurance against loss or damage to the Works, adjacent structures, any existing over head and/or under ground services that may cause damages as a result of this contract including natural disasters.</t>
  </si>
  <si>
    <t>B/3</t>
  </si>
  <si>
    <t>Allow for Contractor's workmen compensation insurance cover (Workmen compensation insurance cover to be provided for all permanent, temporary and sub Contractor's workers.)</t>
  </si>
  <si>
    <t>Bonds and guarantees-</t>
  </si>
  <si>
    <t>B/4</t>
  </si>
  <si>
    <t>Allow for submission of performance bond bank guarantee as per the contract.</t>
  </si>
  <si>
    <t>B/5</t>
  </si>
  <si>
    <t>Allow for submission of advance payment guarantee as per the contract.</t>
  </si>
  <si>
    <t>B/6</t>
  </si>
  <si>
    <t>Allow for any other preliminary items deemed necessary for the completion of the works. (Contractor to state details and cost of such items if included).</t>
  </si>
  <si>
    <t>TOTAL FOR PRELIMINARIES CARRIED TO TENDER SUMMARY</t>
  </si>
  <si>
    <t>Rs.</t>
  </si>
  <si>
    <t>C/00</t>
  </si>
  <si>
    <t>DEMOLITION WORKS</t>
  </si>
  <si>
    <t>The bidder is requested to refer to general notes, pricing preambles, drawings, specifications, conditions of contract, special conditions of contract, and all other relevant documents prior to pricing the following items.</t>
  </si>
  <si>
    <t>The bidder is requested to visit the site and to acquaint himself with the work spaces, conditions of adjoining properties, access, actual extent of the work to be done, possible methods of demolition, reusable materials, existing services, methods of disconnecting and terminating services, methods of transportation of material, equipment to be used, etc. prior to pricing this section.</t>
  </si>
  <si>
    <t>Rates shall include rectification of excess damage to the permanent existing structure to receive new finishes to the required level in an appropriate method acceptable to the engineer.</t>
  </si>
  <si>
    <t>Bidders are advised to visit the site and inspect the demolition work to be carried out, to be well aware of the thickness, size, and present status of the items to be demolished, and to price these items accordingly.</t>
  </si>
  <si>
    <t>All valuable material or items dismantled shall be carefully stacked at the site where directed for the purpose of reusing or handing over to the hotel. All such materials and items shall be protected from weather, sunlight, and rain. Rates for demolition shall include the same, whether specifically stated or not in the items.</t>
  </si>
  <si>
    <t>All unusable material and debris shall be removed from the site with the prior approval of the engineer and the project manager. Rates for demolition shall include the same, whether specifically stated or not in the items.</t>
  </si>
  <si>
    <t>The demolition work shall be carried out using an approved method with approved tools and equipment acceptable to the consultant with prior approval.</t>
  </si>
  <si>
    <t>Unless otherwise stated, refer to Specifications of Building Works Volumes</t>
  </si>
  <si>
    <t>1 and 2 and other relevant Special Specifications prepared and published by the Institute for Construction Training and Development (ICTAD) in Sri Lanka.</t>
  </si>
  <si>
    <t>Rates shall include all precautions to minimize noise, dust, vibrations, etc., with the approval of the consultant.</t>
  </si>
  <si>
    <t>Rates shall include for carting away all the debris from the site as directed by the Site Engineer.</t>
  </si>
  <si>
    <t>Rates shall include carrying out this demolition work during the time approved by the employer, and the bidder shall obtain prior approval from the employer or engineer prior to the commencement of work.</t>
  </si>
  <si>
    <t>Rates for demolishing shall include carrying out all work with equipment suitable to the nature of this work without causing any damage to the existing neighboring structures using an approved method, with minimum damage to all other existing work. Any damages are to be rectified at the bidder's cost with the approval of the engineer. All precautionary measures are to be carried out with the approval of the engineer prior to the commencement of any demolishing work to avoid damages to workers, outsiders, existing services, existing structures, adjoining properties, public services, etc.</t>
  </si>
  <si>
    <t>The rate shall include disconnecting and terminating the electrical, water, sewerage, and waste water systems (if necessary) with the approval of the authorities and the consultant.</t>
  </si>
  <si>
    <t>The rate shall include necessary reinstatements and rectifications after demolition as specified in the specifications</t>
  </si>
  <si>
    <t>The bidder's rates shall include for laying polythene layer including 2mm thick plywood sheets on the top to cover the floor areas and furniture.</t>
  </si>
  <si>
    <t>Rates shall include for all necessary scaffolding to suit the nature of the work unless otherwise mesured separately.</t>
  </si>
  <si>
    <t>Services-</t>
  </si>
  <si>
    <t>C/1</t>
  </si>
  <si>
    <r>
      <t xml:space="preserve">Allow for carefully </t>
    </r>
    <r>
      <rPr>
        <b/>
        <sz val="9.5"/>
        <color theme="1"/>
        <rFont val="Times New Roman"/>
        <family val="1"/>
      </rPr>
      <t>disconnecting or diverting services such as the water supply system</t>
    </r>
    <r>
      <rPr>
        <sz val="9.5"/>
        <color theme="1"/>
        <rFont val="Times New Roman"/>
        <family val="1"/>
      </rPr>
      <t xml:space="preserve">, including the removal of pipes, pipe specials fittings, valves, pipe supports, etc., and sealing off live service lines to the approval of the engineer &amp; carefully </t>
    </r>
    <r>
      <rPr>
        <b/>
        <sz val="9.5"/>
        <color theme="1"/>
        <rFont val="Times New Roman"/>
        <family val="1"/>
      </rPr>
      <t xml:space="preserve">disconnecting or diverting electrical services, the removal of electrical fittings, </t>
    </r>
    <r>
      <rPr>
        <sz val="9.5"/>
        <color theme="1"/>
        <rFont val="Times New Roman"/>
        <family val="1"/>
      </rPr>
      <t>including point wiring, socket outlets, cable ladders, etc., and terminating live wires with the approval of the engineer.( Rate Shall Incluiding existing Shower glass partition)</t>
    </r>
  </si>
  <si>
    <t>Demolition of existing brick/block walls</t>
  </si>
  <si>
    <t>C/2</t>
  </si>
  <si>
    <t>Carefully Demolition and removal of existing walls including existing finishes and disposal of all debris away from premises as directed. (Rate Shall Incluiding lintels , beams &amp; Column)</t>
  </si>
  <si>
    <t>Sqft</t>
  </si>
  <si>
    <t>C/3</t>
  </si>
  <si>
    <t>Carefully removing and breaking of existing Wall tiles including Skirting, Bedding &amp; Plaster and carting away all debris from the site as directed by the Engineer.</t>
  </si>
  <si>
    <t>C/4</t>
  </si>
  <si>
    <t>Carefully removal of Existing Vanity Counter, usable materials and items to be handed over to the Client after cleaning. All debris to be carted away from the premises as directed.</t>
  </si>
  <si>
    <t>Removing of existing floor</t>
  </si>
  <si>
    <t>C/5</t>
  </si>
  <si>
    <t>Removing of existing Windows &amp; Door's</t>
  </si>
  <si>
    <t>C/6</t>
  </si>
  <si>
    <t>C/7</t>
  </si>
  <si>
    <t>C/8</t>
  </si>
  <si>
    <t>Any Other Item</t>
  </si>
  <si>
    <t>C/9</t>
  </si>
  <si>
    <t>TOTAL FOR DEMOLITION WORKS CARRIED TO GRAND SUMMARY</t>
  </si>
  <si>
    <t>Carefully demolition and breaking of the existing tiled / Terra cotta or Cement floor and carting away debris from the site as directed by the Engineer.</t>
  </si>
  <si>
    <t>Carefully removal of the existing timber Door, including the frame work and door to be handed over to the Client after cleaning. All debris to be carted away from the premises as directed.</t>
  </si>
  <si>
    <t>Carefully removal of the existing Window, including the frame work and window to be handed over to the Client after cleaning. All debris to be carted away from the premises as directed.</t>
  </si>
  <si>
    <t>Carefully removing of the existing timber Wardrobe,Dressing Table and handing over to the Client after cleaning. All debris to be carted away from the premises as directed.</t>
  </si>
  <si>
    <t>Allow for any other items necessary for the satisfactory completion of the work but not included above (submit details with the tender).</t>
  </si>
  <si>
    <t>F/00</t>
  </si>
  <si>
    <t>CONCRETE WORKS</t>
  </si>
  <si>
    <t>The Bidder is requested to refer the General Note, Pricing Preambles, Drawing, Specification, Condition of Contract, Special Conditions of Contract and other relevant documents prior to pricing of the following items.</t>
  </si>
  <si>
    <t>Unless otherwise stated all concrete shall be:</t>
  </si>
  <si>
    <t>a) All structural concrete shall be 1:1 1/2:3 (G25), 1:2:4(G20) &amp; lean concrete shall be 1:3: 6 (G15).</t>
  </si>
  <si>
    <t>b) All concrete shall be so cast as to receive only that finishing on its exposed faces as specified in the respective items.</t>
  </si>
  <si>
    <t>c) All concrete shall be made dense with a vibrator, the type and suitability of which shall be agreed with the Engineer/ Consultant's prior to commencement of Concreting of each item.</t>
  </si>
  <si>
    <t>d) All reinforcement and formwork have been measured separately.</t>
  </si>
  <si>
    <t>Rates shall include for plant for mixing, handling, hoisting, depositing, compacting, vibrating, curing, and making good any defects after removal of formwork.</t>
  </si>
  <si>
    <r>
      <t xml:space="preserve">Rates shall include for tests to determine compressive strength, slump etc., as and at frequencies as directed by the Structural Engineer. </t>
    </r>
    <r>
      <rPr>
        <u/>
        <sz val="9.5"/>
        <color theme="1"/>
        <rFont val="Times New Roman"/>
        <family val="1"/>
      </rPr>
      <t>Test</t>
    </r>
    <r>
      <rPr>
        <sz val="9.5"/>
        <color theme="1"/>
        <rFont val="Times New Roman"/>
        <family val="1"/>
      </rPr>
      <t xml:space="preserve"> </t>
    </r>
    <r>
      <rPr>
        <u/>
        <sz val="9.5"/>
        <color theme="1"/>
        <rFont val="Times New Roman"/>
        <family val="1"/>
      </rPr>
      <t>Reports</t>
    </r>
    <r>
      <rPr>
        <sz val="9.5"/>
        <color theme="1"/>
        <rFont val="Times New Roman"/>
        <family val="1"/>
      </rPr>
      <t xml:space="preserve"> </t>
    </r>
    <r>
      <rPr>
        <u/>
        <sz val="9.5"/>
        <color theme="1"/>
        <rFont val="Times New Roman"/>
        <family val="1"/>
      </rPr>
      <t>for</t>
    </r>
    <r>
      <rPr>
        <sz val="9.5"/>
        <color theme="1"/>
        <rFont val="Times New Roman"/>
        <family val="1"/>
      </rPr>
      <t xml:space="preserve"> </t>
    </r>
    <r>
      <rPr>
        <u/>
        <sz val="9.5"/>
        <color theme="1"/>
        <rFont val="Times New Roman"/>
        <family val="1"/>
      </rPr>
      <t>concrete,</t>
    </r>
    <r>
      <rPr>
        <sz val="9.5"/>
        <color theme="1"/>
        <rFont val="Times New Roman"/>
        <family val="1"/>
      </rPr>
      <t xml:space="preserve"> </t>
    </r>
    <r>
      <rPr>
        <u/>
        <sz val="9.5"/>
        <color theme="1"/>
        <rFont val="Times New Roman"/>
        <family val="1"/>
      </rPr>
      <t>sand</t>
    </r>
    <r>
      <rPr>
        <sz val="9.5"/>
        <color theme="1"/>
        <rFont val="Times New Roman"/>
        <family val="1"/>
      </rPr>
      <t xml:space="preserve"> </t>
    </r>
    <r>
      <rPr>
        <u/>
        <sz val="9.5"/>
        <color theme="1"/>
        <rFont val="Times New Roman"/>
        <family val="1"/>
      </rPr>
      <t>and</t>
    </r>
    <r>
      <rPr>
        <sz val="9.5"/>
        <color theme="1"/>
        <rFont val="Times New Roman"/>
        <family val="1"/>
      </rPr>
      <t xml:space="preserve"> </t>
    </r>
    <r>
      <rPr>
        <u/>
        <sz val="9.5"/>
        <color theme="1"/>
        <rFont val="Times New Roman"/>
        <family val="1"/>
      </rPr>
      <t>aggregates</t>
    </r>
    <r>
      <rPr>
        <sz val="9.5"/>
        <color theme="1"/>
        <rFont val="Times New Roman"/>
        <family val="1"/>
      </rPr>
      <t xml:space="preserve"> </t>
    </r>
    <r>
      <rPr>
        <u/>
        <sz val="9.5"/>
        <color theme="1"/>
        <rFont val="Times New Roman"/>
        <family val="1"/>
      </rPr>
      <t>should</t>
    </r>
    <r>
      <rPr>
        <sz val="9.5"/>
        <color theme="1"/>
        <rFont val="Times New Roman"/>
        <family val="1"/>
      </rPr>
      <t xml:space="preserve"> </t>
    </r>
    <r>
      <rPr>
        <u/>
        <sz val="9.5"/>
        <color theme="1"/>
        <rFont val="Times New Roman"/>
        <family val="1"/>
      </rPr>
      <t>be</t>
    </r>
    <r>
      <rPr>
        <sz val="9.5"/>
        <color theme="1"/>
        <rFont val="Times New Roman"/>
        <family val="1"/>
      </rPr>
      <t xml:space="preserve"> </t>
    </r>
    <r>
      <rPr>
        <u/>
        <sz val="9.5"/>
        <color theme="1"/>
        <rFont val="Times New Roman"/>
        <family val="1"/>
      </rPr>
      <t>submitted</t>
    </r>
    <r>
      <rPr>
        <sz val="9.5"/>
        <color theme="1"/>
        <rFont val="Times New Roman"/>
        <family val="1"/>
      </rPr>
      <t xml:space="preserve"> </t>
    </r>
    <r>
      <rPr>
        <u/>
        <sz val="9.5"/>
        <color theme="1"/>
        <rFont val="Times New Roman"/>
        <family val="1"/>
      </rPr>
      <t>to</t>
    </r>
    <r>
      <rPr>
        <sz val="9.5"/>
        <color theme="1"/>
        <rFont val="Times New Roman"/>
        <family val="1"/>
      </rPr>
      <t xml:space="preserve"> </t>
    </r>
    <r>
      <rPr>
        <u/>
        <sz val="9.5"/>
        <color theme="1"/>
        <rFont val="Times New Roman"/>
        <family val="1"/>
      </rPr>
      <t>the</t>
    </r>
    <r>
      <rPr>
        <sz val="9.5"/>
        <color theme="1"/>
        <rFont val="Times New Roman"/>
        <family val="1"/>
      </rPr>
      <t xml:space="preserve"> </t>
    </r>
    <r>
      <rPr>
        <u/>
        <sz val="9.5"/>
        <color theme="1"/>
        <rFont val="Times New Roman"/>
        <family val="1"/>
      </rPr>
      <t>Engineer/Consultant.</t>
    </r>
  </si>
  <si>
    <t>Cube compressive strength at 7 days shall not be less than 2/3rd the value specified at 28 days.</t>
  </si>
  <si>
    <t>Rates shall include for forming expansion joints, construction joints, isolation joints , and the like including necessary sealant and other accessories, unless otherwise separately measured.</t>
  </si>
  <si>
    <t>Rates shall include for forming holes in concrete, cutting chases and the like.</t>
  </si>
  <si>
    <t>Where precast shelf slabs are called for, they shall be of the required dimensions and shall be accurately cast ensuring adequate concrete cover.</t>
  </si>
  <si>
    <t>All reinforcement concrete work shall be carried out in accordance with B.S. 8110 of 1985 and parts remaining under water shall be carried out in accordance with B.S. 8097 of 1987.</t>
  </si>
  <si>
    <t>The cement is to be Portland cement obtained from an approved manufacturer and shall comply with B.S. 12, used fresh and stored in a dry place.</t>
  </si>
  <si>
    <t>Concrete shall be "ready-Mix" unless allowed by the Engineer. All "ready-Mix" designs to be produced to Engineer's prior approval. The Bidder shall indicate his probable "Ready-Mix" supplier with details along with the bid.</t>
  </si>
  <si>
    <t>Rate shall include for shown all construction joints with construction grout or "master flow 98" grout.</t>
  </si>
  <si>
    <t>Rate for concrete work shall include for taking all necessary precautions to cover the concrete surface with "Polythene" to protect from drying, shrinkage of the surface.</t>
  </si>
  <si>
    <t>High Yield Steel (Fy= 460N/mm2) reinforcement including bends, hooks, tying wire, distance blocks and ordinary spacers in varying diameters</t>
  </si>
  <si>
    <t>Mild steel (fy=250 N/mm2) Rod reinforcement</t>
  </si>
  <si>
    <t>Form work and false work shall be provided with adequate struts, braces, ties, clamps and the like so as to maintain the dimensions, lines and levels shown in the drawings during the entire operation of placing and compacting the concrete and to prevent any sagging exceeding 3 mm under the weight of wet concrete including any other super imposed loads which would be subjected to during construction.</t>
  </si>
  <si>
    <t>The contractor shall provide sufficient formwork and molds to ensure the adequate progress of work and the Engineer may direct the contractor to provide at contractor's expense such additional formwork and molds as they may be deemed necessary, if in his opinion the proper progress of the work is retarded by their absences.</t>
  </si>
  <si>
    <t>Rates shall include for all necessary boarding, supports, erecting, framing, cutting angles, striking or removal, cleaning wetting etc.</t>
  </si>
  <si>
    <t>Formwork has been measured net to the contact surface of concrete and formwork.</t>
  </si>
  <si>
    <t>Formwork to attached columns and beams, measured only for the detached surfaces.</t>
  </si>
  <si>
    <t>Type of formwork shall be OFF FORM. FORMWORK to receive smooth concrete surface on removal of the formwork unless specified elsewhere.</t>
  </si>
  <si>
    <t>Form work or props shall not remove until the concrete gains sufficient strength specified in relevant Standards under any circumstances.</t>
  </si>
  <si>
    <t>Formwork cantering and molds for concrete construction shall be of approved system to suit with the nature of this project and shall be erected true in line, levels and vertically for walls and columns and to the shapes and sizes required by the work, and shall be of suitable design and substantial and rigid construction as to prevent deformation due to the placing and compacting of concrete and any incidental loading. All formwork and cantering shall be so constructed that no grout shall leak out during concreting.</t>
  </si>
  <si>
    <t>Rates shall include for forming projections and chamfers.</t>
  </si>
  <si>
    <r>
      <t xml:space="preserve">Type of formwork shall be ply wood or steel with steel supporting system to receive </t>
    </r>
    <r>
      <rPr>
        <b/>
        <sz val="9.5"/>
        <color theme="1"/>
        <rFont val="Times New Roman"/>
        <family val="1"/>
      </rPr>
      <t xml:space="preserve">fair face finish </t>
    </r>
    <r>
      <rPr>
        <sz val="9.5"/>
        <color theme="1"/>
        <rFont val="Times New Roman"/>
        <family val="1"/>
      </rPr>
      <t>unless otherwise specified elsewhere. Rates for formwork shall include for all necessary measures to provide fair face finish to receive paint directly to the satisfaction of the Engineer.</t>
    </r>
  </si>
  <si>
    <t>CONCRETE</t>
  </si>
  <si>
    <t>Mix)</t>
  </si>
  <si>
    <t>F/1</t>
  </si>
  <si>
    <r>
      <t>Lintols,</t>
    </r>
    <r>
      <rPr>
        <b/>
        <sz val="9.5"/>
        <color theme="1"/>
        <rFont val="Times New Roman"/>
        <family val="1"/>
      </rPr>
      <t xml:space="preserve"> </t>
    </r>
    <r>
      <rPr>
        <b/>
        <u/>
        <sz val="9.5"/>
        <color theme="1"/>
        <rFont val="Times New Roman"/>
        <family val="1"/>
      </rPr>
      <t>stiffner</t>
    </r>
    <r>
      <rPr>
        <b/>
        <sz val="9.5"/>
        <color theme="1"/>
        <rFont val="Times New Roman"/>
        <family val="1"/>
      </rPr>
      <t xml:space="preserve"> </t>
    </r>
    <r>
      <rPr>
        <b/>
        <u/>
        <sz val="9.5"/>
        <color theme="1"/>
        <rFont val="Times New Roman"/>
        <family val="1"/>
      </rPr>
      <t>columns</t>
    </r>
    <r>
      <rPr>
        <b/>
        <sz val="9.5"/>
        <color theme="1"/>
        <rFont val="Times New Roman"/>
        <family val="1"/>
      </rPr>
      <t xml:space="preserve"> </t>
    </r>
    <r>
      <rPr>
        <b/>
        <u/>
        <sz val="9.5"/>
        <color theme="1"/>
        <rFont val="Times New Roman"/>
        <family val="1"/>
      </rPr>
      <t>and</t>
    </r>
    <r>
      <rPr>
        <b/>
        <sz val="9.5"/>
        <color theme="1"/>
        <rFont val="Times New Roman"/>
        <family val="1"/>
      </rPr>
      <t xml:space="preserve"> </t>
    </r>
    <r>
      <rPr>
        <b/>
        <u/>
        <sz val="9.5"/>
        <color theme="1"/>
        <rFont val="Times New Roman"/>
        <family val="1"/>
      </rPr>
      <t>beams</t>
    </r>
    <r>
      <rPr>
        <b/>
        <sz val="9.5"/>
        <color theme="1"/>
        <rFont val="Times New Roman"/>
        <family val="1"/>
      </rPr>
      <t xml:space="preserve"> </t>
    </r>
    <r>
      <rPr>
        <b/>
        <u/>
        <sz val="9.5"/>
        <color theme="1"/>
        <rFont val="Times New Roman"/>
        <family val="1"/>
      </rPr>
      <t>(Hand</t>
    </r>
  </si>
  <si>
    <t>F/2</t>
  </si>
  <si>
    <t>225mm x 150mm Stiffener Beams (4T10)</t>
  </si>
  <si>
    <t>L.ft</t>
  </si>
  <si>
    <t>F/3</t>
  </si>
  <si>
    <t>225mm x 150mm Stiffener Beams (2T10)</t>
  </si>
  <si>
    <t>F/4</t>
  </si>
  <si>
    <t>225mm x 150mm Stiffener Columns (4T10)</t>
  </si>
  <si>
    <t>F/5</t>
  </si>
  <si>
    <t>REINFORCEMENT</t>
  </si>
  <si>
    <t>Notes :</t>
  </si>
  <si>
    <t>Mild Steel Reinforcement (fy=250N/mm2)</t>
  </si>
  <si>
    <t>F/6</t>
  </si>
  <si>
    <t>In ground floor slab A192, R/F mesh on 1 1/2" depth of slab OR equivalent as per detail drawings &amp; Structural Engineer's instructions</t>
  </si>
  <si>
    <t>chemical anchoring (Including drilling, cleaning, injecting chemicals &amp; rebars) as per detail drawings &amp; Structural Engineer's instructions.</t>
  </si>
  <si>
    <t>F/7</t>
  </si>
  <si>
    <t>T10</t>
  </si>
  <si>
    <t>TOTAL FOR CONCRETE WORKS CARRIED TO SUMMARY</t>
  </si>
  <si>
    <t>G/00</t>
  </si>
  <si>
    <t>MASONRY WORKS</t>
  </si>
  <si>
    <t>The Bidder is requested to refer the General Notes, Drawings, Specifications, Conditions of Contract and other relevant documents prior to pricing of the following items. If no such documents are provided Institute for Construction Training and Development (ICTAD) standard documents are applicable in general.</t>
  </si>
  <si>
    <t>All masonry work shall be built accurately, true to line, plumb and square at corners. Any work out of line, out of plumb etc. will be asked to be removed and rebuilt.</t>
  </si>
  <si>
    <t>All vertical and horizontal joints shall be even in thickness as far as practicable and all courses level.</t>
  </si>
  <si>
    <t>Where bricks/blocks are used they shall conform to SLS standards for strength and quality, and test certificates shall be produced when required by the Engineer/ Consultant.</t>
  </si>
  <si>
    <t>Rates shall include for rough and fair cutting, chamfering, plumbing angles, forming rebated reveals, rough hooks, raking joints, cleaning for painting, plastering etc., cutting and pinning, forming or cutting chases, and making good including sundry items.</t>
  </si>
  <si>
    <t>Rates shall include for all goggles, cramps, dowels, ties, templates plumbing, setting, jointing, pointing and fixing in position including hoisting, protecting and cleaning down.</t>
  </si>
  <si>
    <t>Rates shall include for lifting, handling, wetting, all rough and fair cutting, plumbing angles, forming rebated reveals, rough arches, raking out joints for pointing, plastering etc.,., cutting and pinning, forming or cutting chases, making good and sundry items of a like nature.</t>
  </si>
  <si>
    <t>Rates shall include for Builder's Work in connection with all services installations.</t>
  </si>
  <si>
    <t>Rates shall include for:</t>
  </si>
  <si>
    <r>
      <t>a.</t>
    </r>
    <r>
      <rPr>
        <sz val="7"/>
        <color theme="1"/>
        <rFont val="Times New Roman"/>
        <family val="1"/>
      </rPr>
      <t xml:space="preserve">   </t>
    </r>
    <r>
      <rPr>
        <sz val="9.5"/>
        <color theme="1"/>
        <rFont val="Times New Roman"/>
        <family val="1"/>
      </rPr>
      <t>R.C.Stiffener beams/ columns.</t>
    </r>
  </si>
  <si>
    <r>
      <t>b.</t>
    </r>
    <r>
      <rPr>
        <sz val="7"/>
        <color theme="1"/>
        <rFont val="Times New Roman"/>
        <family val="1"/>
      </rPr>
      <t xml:space="preserve">   </t>
    </r>
    <r>
      <rPr>
        <sz val="9.5"/>
        <color theme="1"/>
        <rFont val="Times New Roman"/>
        <family val="1"/>
      </rPr>
      <t>Expansion joint construction.</t>
    </r>
  </si>
  <si>
    <r>
      <t>c.</t>
    </r>
    <r>
      <rPr>
        <sz val="7"/>
        <color theme="1"/>
        <rFont val="Times New Roman"/>
        <family val="1"/>
      </rPr>
      <t xml:space="preserve">        </t>
    </r>
    <r>
      <rPr>
        <sz val="9.5"/>
        <color theme="1"/>
        <rFont val="Times New Roman"/>
        <family val="1"/>
      </rPr>
      <t>Anchoring between R.C.structure and bricks/blocks as necessary.</t>
    </r>
  </si>
  <si>
    <r>
      <t>d.</t>
    </r>
    <r>
      <rPr>
        <sz val="7"/>
        <color theme="1"/>
        <rFont val="Times New Roman"/>
        <family val="1"/>
      </rPr>
      <t xml:space="preserve">    </t>
    </r>
    <r>
      <rPr>
        <sz val="9.5"/>
        <color theme="1"/>
        <rFont val="Times New Roman"/>
        <family val="1"/>
      </rPr>
      <t>Masnry wall ends and top as typical detail drawings.</t>
    </r>
  </si>
  <si>
    <t>All vertical and horizontal joints shall be even in thickness as far as practicable and all course level.</t>
  </si>
  <si>
    <t>Rate shall include for bricks/blocks wall and column connecting mesh for reinforced bonding of plastering.</t>
  </si>
  <si>
    <t>Where bricks/block are used they shall conform to SLS standards for strength and quality and test certificates shall be produced when required by the Engineer.</t>
  </si>
  <si>
    <t>Block &amp; Brick work</t>
  </si>
  <si>
    <t>G/1</t>
  </si>
  <si>
    <t>Brick work in 9" thick vertical walls in cement and sand 1:5 mortar in wall.</t>
  </si>
  <si>
    <t>G/2</t>
  </si>
  <si>
    <t>Solid Block work in 6" thick vertical walls in cement and sand 1:5 mortar in wall.</t>
  </si>
  <si>
    <t>G/3</t>
  </si>
  <si>
    <t>Brick work in 4 1/2" thick vertical walls in cement and sand 1:5 mortar in wall.</t>
  </si>
  <si>
    <t>TOTAL FOR MASONRY WORKS CARRIED TO GRAND SUMMARY</t>
  </si>
  <si>
    <t>H /00</t>
  </si>
  <si>
    <t>WATER PROOFING</t>
  </si>
  <si>
    <t>The Bidder is requested to refer the General Notes, Drawings, Specifications, Conditions of Contract and other relevant documents prior to pricing of the following items. If no such documents are provided Construction Industry Development Authority (CIDA), former Institute for Construction Training and Development (ICTAD) standard documents are applicable in general.</t>
  </si>
  <si>
    <t>Water proofing treatment shall be carried out according to approved manufacturers technical specification by the manufacturer with 10 years manufactures warranty and to the Engineer/ Consultant's approval for the following.</t>
  </si>
  <si>
    <t>Rate shall include for all internal and external angles, angle fillets, arises, edges, intersections on working to falls and cross falls.</t>
  </si>
  <si>
    <t>The Bidder shall submit the following technical details along with the Tender.</t>
  </si>
  <si>
    <r>
      <t>(a)</t>
    </r>
    <r>
      <rPr>
        <sz val="7"/>
        <color theme="1"/>
        <rFont val="Times New Roman"/>
        <family val="1"/>
      </rPr>
      <t xml:space="preserve">   </t>
    </r>
    <r>
      <rPr>
        <sz val="9.5"/>
        <color theme="1"/>
        <rFont val="Times New Roman"/>
        <family val="1"/>
      </rPr>
      <t>Type of waterproofing.</t>
    </r>
  </si>
  <si>
    <r>
      <t>(b)</t>
    </r>
    <r>
      <rPr>
        <sz val="7"/>
        <color theme="1"/>
        <rFont val="Times New Roman"/>
        <family val="1"/>
      </rPr>
      <t xml:space="preserve">   </t>
    </r>
    <r>
      <rPr>
        <sz val="9.5"/>
        <color theme="1"/>
        <rFont val="Times New Roman"/>
        <family val="1"/>
      </rPr>
      <t>Brand name.</t>
    </r>
  </si>
  <si>
    <r>
      <t>(c)</t>
    </r>
    <r>
      <rPr>
        <sz val="7"/>
        <color theme="1"/>
        <rFont val="Times New Roman"/>
        <family val="1"/>
      </rPr>
      <t xml:space="preserve">   </t>
    </r>
    <r>
      <rPr>
        <sz val="9.5"/>
        <color theme="1"/>
        <rFont val="Times New Roman"/>
        <family val="1"/>
      </rPr>
      <t>Country of origin.</t>
    </r>
  </si>
  <si>
    <r>
      <t>(d)</t>
    </r>
    <r>
      <rPr>
        <sz val="7"/>
        <color theme="1"/>
        <rFont val="Times New Roman"/>
        <family val="1"/>
      </rPr>
      <t xml:space="preserve">   </t>
    </r>
    <r>
      <rPr>
        <sz val="9.5"/>
        <color theme="1"/>
        <rFont val="Times New Roman"/>
        <family val="1"/>
      </rPr>
      <t>Method of application.</t>
    </r>
  </si>
  <si>
    <r>
      <t>(e)</t>
    </r>
    <r>
      <rPr>
        <sz val="7"/>
        <color theme="1"/>
        <rFont val="Times New Roman"/>
        <family val="1"/>
      </rPr>
      <t xml:space="preserve">   </t>
    </r>
    <r>
      <rPr>
        <sz val="9.5"/>
        <color theme="1"/>
        <rFont val="Times New Roman"/>
        <family val="1"/>
      </rPr>
      <t>Detail of guarantee (format)</t>
    </r>
  </si>
  <si>
    <r>
      <t>(f)</t>
    </r>
    <r>
      <rPr>
        <sz val="7"/>
        <color theme="1"/>
        <rFont val="Times New Roman"/>
        <family val="1"/>
      </rPr>
      <t xml:space="preserve">   </t>
    </r>
    <r>
      <rPr>
        <sz val="9.5"/>
        <color theme="1"/>
        <rFont val="Times New Roman"/>
        <family val="1"/>
      </rPr>
      <t>Suitability to the nature of the surfaces of particular location.</t>
    </r>
  </si>
  <si>
    <r>
      <t>(g)</t>
    </r>
    <r>
      <rPr>
        <sz val="7"/>
        <color theme="1"/>
        <rFont val="Times New Roman"/>
        <family val="1"/>
      </rPr>
      <t xml:space="preserve"> </t>
    </r>
    <r>
      <rPr>
        <sz val="9.5"/>
        <color theme="1"/>
        <rFont val="Times New Roman"/>
        <family val="1"/>
      </rPr>
      <t>Sealant</t>
    </r>
  </si>
  <si>
    <r>
      <t>(h)</t>
    </r>
    <r>
      <rPr>
        <sz val="7"/>
        <color theme="1"/>
        <rFont val="Times New Roman"/>
        <family val="1"/>
      </rPr>
      <t xml:space="preserve">  </t>
    </r>
    <r>
      <rPr>
        <sz val="9.5"/>
        <color theme="1"/>
        <rFont val="Times New Roman"/>
        <family val="1"/>
      </rPr>
      <t>Technical literature</t>
    </r>
  </si>
  <si>
    <t>Rate shall include for preparation of surfaces, necessary bedding, (if required), cutting, notching, bending, curing and extra material for lapping, working into recesses, inserts, pipes and the like and for working to falls and cross falls and protecting as per manufacturer' instructions.</t>
  </si>
  <si>
    <t>Rates shall include for internal and external angles, angle fillets, arises, edges, intersections and the like.</t>
  </si>
  <si>
    <t>Rates shall include for cleaning with wire brush where necessary, priming all joints including necessary additional material.</t>
  </si>
  <si>
    <t>Unless otherwise specified all turn ups, shall be 300 mm from floor level.</t>
  </si>
  <si>
    <t>Rates for water proofing shall include for a complete system including water proofing and other protective layers and/ or any connected work to be provided as per manufacturer's standard details unless measured separately.</t>
  </si>
  <si>
    <t>Toilet floor</t>
  </si>
  <si>
    <t>H/1</t>
  </si>
  <si>
    <r>
      <t>Application of approved waterproofing material "Barralastic" or equivalent as per manufacture's instruction &amp; specification to suit with the type of structure and the location to T</t>
    </r>
    <r>
      <rPr>
        <b/>
        <sz val="9.5"/>
        <color theme="1"/>
        <rFont val="Times New Roman"/>
        <family val="1"/>
      </rPr>
      <t xml:space="preserve">oilet floor </t>
    </r>
    <r>
      <rPr>
        <sz val="9.5"/>
        <color theme="1"/>
        <rFont val="Times New Roman"/>
        <family val="1"/>
      </rPr>
      <t>horizontally.</t>
    </r>
  </si>
  <si>
    <t>Sqrs</t>
  </si>
  <si>
    <t>H/2</t>
  </si>
  <si>
    <t>Toilet wall</t>
  </si>
  <si>
    <r>
      <t xml:space="preserve">Application of approved waterproofing material "Barralastic" or equivalent as per manufacture's instruction &amp; specification to suit with the type of structure and the location to </t>
    </r>
    <r>
      <rPr>
        <b/>
        <sz val="9.5"/>
        <color theme="1"/>
        <rFont val="Times New Roman"/>
        <family val="1"/>
      </rPr>
      <t xml:space="preserve">walls in toilets </t>
    </r>
    <r>
      <rPr>
        <sz val="9.5"/>
        <color theme="1"/>
        <rFont val="Times New Roman"/>
        <family val="1"/>
      </rPr>
      <t>shower area up to 2400mm height and other area 300mm height from floor level, vertically.</t>
    </r>
  </si>
  <si>
    <t>TOTAL FOR WATERPROOFING WORKS CARRIED TO GRAND</t>
  </si>
  <si>
    <t>SUMMARY</t>
  </si>
  <si>
    <t>L/00</t>
  </si>
  <si>
    <t>WOOD WORK.</t>
  </si>
  <si>
    <t>Rates shall include for all cutting, notching, drilling, linking, trimming, forming jointing, splayed edges and the like including fixing in position complete with all nails, spikes and screws and priming to joints and ends.</t>
  </si>
  <si>
    <t>The whole of the timber used in the work shall be the best of its kind obtainable and shall be thoroughly dry and well seasoned free from shakes, vanes, loose or dead knots and any other defects and shall be to the approval of the Architect and shall be stored under cover when not in use. Any warped or unseasoned timber shall not be accepted.</t>
  </si>
  <si>
    <t>The size of timber frame &amp; sashes given in the drawings are nominal with allowance for planning except where described as finished sizes.</t>
  </si>
  <si>
    <t>Rates for doors, windows and fanlights shall include for glass, beading, nails, etc.</t>
  </si>
  <si>
    <t>Glass used shall in general be 6 mm thick clear Glass for doors, windows, fanlight and partitions unless otherwise stated in the drawings. However the Bidder shall refer the detailed drawings to ascertain the type of glass &amp; thickness.</t>
  </si>
  <si>
    <t>Rates and shall be of approved manufacture and as specified in drawings and specifications.</t>
  </si>
  <si>
    <t>Rate shall include for all door and window frames to be finished beveled edge.</t>
  </si>
  <si>
    <t>Where ever timber sizes stated ± 5 mm tolerance shall be allowed for planning for each side.</t>
  </si>
  <si>
    <t>Rates for timber doors and windows shall include for sub frames in treated hard wood.</t>
  </si>
  <si>
    <t>Bidders are requested to refer Ironmongery Schedule and door and window finishes schedule prior to pricing of this trade. Bidder's rates for all timber doors shall include for all ironmongery and finishes specials.</t>
  </si>
  <si>
    <t>Bidders are requested to refer Ironmongery Schedule and door and window finishes schedule prior to pricing of this trade. Bidders shall include prices for doors', partitions' and windows' ironmongeries seperately as a schedule.</t>
  </si>
  <si>
    <t>All timber for doors shall be as follows or equivalent unless otherwise specified in the drawings/ Specifications.</t>
  </si>
  <si>
    <t>Door sashes : well seasoned, treated solid</t>
  </si>
  <si>
    <t>Teak.</t>
  </si>
  <si>
    <t>Door frames : well seasoned, treated solid Teak.</t>
  </si>
  <si>
    <t>Rates for all timber doors,False Beams, windows and fanlights and frames shall be treated with 2 coats of clear wood preservative, application of two coats of water base finish and two coats primer undercoats including preparation of surfaces to the approval of the Engineer. Ensure that all edges of the door, window and fanlight sash are covered.</t>
  </si>
  <si>
    <t>All locks shall be in original make as per the specification and to the Engineers approval. All hinges shall be in with raser rings . All other ironmongery such as barrel bolts, door stopper, door rings etc., shall be in original make as per the specification and acceptable to the Engineer.</t>
  </si>
  <si>
    <t>All sliding gears shall be "Henderson" or equivalent.</t>
  </si>
  <si>
    <t>All door closers shall be "Dorma" or equivalent heavy duty.</t>
  </si>
  <si>
    <t>Shop drawings of timber doors and fixing details to be submitted for prior approval of the Engineer.</t>
  </si>
  <si>
    <t>Doors</t>
  </si>
  <si>
    <t>L/1</t>
  </si>
  <si>
    <t>Timber framed, single sash door (Type D1), Rate shall include for all necessary ironmongeries and paint as specified in drawings, schedules and specifications. All sample materials to be approved by the architect. Ironmongeries to be priced separetely as a schedule.</t>
  </si>
  <si>
    <t>L/2</t>
  </si>
  <si>
    <t>Timber framed single sash door (Type D2), Rate shall include for all necessary ironmongeries and paint as specified in drawings, schedules and specifications. All sample materials to be approved by the architect. Ironmongeries to be priced separetely as a schedule.</t>
  </si>
  <si>
    <t>L/3</t>
  </si>
  <si>
    <t>Supply &amp; fixing 2100mm height tempered glass Pivot doors(D3) as specificied in the drawing. Rate shall include all necessary accessories. All sample materials to be approved by the architect. Ironmongeries to be priced separetely as a schedule.</t>
  </si>
  <si>
    <t>L/4</t>
  </si>
  <si>
    <t>Window</t>
  </si>
  <si>
    <t>Double Sash Timber framed Glazed Sliding Door window (Type DW1), Rate shall include for glasses, and all necessary ironmongeries and paint as specified in drawings, schedules and specifications. All sample materials to be approved by the architect. Ironmongeries to be priced separetely as a schedule.</t>
  </si>
  <si>
    <t>TOTAL FOR WOOD WORK CARRIED</t>
  </si>
  <si>
    <t>TO SUMMARY</t>
  </si>
  <si>
    <t>T/00</t>
  </si>
  <si>
    <t>FLOOR, WALL &amp; CEILING FINISHES.</t>
  </si>
  <si>
    <t>Rate for plastering shall include for forming of jambs, revels, sills and groves unless otherwise given separately.</t>
  </si>
  <si>
    <t>Rates shall include for all temporary rules, screeds, grounds etc.; for raking out knots of new brick work, hacking new concrete for internal and curved angles, cuttings, arises, quirks, intersections between curved and irregular pipes, bedding and pointing and making good of different surfaces, sanitary fittings and similar fixtures and cleaning down upon completion.</t>
  </si>
  <si>
    <t>Rates shall include for door and window reveals, forming ,plaster bands, tapered work, recesses, patterned work and the like. No additional payment shall be made.</t>
  </si>
  <si>
    <t>Rates for plastering between different surfaces shall include for spandex metal lathing to avoid any cracks between different surfaces.</t>
  </si>
  <si>
    <t>Bidder shall refer the finishing schedule, drawings and the Specification for relevant areas and finishes.</t>
  </si>
  <si>
    <t>Rates for plastering shall include for providing chamfered edges straight and neat edges.(to be chamfered)</t>
  </si>
  <si>
    <t>Rates for plastering shall include for seasoning the plaster as specified.</t>
  </si>
  <si>
    <t>Rates shall include for plastering to curved surfaces unless measured separately.</t>
  </si>
  <si>
    <t>Rates for plastering shall include for corner beds at vertical and horizontal edges to form straight and neat edges.</t>
  </si>
  <si>
    <t>Bidder shall ensure that the color of tiles over an area is even by selecting tiles from the same batch for a that area.</t>
  </si>
  <si>
    <t>Tiles shall have even grooves of consistent width and the grooves shall be straight in all directions and be well filled with grout to finish flush with the tile surface.</t>
  </si>
  <si>
    <t>Smooth cement rendered finish shall be free of any trowel marks and rough patches and the coloring shall be even.</t>
  </si>
  <si>
    <t>Where different floor finishes meet, where the surfaces are at the same level the surface at the joint shall show a smooth transition from one finish to the other with a straight sharp defining line between them with appropriate separator as necessary.</t>
  </si>
  <si>
    <t>Where the floor finish and the skirting are of the same materials a coved tile shall be used at the corner of the floor and skirting or in the event of coving tiles being unavailable an even width tile fillet will be built in at 45º at the corner.</t>
  </si>
  <si>
    <t>Rates shall include for preparation of surfaces for proper bonding.</t>
  </si>
  <si>
    <t>Rate shall include for measures to provide suitable bonding between different surfaces such as concrete and brick/block surfaces as per specification. Rates shall also include for all tile specials such as corners, edges etc.,</t>
  </si>
  <si>
    <t>Rates shall include for cutting tiles/terra cotta</t>
  </si>
  <si>
    <t>/marble/granite as necessary.</t>
  </si>
  <si>
    <t>Rates for floor and wall tiles shall include for laying to the pattern and design shown in the approved tile layout including laying of sample areas for approval.</t>
  </si>
  <si>
    <t>The Bidder shall submit shop drawings and tile layout for floor and wall tiles, granite, marble, and details of suspended ceiling lay out , hanging system etc. for approval prior to commencement of work.</t>
  </si>
  <si>
    <t>Rate for skirting shall include for necessary beadings.</t>
  </si>
  <si>
    <t>FLOOR FINISHES</t>
  </si>
  <si>
    <t>Tiling</t>
  </si>
  <si>
    <t>T/1</t>
  </si>
  <si>
    <t>Supply &amp; Installation of 12"x 12" Matt Porcelain Floor tiles in an approved size, manufacture, color, quality and design laid to a pattern including 20 mm thick 1:3 cement, sand bedding and finished with tile grout pointing to match the color of tiles as per the drawings, schedules and specification to the approval of the Engineer. (Prime Cost Rs. 500.00 per 12" x 12" tile )</t>
  </si>
  <si>
    <t>T/2</t>
  </si>
  <si>
    <t>Supply &amp; Installation of small stone pebble wash floor finish using pebble and cement mixture as stated by the Engineer / Architect, finished according to the drawings, schedules and specifications. Work to be carried out to the satisfaction of the architect. (Prime Cost Rs.</t>
  </si>
  <si>
    <t>650.00 per ft2)</t>
  </si>
  <si>
    <t>T/3</t>
  </si>
  <si>
    <t>Supply &amp; Installation of Matt Floor tiles in an approved size (12"x 12"), manufacture, color, quality and design laid to a pattern including</t>
  </si>
  <si>
    <t>20 mm thick 1:3 cement, sand bedding and finished with tile grout pointing to match the color of tiles as per the drawings, schedules and specification to the approval of the Engineer. (Prime Cost Rs. 450.00 per 12" x 12" tile )</t>
  </si>
  <si>
    <t>T/4</t>
  </si>
  <si>
    <t>Supply &amp; Installation of 12"x 12" anti slip finished Granite Floor tiles in an approved size, manufacture, color, quality and design laid to a pattern including 25 mm thick 1:3 cement, sand bedding and finished with tile grout pointing to match the color of tiles as per the drawings, schedules and specification to the approval of the Engineer. (Prime Cost Rs. 1000.00 per 12" x 12" tile )</t>
  </si>
  <si>
    <t>WALL FINISHES</t>
  </si>
  <si>
    <t>Smooth plastering to wall shall be free of surface inclusions or protrusions of any kind and free of trowel marks. All external and internal angles and arises shall be straight, plumb and consistently square or round edged.</t>
  </si>
  <si>
    <t>Internal corners between adjacent walls shall be coved where indicated.</t>
  </si>
  <si>
    <t>External wall and fascia plastering shall be semi rough where the sand must be well sieved and free of any pebbles or any other foreign matter.</t>
  </si>
  <si>
    <t>All external and internal angles and arises shall be straight, plumb and consistently square or round edged.</t>
  </si>
  <si>
    <t>Internal plastering</t>
  </si>
  <si>
    <t>T/5</t>
  </si>
  <si>
    <t>16mm (5/8") thick internal plaster 1:3 cement and sand finished smooth to the block walls, concrete walls, attached &amp; isolated concrete columns.</t>
  </si>
  <si>
    <t>External plastering</t>
  </si>
  <si>
    <t>T/6</t>
  </si>
  <si>
    <t>16mm (5/8") thick internal plaster 1:3 cement and sand finished semi rough to the block walls, concrete walls, attached &amp; isolated concrete columns &amp; Beams.</t>
  </si>
  <si>
    <t>T/7</t>
  </si>
  <si>
    <t>Wall Tiling</t>
  </si>
  <si>
    <t>Supply &amp; Installation of Matt Wall tiles in an approved manufacture, size (12" x 24"), color, quality and design laid to a pattern including</t>
  </si>
  <si>
    <t>20 mm thick 1:3 cement sand bedding and finished with tile grout pointing to match the color of tiles height up to the ceiling level as per the drawings, schedules and specification to the approval of the Engineer. (Prime Cost Rs. 450.00 per 12" x 24"tile )</t>
  </si>
  <si>
    <t>Micro Cement Wall</t>
  </si>
  <si>
    <t>T/8</t>
  </si>
  <si>
    <t>Application of micro cement wall finish on washroom internal wall surfaces with approved shade and finished with 1/2" thick, 1:5 sand cement render with suitable bonding material other than lime, and coated with a suitable clear coat machine polished wax layer. Work to be done according to the drawings, specifications and instructions given by the engineer and to the satisfaction of the Architect.</t>
  </si>
  <si>
    <t>T/9</t>
  </si>
  <si>
    <t>Supply, fabrication, and installation of vanity unit complete with natural marble countertop.Rate shall include all necessary accessories. All sample materials to be approved by the architect</t>
  </si>
  <si>
    <t>TOTAL FOR FINISHES CARRIED TO SUMMARY</t>
  </si>
  <si>
    <t>V/00</t>
  </si>
  <si>
    <t>PAINTING</t>
  </si>
  <si>
    <t>The Bidder is requested to refer general notes, pricing preambles, drawings, specifications, conditions of contract, special conditions of contract and all other relevant documents prior to pricing of the following items.</t>
  </si>
  <si>
    <t>Bidder shall provide necessary samples, catalogs and the following details on paint with all technical details and relevant literature along with the Bid ,</t>
  </si>
  <si>
    <t>a.  Type of paint and Nos. of top &amp; base coats</t>
  </si>
  <si>
    <r>
      <t>b.</t>
    </r>
    <r>
      <rPr>
        <sz val="7"/>
        <color theme="1"/>
        <rFont val="Times New Roman"/>
        <family val="1"/>
      </rPr>
      <t xml:space="preserve">      </t>
    </r>
    <r>
      <rPr>
        <sz val="9.5"/>
        <color theme="1"/>
        <rFont val="Times New Roman"/>
        <family val="1"/>
      </rPr>
      <t>Brand</t>
    </r>
  </si>
  <si>
    <r>
      <t>c.</t>
    </r>
    <r>
      <rPr>
        <sz val="7"/>
        <color theme="1"/>
        <rFont val="Times New Roman"/>
        <family val="1"/>
      </rPr>
      <t xml:space="preserve">      </t>
    </r>
    <r>
      <rPr>
        <sz val="9.5"/>
        <color theme="1"/>
        <rFont val="Times New Roman"/>
        <family val="1"/>
      </rPr>
      <t>Country of manufacture</t>
    </r>
  </si>
  <si>
    <r>
      <t>d.</t>
    </r>
    <r>
      <rPr>
        <sz val="7"/>
        <color theme="1"/>
        <rFont val="Times New Roman"/>
        <family val="1"/>
      </rPr>
      <t xml:space="preserve">      </t>
    </r>
    <r>
      <rPr>
        <sz val="9.5"/>
        <color theme="1"/>
        <rFont val="Times New Roman"/>
        <family val="1"/>
      </rPr>
      <t>Colours available</t>
    </r>
  </si>
  <si>
    <r>
      <t>e.</t>
    </r>
    <r>
      <rPr>
        <sz val="7"/>
        <color theme="1"/>
        <rFont val="Times New Roman"/>
        <family val="1"/>
      </rPr>
      <t xml:space="preserve">      </t>
    </r>
    <r>
      <rPr>
        <sz val="9.5"/>
        <color theme="1"/>
        <rFont val="Times New Roman"/>
        <family val="1"/>
      </rPr>
      <t>Method of application</t>
    </r>
  </si>
  <si>
    <r>
      <t>f.</t>
    </r>
    <r>
      <rPr>
        <sz val="7"/>
        <color theme="1"/>
        <rFont val="Times New Roman"/>
        <family val="1"/>
      </rPr>
      <t xml:space="preserve">       </t>
    </r>
    <r>
      <rPr>
        <sz val="9.5"/>
        <color theme="1"/>
        <rFont val="Times New Roman"/>
        <family val="1"/>
      </rPr>
      <t>Form of guarantee (format)</t>
    </r>
  </si>
  <si>
    <r>
      <t>g.</t>
    </r>
    <r>
      <rPr>
        <sz val="7"/>
        <color theme="1"/>
        <rFont val="Times New Roman"/>
        <family val="1"/>
      </rPr>
      <t xml:space="preserve">      </t>
    </r>
    <r>
      <rPr>
        <sz val="9.5"/>
        <color theme="1"/>
        <rFont val="Times New Roman"/>
        <family val="1"/>
      </rPr>
      <t>Sub Bidder</t>
    </r>
  </si>
  <si>
    <t>External painting shall be exterior quality paint in approved manufacture to suit with the environment, climate and location of this project.</t>
  </si>
  <si>
    <t>Preparation of surface cleaning down, smoothing, knotting, stepping etc. protection of floors and fitting, removing and replacing door and window, furniture, and cleaning windows etc. upon completion.</t>
  </si>
  <si>
    <t>Rates for painting shall include for reveals, narrow widths, bands, recesses, moldings and the like where over 300 mm wide.</t>
  </si>
  <si>
    <t>Irrespective of the number of coats specified, the finished paint surface shall be completely and evenly coated to required color, free of patches and brush marks.</t>
  </si>
  <si>
    <t>Any filling that needs to be done shall be done with an approved premixed filler off the tub and shall be included in the rates.</t>
  </si>
  <si>
    <t>Paint used shall be of approved manufacture and color.</t>
  </si>
  <si>
    <t>Rates shall include for preparation of surfaces, cleaning down, smoothing, knotting, stopping etc.,</t>
  </si>
  <si>
    <t>Internal wall painting</t>
  </si>
  <si>
    <t>V/1</t>
  </si>
  <si>
    <t>In side Room</t>
  </si>
  <si>
    <t>Prepare plastered surfaces of brick walls, concrete walls, attached &amp; isolated columns and apply two coats of approved interior quality, acrylic emulsion paint with two coats of putty, one coat of acrylic primer and acrylic filler as per manufacturer's instructions, drawings and to the satisfaction of the Engineer and Architect.</t>
  </si>
  <si>
    <t>V/2</t>
  </si>
  <si>
    <r>
      <t>If necessary</t>
    </r>
    <r>
      <rPr>
        <sz val="9.5"/>
        <color theme="1"/>
        <rFont val="Times New Roman"/>
        <family val="1"/>
      </rPr>
      <t>, Prepare plastered surfaces of brick walls, concrete walls, attached &amp; isolated columns and apply two coats of approved interior quality, acrylic emulsion paint as per manufacturer's instructions, drawings and to the satisfaction of the Engineer and Architect.</t>
    </r>
  </si>
  <si>
    <t>Out side Room</t>
  </si>
  <si>
    <t>V/3</t>
  </si>
  <si>
    <t>Prepare plastered surfaces of brick walls, concrete walls, attached &amp; isolated columns and apply two coats of approved interior quality, Weather Shield emulsion paint with one coat of primer and acrylic filler as per manufacturer's instructions, drawings and to the satisfaction of the Engineer and Architect.</t>
  </si>
  <si>
    <t>Ceiling Painting</t>
  </si>
  <si>
    <t>V/4</t>
  </si>
  <si>
    <r>
      <t xml:space="preserve">Application of two coats of emulsion paint with two coats of putty, one coat of primer under coat and one coat of acrylic filler to </t>
    </r>
    <r>
      <rPr>
        <b/>
        <sz val="9.5"/>
        <color theme="1"/>
        <rFont val="Times New Roman"/>
        <family val="1"/>
      </rPr>
      <t xml:space="preserve">Soffit of slab, beams, sides of beams and plaster / Cement board ceiling </t>
    </r>
    <r>
      <rPr>
        <sz val="9.5"/>
        <color theme="1"/>
        <rFont val="Times New Roman"/>
        <family val="1"/>
      </rPr>
      <t>including preparation of surfaces as per manufacturer's instructions, drawings and to the satisfaction of the Engineer and Architect.</t>
    </r>
  </si>
  <si>
    <t>TOTAL FOR PAINTING WORKS</t>
  </si>
  <si>
    <t>CARRIED TO SUMMARY</t>
  </si>
  <si>
    <t>PROPOSED REFURBISHMENT OF THE</t>
  </si>
  <si>
    <t>REST HOUSE KITHULGALA FOR CHC REST</t>
  </si>
  <si>
    <t>CONSULTANT QUANTITY SURVEYORS</t>
  </si>
  <si>
    <t>HOUSE (PVT) LTD.</t>
  </si>
  <si>
    <t>31B, ALBERT PLACE, DEHIWALA.</t>
  </si>
  <si>
    <t>GRAND SUMMARY</t>
  </si>
  <si>
    <t>DEMOLITION</t>
  </si>
  <si>
    <t>H/00</t>
  </si>
  <si>
    <t>WATERPROOFING</t>
  </si>
  <si>
    <t>WOOD WORK</t>
  </si>
  <si>
    <t>FLOOR, WALL &amp; CEILING FINISHES</t>
  </si>
  <si>
    <t>TOTAL COST FOR THE MOCKUP ROOM (SIX ROOM) -</t>
  </si>
  <si>
    <t>PACKAGE 3</t>
  </si>
  <si>
    <t>☝🏼 ROOM 6 MOCKUP</t>
  </si>
  <si>
    <t>PACKAGE 2 - MOCKUP ROOM (SIXTEEN ROOM)</t>
  </si>
  <si>
    <t>C/10</t>
  </si>
  <si>
    <t>Carefully removal of the existing timber Door, including the frame work , door and Louvers to be handed over to the Client after cleaning. All debris to be carted away from the premises as directed.</t>
  </si>
  <si>
    <t>Carefully removal of the existing Bath Room Fan Light , including the frame work and window to be handed over to the Client after cleaning. All debris to be carted away from the premises as directed.</t>
  </si>
  <si>
    <t xml:space="preserve">Carefully removing of the existing timber  Wardrobe and handing over to the Client after cleaning. All debris to be carted away from the premises as directed. </t>
  </si>
  <si>
    <t>Carefully removing of the existing timber Working Table and handing over to the Client after cleaning. All debris to be carted away from the premises as directed.</t>
  </si>
  <si>
    <t>Removing of existing ceilings</t>
  </si>
  <si>
    <t>C/11</t>
  </si>
  <si>
    <t>Carefully remove the existing ceiling as specified by the engineer / architect and cart away debris from the site. Usable materials should be handed over to the engineer or the designated party. The removal method must be stated, and prior approval must be obtained for both the method and the areas from the Site Engineer.</t>
  </si>
  <si>
    <t>C/12</t>
  </si>
  <si>
    <t>Providing, casting, and finishing Reinforced Cement Concrete (RCC) Bathroom Vanity Top in Grade 25 concrete, including all necessary formwork, reinforcement, finishing, and curing, complete as per drawings, specifications, and direction approval of Engineer</t>
  </si>
  <si>
    <t>RCC Grade 25 Concrete including reinforcements and necessary formwork( Detail drawing  ,schedules  &amp;  specification  to  the approval of Engineer)</t>
  </si>
  <si>
    <t>Floor slab as per the drawings, schedules &amp; specification to the approval of the Engineer.</t>
  </si>
  <si>
    <t>Grade 20 Concrete for following Items(Hand Mix)</t>
  </si>
  <si>
    <t>Timber Fan Light</t>
  </si>
  <si>
    <t>Timber framed Glazed Top Hung Sash (Type D4), Rate shall include for glasses, and all necessary ironmongeries and paint as specified in drawings, schedules and specifications. All sample materials to be approved by the architect. Ironmongeries to be priced separetely as a schedule.</t>
  </si>
  <si>
    <t>Tempered Glass Partition</t>
  </si>
  <si>
    <t>L/5</t>
  </si>
  <si>
    <t>Supply &amp; fixing 2450mm height tempered glass partition and Pivot doors as specificied in the drawing. Rate shall include all necessary accessories. All sample materials to be approved by the architect. Ironmongeries to be priced separetely as a schedule.</t>
  </si>
  <si>
    <t>CEILING FINISHES</t>
  </si>
  <si>
    <t>The Bidder shall submit the following details with the tender.</t>
  </si>
  <si>
    <r>
      <t>1.</t>
    </r>
    <r>
      <rPr>
        <sz val="7"/>
        <color theme="1"/>
        <rFont val="Times New Roman"/>
        <family val="1"/>
      </rPr>
      <t xml:space="preserve">   </t>
    </r>
    <r>
      <rPr>
        <sz val="8.5"/>
        <color theme="1"/>
        <rFont val="Times New Roman"/>
        <family val="1"/>
      </rPr>
      <t>Ceiling system</t>
    </r>
  </si>
  <si>
    <r>
      <t>2.</t>
    </r>
    <r>
      <rPr>
        <sz val="7"/>
        <color theme="1"/>
        <rFont val="Times New Roman"/>
        <family val="1"/>
      </rPr>
      <t xml:space="preserve">   </t>
    </r>
    <r>
      <rPr>
        <sz val="8.5"/>
        <color theme="1"/>
        <rFont val="Times New Roman"/>
        <family val="1"/>
      </rPr>
      <t>Ceiling framing system</t>
    </r>
  </si>
  <si>
    <r>
      <t>3.</t>
    </r>
    <r>
      <rPr>
        <sz val="7"/>
        <color theme="1"/>
        <rFont val="Times New Roman"/>
        <family val="1"/>
      </rPr>
      <t xml:space="preserve">   </t>
    </r>
    <r>
      <rPr>
        <sz val="8.5"/>
        <color theme="1"/>
        <rFont val="Times New Roman"/>
        <family val="1"/>
      </rPr>
      <t>Technical details. And literature</t>
    </r>
  </si>
  <si>
    <t>All ceiling work to be in a reputed system acceptable to the Engineer/Consultant.</t>
  </si>
  <si>
    <t>Rate shall include for openable access hatches, cutting out openings for light fittings for the ceiling as shown.</t>
  </si>
  <si>
    <t>Soffit plastering</t>
  </si>
  <si>
    <t>Soffit</t>
  </si>
  <si>
    <t>5/8" thick cement internal Soffit plastering in 1:3 cement sand mortar finished smooth internal plaster of Soffit.</t>
  </si>
  <si>
    <t>Ceiling boards</t>
  </si>
  <si>
    <t>T/10</t>
  </si>
  <si>
    <t>Supply and fix Cement board ceiling with concealed joints and profiled edges, including a suitable framework approved as per the detailed drawing and specifications, to the approval of the Engineer. The rate shall include necessary access panels as required, forming profiles, rigid edge beads at the profile corners, rendering joints seamlessly with suitable tapes and fillers, cutting out openings for light fittings, air conditioning grills, and all fixing accessories. Prior approval must be obtained in writing from the Site Engineer for the work and quantities before commencing the work</t>
  </si>
  <si>
    <t>T/11</t>
  </si>
  <si>
    <r>
      <t xml:space="preserve">Supply and fix Cement board ceiling with concealed joints and profiled edges, </t>
    </r>
    <r>
      <rPr>
        <b/>
        <sz val="8.5"/>
        <color theme="1"/>
        <rFont val="Times New Roman"/>
        <family val="1"/>
      </rPr>
      <t xml:space="preserve">Without a suitable framework </t>
    </r>
    <r>
      <rPr>
        <sz val="8.5"/>
        <color theme="1"/>
        <rFont val="Times New Roman"/>
        <family val="1"/>
      </rPr>
      <t>approved as per the detailed drawing and specifications, to the approval of the Engineer. The rate shall include necessary access panels as required, forming profiles, rigid edge beads at the profile corners, rendering joints seamlessly with suitable tapes and fillers, cutting out openings for light fittings, air conditioning grills, and all fixing accessories. Prior approval must be obtained in writing from the Site Engineer for the work and quantities before commencing the work</t>
    </r>
  </si>
  <si>
    <t>T/12</t>
  </si>
  <si>
    <r>
      <t xml:space="preserve">Rectify the existing Cement board ceiling </t>
    </r>
    <r>
      <rPr>
        <b/>
        <sz val="8.5"/>
        <color theme="1"/>
        <rFont val="Times New Roman"/>
        <family val="1"/>
      </rPr>
      <t xml:space="preserve">where necessary </t>
    </r>
    <r>
      <rPr>
        <sz val="8.5"/>
        <color theme="1"/>
        <rFont val="Times New Roman"/>
        <family val="1"/>
      </rPr>
      <t>as per the instructions given by the Engineer. The rate shall include necessary access panels as required, forming profiles, rigid edge beads at the profile corners, rendering joints seamlessly with suitable tapes and fillers, cutting out openings for light fittings, air conditioning grills, painting with primer coats, and all fixing accessories. Prior approval must be obtained in writing from the Site Engineer for the work and quantities before commencing the work</t>
    </r>
  </si>
  <si>
    <t>T/13</t>
  </si>
  <si>
    <t>TOTAL COST FOR THE MOCKUP ROOM (SIXTEEN</t>
  </si>
  <si>
    <t>ROOM) - PACKAGE 2</t>
  </si>
  <si>
    <t>☝🏼Mockup room 16</t>
  </si>
  <si>
    <t>Carefully removing existing asbastos roof, remove the debris from the site area, and finished part under site engineer supervision.</t>
  </si>
  <si>
    <t>Carefully removing existing ceiling and removing the debris from the site area, and finished part under site engineer supervision.</t>
  </si>
  <si>
    <t>Finished part on Supplying and fixing asbastos Ridge tiles on roof.</t>
  </si>
  <si>
    <t>Finished part on Supplying and fixing Roof covering for kitchen and bedroom area.</t>
  </si>
  <si>
    <t>Supply and fixing 4"x2" timber</t>
  </si>
  <si>
    <t>Supply and fixing 2"x2" timber</t>
  </si>
  <si>
    <t>Supply and fixing 6"x3" timber</t>
  </si>
  <si>
    <t>Supply and fixing 1"x2" timber</t>
  </si>
  <si>
    <t>Supply and fix Ginisapu valance board including necessary GI bolt, nuts, iron brackets, etc.</t>
  </si>
  <si>
    <t>Supply and fixing cement board Ceiling with concealed joints, etc.</t>
  </si>
  <si>
    <t xml:space="preserve">106'.0" x 26'.0" </t>
  </si>
  <si>
    <t>106'.0" x 25'.0" - (11'.0" x 9'.0")</t>
  </si>
  <si>
    <t xml:space="preserve">Room Area: Roof covering Measurments </t>
  </si>
  <si>
    <t xml:space="preserve">Kitchen Area: Roof covering Measurments </t>
  </si>
  <si>
    <t>64'.0" x 17'.0"</t>
  </si>
  <si>
    <t>24'.0" x 16'.0"</t>
  </si>
  <si>
    <t>Bed Room &amp; Varanda area: Ceiling Measurments</t>
  </si>
  <si>
    <t>16'.8" x 16'.8"</t>
  </si>
  <si>
    <t>16'.6" x 16'.7"</t>
  </si>
  <si>
    <t xml:space="preserve">8'.3" x 7'.6" </t>
  </si>
  <si>
    <t>7'.8" x 7'.6"</t>
  </si>
  <si>
    <t>7'.8" x 7'.7"</t>
  </si>
  <si>
    <t>16'.3" x 8'.1"</t>
  </si>
  <si>
    <t xml:space="preserve">16'.7" x 7'.9" </t>
  </si>
  <si>
    <t>16'.3" x 7'.7"</t>
  </si>
  <si>
    <t>16'.5" x 7'.7"</t>
  </si>
  <si>
    <t>16'.6" x 7'.7"</t>
  </si>
  <si>
    <t>Total Ceiling Area:</t>
  </si>
  <si>
    <t>Total Roof Covering Area:</t>
  </si>
  <si>
    <t xml:space="preserve">Demloshing rubble layed Floor </t>
  </si>
  <si>
    <t>door or window demolish work</t>
  </si>
  <si>
    <t>Manager Quarters No 36</t>
  </si>
  <si>
    <t>Advance Payment for Manager Quarters No 36</t>
  </si>
  <si>
    <t>3rd - 200,000</t>
  </si>
  <si>
    <t>Manager quarters No 37</t>
  </si>
  <si>
    <t>Advance</t>
  </si>
  <si>
    <t>1st - 200,000</t>
  </si>
  <si>
    <t>2nd - 300,000</t>
  </si>
  <si>
    <t>4th - 250,000</t>
  </si>
  <si>
    <t>5th - 250,000</t>
  </si>
  <si>
    <t xml:space="preserve">Rubbel foundation  </t>
  </si>
  <si>
    <t>Wall filler and paint</t>
  </si>
  <si>
    <t>Plinth plaster and cement finishing work</t>
  </si>
  <si>
    <t>Payment concrete formwork</t>
  </si>
  <si>
    <t>Pantry top concrete</t>
  </si>
  <si>
    <t>Cement bed and tile</t>
  </si>
  <si>
    <t>Bathroom wall tile</t>
  </si>
  <si>
    <t>Bathroom plumbing work, laying pipe PVC on wall, include waste water, sink waste, pipe line</t>
  </si>
  <si>
    <t>Bathroom 4'x4' gali work and gali cover fixing</t>
  </si>
  <si>
    <t>Bidet spray</t>
  </si>
  <si>
    <t>Closet with angle valve and flexible horse</t>
  </si>
  <si>
    <t>Ceramic sink</t>
  </si>
  <si>
    <t xml:space="preserve">Hot water shower </t>
  </si>
  <si>
    <t>Servant toilet wall tiles</t>
  </si>
  <si>
    <t>Fixing 6'.6"x3' door frame</t>
  </si>
  <si>
    <t>Fixing window frame</t>
  </si>
  <si>
    <t>Reinforced concrete 8" thick concrete cube demolishing (including 1 day machines and labor charges)</t>
  </si>
  <si>
    <t>Payment area concrete wall foundation excavation work</t>
  </si>
  <si>
    <t>balance</t>
  </si>
  <si>
    <t xml:space="preserve">Driver Quarters </t>
  </si>
  <si>
    <t>Fixing any size (above 100mm x 50mm) of timber beams including apply 2 coats wood preservation (stain)</t>
  </si>
  <si>
    <t xml:space="preserve">Fixing timber battons </t>
  </si>
  <si>
    <t>Fixing timber reapers</t>
  </si>
  <si>
    <t>apply 4" PVC pipe line to the drainage pit (rubble foundation removal, fixing pipe linefrom bathroom to toilet pit)</t>
  </si>
  <si>
    <t>Bath ware and bathroom accessories fixing</t>
  </si>
  <si>
    <t xml:space="preserve"> including wash basin, commerd, hot water shower, didet spray.</t>
  </si>
  <si>
    <t>Wash basin</t>
  </si>
  <si>
    <t>Hot water shower</t>
  </si>
  <si>
    <t>Plumbing work (Rate is measured for hardness and complexity of plumbing work and making connection on rubble walls)</t>
  </si>
  <si>
    <t>Plumbing work, fixing sink unit, sink tap, waste water line.</t>
  </si>
  <si>
    <t>plumbing work, fixing sink unit, sink tap, waste water line.</t>
  </si>
  <si>
    <t>apply rubble foundation.</t>
  </si>
  <si>
    <t>masonry work, 4" thick cement blocks, sand, cement, scaffolding for cement block walls.</t>
  </si>
  <si>
    <t>5"x7" thick concrete, form work and 10mm tor steel for lintels.</t>
  </si>
  <si>
    <t>apply floor concrete</t>
  </si>
  <si>
    <t>asbestos roof covering work.</t>
  </si>
  <si>
    <t>asbestos ceiling work</t>
  </si>
  <si>
    <t>Apply ridge tile</t>
  </si>
  <si>
    <t>First Payment</t>
  </si>
  <si>
    <t>Second Payment</t>
  </si>
  <si>
    <t>Third Payment</t>
  </si>
  <si>
    <t>advance</t>
  </si>
  <si>
    <t xml:space="preserve"> Item</t>
  </si>
  <si>
    <t>Proposed resident builsing</t>
  </si>
  <si>
    <t>HMAST kusumsiri, 2/29/D, 9th lane, Jayamalapura, Gampola</t>
  </si>
  <si>
    <t>*all measure and pay, door window and wiring electrical work not included in BOQ</t>
  </si>
  <si>
    <t>Column Pit excavation work</t>
  </si>
  <si>
    <t>Supply and apply screed concrete</t>
  </si>
  <si>
    <t>Back filling and all the necessary work</t>
  </si>
  <si>
    <t>Supply 10mm reinforcement, binding and Bending, concreting and all the work for  1' thick concrete footing base</t>
  </si>
  <si>
    <t>Supply 16mm reinforcement, bending and binding, concreting and all the work for 9"x9" column from base upto first floor slab</t>
  </si>
  <si>
    <t>Supply 12mm reinforcement, bending and binding, concreting and all the work for 9"x9" plinth beam</t>
  </si>
  <si>
    <t xml:space="preserve">Supply 12mm reinforcement, bending and binding, concreting and all the work for 1st floor level 9"x9" slab beam. </t>
  </si>
  <si>
    <t>10mm tor steel, 6mm stirrups, bending 
and binding, jacks, plywood boards, 
formwork, 1:2:4 Grade 25 Mix 
concrete and all the work for 1st floor level 4" thick slab.</t>
  </si>
  <si>
    <t>Supply 12mm reinforcement, bending and binding, concreting and all the work for 9"x9" column from base upto Roof top slab</t>
  </si>
  <si>
    <t xml:space="preserve">Supply 12mm reinforcement, bending and binding, concreting and all the work for 1st floor level 9"x9" Roof top slab beam. </t>
  </si>
  <si>
    <t xml:space="preserve">12mm tor steel, bending, formwork, concreting and all the work for Ground floor level upto 1st floor staircase </t>
  </si>
  <si>
    <t xml:space="preserve">12mm tor steel, bending, formwork, concreting and all the work for first floor level upto roof top staircase </t>
  </si>
  <si>
    <t>Supply and masonry work 3/4" thick wall plaster for necessary sand, cement, scaffolding and all the work for ground floor internal walls.</t>
  </si>
  <si>
    <t>Supply and masonry work 3/4" thick semi rough external wall plaster for necessary sand, cement, scaffolding and all the work for ground floor external walls.</t>
  </si>
  <si>
    <t>Masonry work, supply cement, sand, scafolding and other work for 6" thick brick wall for ground floor walls.</t>
  </si>
  <si>
    <t>Supply and laying floor concrete for Ground floor.</t>
  </si>
  <si>
    <t>supply and apply 2 coats wall Potty, smoothing work and supply and apply 1 coat filler, 2 coat Emulsion Paint for ground floor internal walls.</t>
  </si>
  <si>
    <t>supply and apply 2 coats wall Potty, smoothing work and supply and apply 1 coat filler, 2 coat Emulsion Paint for ground floor soffit area.</t>
  </si>
  <si>
    <t>Supply and apply 1 coat wall filler, 2 coat weather shield paint for external walls.</t>
  </si>
  <si>
    <t>Supply and apply Cement bed, tile mortar, tile grouts, tile cutting and laying for floor area and all the finishing work ( tile supplied by client)</t>
  </si>
  <si>
    <t>Supply and apply tile mortar, tile grouts, tile cutting and laying for bathroom wall area and all the finishing work ( tile supplied by client)</t>
  </si>
  <si>
    <t>Bathroom plumbing and fixing fittings and all the work(accessories and bathware by client)</t>
  </si>
  <si>
    <t>10mm tor steel, 6mm stirrups, bending 
and binding, jacks, plywood boards, 
formwork, 1:2:4 Grade 25 Mix 
concrete and all the work for Roof top 3.5"thick slab.</t>
  </si>
  <si>
    <r>
      <t>Lintols,</t>
    </r>
    <r>
      <rPr>
        <b/>
        <sz val="9.5"/>
        <color theme="1"/>
        <rFont val="Times New Roman"/>
        <family val="1"/>
      </rPr>
      <t xml:space="preserve"> </t>
    </r>
    <r>
      <rPr>
        <b/>
        <u/>
        <sz val="9.5"/>
        <color theme="1"/>
        <rFont val="Times New Roman"/>
        <family val="1"/>
      </rPr>
      <t>stiffner</t>
    </r>
    <r>
      <rPr>
        <b/>
        <sz val="9.5"/>
        <color theme="1"/>
        <rFont val="Times New Roman"/>
        <family val="1"/>
      </rPr>
      <t xml:space="preserve"> </t>
    </r>
    <r>
      <rPr>
        <b/>
        <u/>
        <sz val="9.5"/>
        <color theme="1"/>
        <rFont val="Times New Roman"/>
        <family val="1"/>
      </rPr>
      <t>columns</t>
    </r>
    <r>
      <rPr>
        <b/>
        <sz val="9.5"/>
        <color theme="1"/>
        <rFont val="Times New Roman"/>
        <family val="1"/>
      </rPr>
      <t xml:space="preserve"> </t>
    </r>
    <r>
      <rPr>
        <b/>
        <u/>
        <sz val="9.5"/>
        <color theme="1"/>
        <rFont val="Times New Roman"/>
        <family val="1"/>
      </rPr>
      <t>and</t>
    </r>
    <r>
      <rPr>
        <b/>
        <sz val="9.5"/>
        <color theme="1"/>
        <rFont val="Times New Roman"/>
        <family val="1"/>
      </rPr>
      <t xml:space="preserve"> </t>
    </r>
    <r>
      <rPr>
        <b/>
        <u/>
        <sz val="9.5"/>
        <color theme="1"/>
        <rFont val="Times New Roman"/>
        <family val="1"/>
      </rPr>
      <t>beams</t>
    </r>
    <r>
      <rPr>
        <b/>
        <sz val="9.5"/>
        <color theme="1"/>
        <rFont val="Times New Roman"/>
        <family val="1"/>
      </rPr>
      <t xml:space="preserve"> </t>
    </r>
    <r>
      <rPr>
        <b/>
        <u/>
        <sz val="9.5"/>
        <color theme="1"/>
        <rFont val="Times New Roman"/>
        <family val="1"/>
      </rPr>
      <t>(Hand Mix)</t>
    </r>
  </si>
  <si>
    <t>Supply &amp; Installation of small stone pebble wash floor finish using pebble and cement mixture as stated by the Engineer / Architect, finished according to the drawings, schedules and specifications. Work to be carried out to the satisfaction of the architect. (Prime Cost Rs 650.00 per ft2)</t>
  </si>
  <si>
    <t>CONSULTANT QUANTITY SURVEYORS31B, ALBERT PLACE, DEHIWALA.</t>
  </si>
  <si>
    <t xml:space="preserve">Fixing timber battens </t>
  </si>
  <si>
    <t>apply 4" PVC pipe line to the drainage pit (rubble foundation removal, fixing pipe line from bathroom to toilet pit)</t>
  </si>
  <si>
    <t>back filling (rates by SSD Constructions)</t>
  </si>
  <si>
    <t>apply rubble foundation. (rates by SSD Constructions)</t>
  </si>
  <si>
    <t>apply valance board painting (rates by SSD Constructions)</t>
  </si>
  <si>
    <t>Floor titanium (rates by SSD Constructions)</t>
  </si>
  <si>
    <t>Valance board and necessary work. (rates by SSD Constructions)</t>
  </si>
  <si>
    <t>2 coat potty (rates by SSD Constructions)</t>
  </si>
  <si>
    <t>Asbastos ceiling</t>
  </si>
  <si>
    <t>extended roof (rates by SSD Constructions)</t>
  </si>
  <si>
    <t>Valance board (rates by SSD Constructions)</t>
  </si>
  <si>
    <t>1 coat wall filler, 2 coat weather shield for front wall</t>
  </si>
  <si>
    <t>re apply 2 coat wall potty</t>
  </si>
  <si>
    <t>9"x9"x8' concrete reinforcemnt beam Demolish.</t>
  </si>
  <si>
    <t xml:space="preserve">Demolishing rubble layed Floor </t>
  </si>
  <si>
    <t>Rubble foundation Excavation work</t>
  </si>
  <si>
    <t xml:space="preserve">Asbestos ceiling </t>
  </si>
  <si>
    <t xml:space="preserve">Oven and chimney removal </t>
  </si>
  <si>
    <t>Rubble foundation (rates by SSD Constructions)</t>
  </si>
  <si>
    <t>Valance board  (rates by SSD Constructions)</t>
  </si>
  <si>
    <t xml:space="preserve">2 coat potty </t>
  </si>
  <si>
    <t>Brick work in 9" thick vertical walls in cement and sand 1:5 mortar</t>
  </si>
  <si>
    <t>Supply &amp; fixing 3" x 6" timber</t>
  </si>
  <si>
    <t>Supply &amp; fixing 4" x 2" timber</t>
  </si>
  <si>
    <t>Supply &amp; fixing 2" x 2" timber</t>
  </si>
  <si>
    <t>Supply and fix Asbestos roof covering</t>
  </si>
  <si>
    <t>Supply and fix Asbestos ridge tiles on roof.</t>
  </si>
  <si>
    <t>*Measure and pay method will be used</t>
  </si>
  <si>
    <t>washroom area asbastos extended roof work on slab</t>
  </si>
  <si>
    <t>Supply and fixing scafolding and necessary work for 3/4" thick internal wall plaster for 1st floor</t>
  </si>
  <si>
    <t>supply and apply 2 coats wall Potty, smoothing work and supply and apply 2 coat filler, 2 coat Emulsion Paint for 1st floor internal walls.</t>
  </si>
  <si>
    <t>Supply and masonry work, 6" thick cement blocks, sand, cement, scafolding and necessary all the work for 1st floor cement block walls.</t>
  </si>
  <si>
    <t>Supply and masonry work, sand, cement and finishing work for 1st floor 1" thick cement bed area.</t>
  </si>
  <si>
    <t>Supply and installing 4'x4' Aluminum window frame including hingers, glass and all the necessary work.</t>
  </si>
  <si>
    <t>Supply and installing 5' x 4'.6" Aluminum window frame including hingers, glass and all the necessary work.</t>
  </si>
  <si>
    <t>Supply and masonry work, 4" thick cement blocks, sand, cement, scafolding and necessary all the work for Ground floor cement block walls.</t>
  </si>
  <si>
    <t>Supply and fixing scafolding and necessary work for 3/4" thick internal wall plaster for ground floor</t>
  </si>
  <si>
    <t>Supply and apply 2 coat Weather proof (WAP) paint after wall cleaning.</t>
  </si>
  <si>
    <t>Supply and apply 2 coats Emulsion paint for soffit area.</t>
  </si>
  <si>
    <t>Supply and apply 2 coat Emulsion paint for Front side reception area</t>
  </si>
  <si>
    <t>Supply and fixing Cement bench include concrete wall, titanium finish and all the finishing work</t>
  </si>
  <si>
    <t>Supply and masonry work, 4" thick cement blocks, sand, cement, scafolding and necessary all the work for Basement cement block walls.</t>
  </si>
  <si>
    <t>Supply and fixing scafolding and necessary work for 3/4" thick internal wall plaster for basement</t>
  </si>
  <si>
    <t>Supply and apply 2 coats wall filler for soffit area.</t>
  </si>
  <si>
    <t>Supply and apply 2 coats Emulsion paint for internal walls</t>
  </si>
  <si>
    <t>Supply and apply 2 coats wall filler internal walls.</t>
  </si>
  <si>
    <t>Basement</t>
  </si>
  <si>
    <t>Ground Floor</t>
  </si>
  <si>
    <t>1st floor</t>
  </si>
  <si>
    <t>supply and applying  2 coats of filler on ceiling and smoothing including scaffolding and all the work</t>
  </si>
  <si>
    <t>Supply and apply  2" thick concrete counter top - 2 no's, 2" thick cement bed, 1 under coat and 2 coats titanium finish, 1 top coat and all the work</t>
  </si>
  <si>
    <t>Floor chip work, 1" thick cement layer, semi rough smoothing and all the work</t>
  </si>
  <si>
    <t>Mr. mahesh wirasinghe, queens laundry, wiliyam gopallawa mawatha, kandy</t>
  </si>
  <si>
    <t>BOQ for re fixing and construction work</t>
  </si>
  <si>
    <t>Supply and applying cement bins including block wall, cement plaster, cement finish, smoothing and all the work for 6 cement Bins</t>
  </si>
  <si>
    <t>Supply and installing 10' x 4'.6" Aluminum window frame including fit glass and all the necessary work.</t>
  </si>
  <si>
    <t>Supply and apply  2 concrete plates, 2" thick concrete counter top, 2" thick cement bed, block walls, 1 under coat and 2 coats titanium finish, 1 top coat and all the work</t>
  </si>
  <si>
    <t>While working on the roof, we will install a temporary white‑finished plywood partition to separate the hotel’s day‑to‑day operational area from the construction zone. The partition will be constructed using timber salvaged from the old roof as much as possible, supplemented with new timber only if necessary.</t>
  </si>
  <si>
    <t>10mm tor steel, 6mm stirrups, bending and binding, jacks, plywood boards, formwork, 1:2:4 Grade 25 Mix concrete and all the work for 5" thick slab.</t>
  </si>
  <si>
    <t>Supply and masonry work 6" thick brick walls including scaffoldings and the necessary work</t>
  </si>
  <si>
    <t>Supply and apply 1 coat wall filler and 2 coat pentalite painting and finishing work internal walls and soffit area.</t>
  </si>
  <si>
    <t>fixing all the plumbing work, bathroom accessories, bath ware, shower mixer, head shower, Bidet shower, and finishing work (bath ware and accessories supplied by client)</t>
  </si>
  <si>
    <t>Demolish existing concrete water tank.Remove all debris from site using lorries and dispose of appropriately.</t>
  </si>
  <si>
    <t>Carefully remove existing kitchen window.Demolish surrounding plaster and wall sections as required.Carry out patch repairs and finishing work.Remove and dispose of debris from site.</t>
  </si>
  <si>
    <t>Remove existing roofing sheets.Repair roof patches and reinstall roofing sheets.Supply and fix new ridge tiles.Apply ridge plaster and complete finishing works.</t>
  </si>
  <si>
    <t>Install kitchen countertop tiles.Tile kitchen walls up to 2 feet height, as per client’s selected tiles.Complete finishing works to ensure neat and durable installation.</t>
  </si>
  <si>
    <t>Prepare all interior walls with 1 coat of wall filler.Apply 2 coats of emulsion paint for smooth finish.Include scaffolding and all necessary materials/equipment.</t>
  </si>
  <si>
    <t>Apply 1 coat of wall filler to external walls.Finish with 2 coats of weather-shield paint for durability and protection.</t>
  </si>
  <si>
    <t>Prepare soffit surface with 1 coat of wall filler.Apply 2 coats of emulsion paint for a clean finish.</t>
  </si>
  <si>
    <t>Remove existing bathroom fittings and accessories.Supply and install new fittings with necessary pipework.Complete finishing works to ensure proper functionality and aesthetics.</t>
  </si>
  <si>
    <t>Parakum bandara, ampitiya, kandy.</t>
  </si>
  <si>
    <t>Repair and color washing work</t>
  </si>
  <si>
    <t>(measure and pay method)</t>
  </si>
  <si>
    <t xml:space="preserve">Total bill amount </t>
  </si>
  <si>
    <t>For cement and Torsteel paid by Mr. Waruna Kolamunna</t>
  </si>
  <si>
    <t>Received money not included for cement and Tor steel</t>
  </si>
  <si>
    <t>Discount</t>
  </si>
  <si>
    <t>dr sir we have completed work for this much amount and here the bill amount and taken money and this is the balance and  discount amount of 250,000 and please settle the balance payment as fast as you can.</t>
  </si>
  <si>
    <t>Balance to be paid</t>
  </si>
  <si>
    <t>Demolishing rubble wall (745 Cu/ft)</t>
  </si>
  <si>
    <t xml:space="preserve">sum </t>
  </si>
  <si>
    <t>Demolish and removing wall plaster</t>
  </si>
  <si>
    <t>Remove Rubble chimney</t>
  </si>
  <si>
    <t>Remove Asbestos roof and Ceiling</t>
  </si>
  <si>
    <t>Roof repairing work</t>
  </si>
  <si>
    <t>9" thick brick wall</t>
  </si>
  <si>
    <t>9"x9" concrete column</t>
  </si>
  <si>
    <t>Base concrete</t>
  </si>
  <si>
    <t>Column concrete</t>
  </si>
  <si>
    <t>9"x9" concrete Beam</t>
  </si>
  <si>
    <t>Concrete beam</t>
  </si>
  <si>
    <t>1'0" x 0'6" x 9'0" Concrete beam</t>
  </si>
  <si>
    <t>1'0" x 0'6" x 7'0" Concrete beam</t>
  </si>
  <si>
    <t>Rubble back filling (186.48 Cu/ft)</t>
  </si>
  <si>
    <t>3" thick bathroom floor concrete</t>
  </si>
  <si>
    <t>20mm Cement bed</t>
  </si>
  <si>
    <t>1.5" thick Floor concrete for living area</t>
  </si>
  <si>
    <t xml:space="preserve">Fixing window frame </t>
  </si>
  <si>
    <t>Fixing door frame</t>
  </si>
  <si>
    <t>Site cleaning</t>
  </si>
  <si>
    <t>Supply and scaffolding</t>
  </si>
  <si>
    <t>Payment concrete</t>
  </si>
  <si>
    <t>payment cement bed with red cement finishing work</t>
  </si>
  <si>
    <t>30mm thick internal wall plaster</t>
  </si>
  <si>
    <t>15mm thick internal wall plaster</t>
  </si>
  <si>
    <t>semi rough wall plaster</t>
  </si>
  <si>
    <t>4.4</t>
  </si>
  <si>
    <t>Roof repair work Trusses installation</t>
  </si>
  <si>
    <t xml:space="preserve">Supply and install 60mm x  60mm x 5mm steel trusses with all necessary items, demolishing, concreting, welding, painting and all the work according to drawing </t>
  </si>
  <si>
    <t xml:space="preserve">16 Mockup room - DW1 </t>
  </si>
  <si>
    <t xml:space="preserve">16 Mockup room - D1 </t>
  </si>
  <si>
    <t>16 Mockup room - D2</t>
  </si>
  <si>
    <t>6 Mockup room - DW1</t>
  </si>
  <si>
    <t>6 Mockup room - D1</t>
  </si>
  <si>
    <t>6 Mockup room - D2</t>
  </si>
  <si>
    <t>16 Mockup room - Bathroom Cubical partition and door</t>
  </si>
  <si>
    <t>6 Mockup room - Bathroom Cubical partition and door</t>
  </si>
  <si>
    <t>OLD RATE</t>
  </si>
  <si>
    <t xml:space="preserve">NEW RATE </t>
  </si>
  <si>
    <t xml:space="preserve">NEW AMOUNT </t>
  </si>
  <si>
    <t>16 Mockup room - Bathroom Cubical partition and door (cubical changed from the first plan)</t>
  </si>
  <si>
    <t>6 Mockup room - Bathroom Cubical partition and door (cubical changed from the first plan)</t>
  </si>
  <si>
    <t>Truss Lifting and placement</t>
  </si>
  <si>
    <t>Truss installation of 60X60X5mm EQUAL "L" ANGLE, Truss installation of 60X60X5/2mm EQUAL "L" ANGLE (DOUBLED), 10mm Plate installation, All the Welding Work, Painting work</t>
  </si>
  <si>
    <t>All the necessary Demolishing work for truss installation including demolishing rubble walls, removing the existing wooden truss, installation of Jacks and necessary work until steel truss Placement.</t>
  </si>
  <si>
    <t>All the necessary Concreting work for truss installation including formwork, reinforced concrete.(1'x1' concrete column)</t>
  </si>
  <si>
    <t>Carry out from the site area by lorries</t>
  </si>
  <si>
    <t>Loads</t>
  </si>
  <si>
    <t xml:space="preserve">Demolishing of 12' height x 1' width wall </t>
  </si>
  <si>
    <t>Carefully Demolishing 1'0" thick rubble wall including existing finishes and disposal of  all debris from the site area as directed.</t>
  </si>
  <si>
    <t>Carefully Demolishing Existing slab and disposal of all debris from the site area as directed.</t>
  </si>
  <si>
    <t xml:space="preserve">Supply and apply grade 20 concrete including 6mm tor steel, 12mm tor steel, 6mm stirrups, formwork for 12" x 9" floor beam </t>
  </si>
  <si>
    <t>Brick work in  9" thick vertical walls in cement and sand 1:5 mortar in wall.</t>
  </si>
  <si>
    <t>Demolishing and new brick wall for bar counter area.</t>
  </si>
  <si>
    <t>16mm  (5/8")  thick  internal  plaster  1:3  cement and  sand  finished  smooth  to  the  block  walls, concrete  walls,  attached  &amp;  isolated  concrete columns.</t>
  </si>
  <si>
    <t>Prepare   plastered   surfaces   of   brick   walls,  and   apply   two   coats   of   approved   interior quality,  acrylic  emulsion  paint  with  three coat putty, two coat  acrylic filler as per  manufacturer's    instructions, drawings and to the    satisfaction    of    the Engineer and Architect.</t>
  </si>
  <si>
    <t>New concrete slab area Including Concreting, Formwork and necessary reinforcement for staircase cover work.</t>
  </si>
  <si>
    <t>850 </t>
  </si>
  <si>
    <t>Supply and apply Floor 1" thick Cement bed for Ground floor, 1st floor, 2nd floor and roof area including sand, cement and all the necessary work</t>
  </si>
  <si>
    <t>Ground floor, 1st floor, 2nd floor and roof area for 4" thick ground filling is necessary, need to concrete again with chips metal For concreting</t>
  </si>
  <si>
    <t>Supply and installation of Rain guard including 30' feet high scaffolding and all the necessary work.</t>
  </si>
  <si>
    <t>From ground floor to 2nd floor Demolish the staircase and demolish living room, dining room and kitchen area walls and remove all the remaining waste from the working site, and other work.</t>
  </si>
  <si>
    <t>Pantry and Dining area demolishing work and remove the debris from the site area.</t>
  </si>
  <si>
    <t>Supply and apply 6" thick brick walls for all the existing openings</t>
  </si>
  <si>
    <t>fixing the demolished area, supply and apply wall plaster including scaffolding and all the necessary work</t>
  </si>
  <si>
    <t>Supply and apply 3 coat wall putty, 1 coat wall filler, work for ground, 1st and 2nd floor, all the walls and soffit area (including scaffolding and all the necessary goods).</t>
  </si>
  <si>
    <t>Supply and apply 2 coat wall putty, 1 coat wall filler, 2 coat Dulux weather shield for ground floor, 1st and 2nd and roof top walls and soffit area outside. (including scaffolding and other goods).</t>
  </si>
  <si>
    <t>*Note: Putty work and 1 coat filler has been done, painting is ready to start by smoothing the walls, after tiling work it will be ready to finishing work. All the work is done by measure and pay method.</t>
  </si>
  <si>
    <t>Excavation work for column pit retaining wall, foundation and back filling, all the work for building area.</t>
  </si>
  <si>
    <t>10mm, 12mm tor steel binding, bending and concreting for column pit and up to ground level 9"x9" columns.</t>
  </si>
  <si>
    <t xml:space="preserve">10mm tor steel, 6mm stirrups, binding, formwork, concreting and all the work for 9"x9" columns up to 1st floor level </t>
  </si>
  <si>
    <t xml:space="preserve">12mm tor steel, formwork and necessary work for up to 1st floor level staircase </t>
  </si>
  <si>
    <t>Supply and installation of Rain guard including 15' feet high scaffolding and all the necessary work.</t>
  </si>
  <si>
    <t>Supply and apply External wall plaster</t>
  </si>
  <si>
    <t>Supply and apply Bathroom, bedroom, kitchen wall plaster for internal walls.</t>
  </si>
  <si>
    <t>6" x 8" lintel including formwork, reinforcement (10 Tor 2), and concreting work</t>
  </si>
  <si>
    <t>Supply and apply Master bedroom balcony area extended concrete balcony including formwork, reinforcement and concreting.</t>
  </si>
  <si>
    <t>Soil compacting by a rented machine and prepare and leveling before concreting</t>
  </si>
  <si>
    <t>roof work</t>
  </si>
  <si>
    <t>10mm tor steel, 6mm stirrups, binding, formwork, concreting and all the work for 9"x9" columns</t>
  </si>
  <si>
    <t>Supply and masonry work 3/4" thick wall plaster for necessary sand, cement, scaffolding and all the work</t>
  </si>
  <si>
    <t>10mm tor steel, bending and binding, formwork for 3/4 plywood boards, steel props, concreting and necessary all the work for balcony slab</t>
  </si>
  <si>
    <t>12mm tor steel, 6mm stirrups, binding, formwork, steel props, concreting and necessary work for balcony slab beam</t>
  </si>
  <si>
    <t>Supply and laying floor titanium and all the finishing work</t>
  </si>
  <si>
    <t>supply sand, cement, and all the necessary goods for 3" thick floor concrete and all the necessary work</t>
  </si>
  <si>
    <t>supply and apply wall finishes with brick slides, apply vax or client prefered paint</t>
  </si>
  <si>
    <t>Supply and installation of roof work including gutters, down pipe, “Lunu Midella” timber, “Cempus”Battons, steel foil and all the necessary work.</t>
  </si>
  <si>
    <t>supply and apply wall finishes with brick slides, apply vax or client preferred paint</t>
  </si>
  <si>
    <t>10mm tor steel, 6mm stirrups, bending, binding and all the work for 9”x6” lintol beam (10T4)</t>
  </si>
  <si>
    <t>10mm tor steel, 6mm stirrups, bending, binding and all the work for 9”x6” lintel beam (10T4)</t>
  </si>
  <si>
    <t>Supply and installation of roof work including gutters, down pipe, “Lunu Midella” timber, “Thulan” Rafters, Heat resistant foil and all the necessary work.</t>
  </si>
  <si>
    <t xml:space="preserve">For door frames, window frames and fanlight, supply hingers, locks, and all the necessary goods and installation for 13 No's </t>
  </si>
  <si>
    <t>Lower Ground Floor kitchen</t>
  </si>
  <si>
    <t>Ground Floor bathroom - 2 Numbers</t>
  </si>
  <si>
    <t>Supply and installation of Vanity top  including formwork, reinforcement, concreting, cement bed, tiling and all the finishing work.</t>
  </si>
  <si>
    <t>Supply and apply Riverside 3" thick floor concrete including all the necessary work</t>
  </si>
  <si>
    <t>Soil compacting and Apply 4" thick floor concrete for front side including all the necessary work</t>
  </si>
  <si>
    <t>1,900,000 has paid to us and grand total is 2,901,395, and painting is ready to start we already applied putty and prepared the wall for painting, please pay the balance of minimum 500,000 of 1,001,395 to start the work</t>
  </si>
  <si>
    <t>Demolishing work for 18"x9" beam including careful inspection, breaker machines, scaffolding, labors and remove the debris away from the site area.</t>
  </si>
  <si>
    <t>8"x6" H-Iron welding, for roof support, painting work including jacks, scaffolding, labor and transport from balagolla, including ceiling removal, roof supporting pipes, bus bars and all the necessary Goods and work for finish the work.</t>
  </si>
  <si>
    <t>Supply and apply 4" thick PVC storm water line to the road and finishing pipe work, supply and apply a 1'6" x 1'6" manhole including concreting, formwork, reinforcement, labor and all the work.</t>
  </si>
  <si>
    <t>Asbastos ceiling finishing work including paint</t>
  </si>
  <si>
    <t>1 coat filler, 2 coat Paint for ceiling area</t>
  </si>
  <si>
    <t>Bathroom wall tiles</t>
  </si>
  <si>
    <t>Cement bed and cement finishing courtyard</t>
  </si>
  <si>
    <t>3 Coat wall putty</t>
  </si>
  <si>
    <t>1 coat Filler, 2 coat paint</t>
  </si>
  <si>
    <t>Reveals including 3 coat putty, 1 coat filler, 2 coat paint</t>
  </si>
  <si>
    <t xml:space="preserve">9" thick brick wall, 9"x6" concrete column, 3" thick slab, cement bed, plastering, tiling, front side cement cut finish and interior putty and paint and all the finishing work. (Sink area and gas cooker fixing area)  </t>
  </si>
  <si>
    <t>(638.14 Sq/ft) - 6" thick concrete demolishing work including breaker meachine.</t>
  </si>
  <si>
    <t>4" thick floor concrete</t>
  </si>
  <si>
    <t xml:space="preserve">Reinforcement </t>
  </si>
  <si>
    <t>3" thick Slab</t>
  </si>
  <si>
    <t>9"x6" concrete column</t>
  </si>
  <si>
    <t>20mm wall plaster</t>
  </si>
  <si>
    <t>wall putty and painting</t>
  </si>
  <si>
    <t>Cement cut finish, smooth work and apply vax paint</t>
  </si>
  <si>
    <t>Pantry top tiles</t>
  </si>
  <si>
    <t>Demolishing brick wall</t>
  </si>
  <si>
    <t>Excavation work for base footing</t>
  </si>
  <si>
    <t>Concrete column</t>
  </si>
  <si>
    <t>Excavation work for base footing including machines, concrete cube demolishing, rubble removal, Demolishing brick wall.</t>
  </si>
  <si>
    <t>constructing roof frame using box bars, welding work,  installation of poli carbenate clear sheet and finishing the work.</t>
  </si>
  <si>
    <t>Supply and installation of steel wire mesh including pillar pits, pillar installation and concreting, support wires, support hooks with concreting and all the necessary work.</t>
  </si>
  <si>
    <t>Meter</t>
  </si>
  <si>
    <t>Column base including 10mm steel mesh, 1" thick concrete, 2" thick screed concrete, and all the work</t>
  </si>
  <si>
    <t>Ms. Murukesh parameshwari, kengalla.</t>
  </si>
  <si>
    <t>12mm tor steel, 6mm stirrups, bending and binding, formwork, concrete work, and necessary all the work for 9"x9" tie beam</t>
  </si>
  <si>
    <t>16mm tor steel, 6mm stirrups, binding, formwork, concreting and all the work for 9"x9" columns</t>
  </si>
  <si>
    <t>12mm tor steel, 6mm stirrups, bending and binding, formwork, concrete work, and necessary all the work for 9"x9" slab beam</t>
  </si>
  <si>
    <t>10mm tor steel, bending and binding, formwork for 3/4 plywood boards, steel props, concreting and necessary all the work for 5" thick slab</t>
  </si>
  <si>
    <t xml:space="preserve">12mm tor steel, bending, formwork, concreting and all the work for staircase </t>
  </si>
  <si>
    <t>excavation work:
3"x3" pit - 19,000
concrete 1 lft - 1800
tie beam - 1750
slab beam 1600
slab 1550
9" thick brick sqft 650
plaster 180
rate sheet</t>
  </si>
  <si>
    <t>10mm tor steel, bending and binding, formwork for 3/4 plywood boards, steel props, concreting and necessary all the work for 4" thick slab</t>
  </si>
  <si>
    <t>Masonry work and supply cement, sand, scaffolding and other work for 9" thick brick wall</t>
  </si>
  <si>
    <t>3"x3" Column base including 10mm steel mesh, 1" thick concrete, 2" thick screed concrete, and all the work</t>
  </si>
  <si>
    <t>12mm tor steel, 6mm stirrups, bending and binding, formwork, concrete work, and necessary all the work for 9"x9" concrete column</t>
  </si>
  <si>
    <t>10mm tor tor steel, 6mm stirrups, bending and binding, formwork, concrete work, and necessary all the work for 6" x 9" lintol</t>
  </si>
  <si>
    <t>supply and fixing 5'x4', 4'x2, 2'x2' "Red balaw" timber, asbastos roofing sheet, valance board, gutters, down pipes, waterbase painting, emulsion ceiling painting, and all the necessary work</t>
  </si>
  <si>
    <t>10mm tor steel, formwork, concreting for 4" thick retaining wall and mini staircase</t>
  </si>
  <si>
    <t>12mm tor steel, 6mm stirrups, bending and binding, formwork, concrete work, and necessary all the work for 9"x9" plinth beam</t>
  </si>
  <si>
    <t>10mm tor steel, bending and binding, formwork for 3/4 plywood boards, steel props, concreting and necessary all the work for 4" thick front lobby slab area and passage slab area</t>
  </si>
  <si>
    <t>Supply and masonry work 3/4" thick internal wall plaster for necessary sand, cement, scaffolding and all the work</t>
  </si>
  <si>
    <t>Supply and masonry work 3/4" thick External wall plaster for necessary sand, cement, scaffolding and all the work</t>
  </si>
  <si>
    <t>Supply and apply 2 coat putty, 1 coat wall filler, 2 coat weather shield paint for external walls.</t>
  </si>
  <si>
    <t>Tiling, bathroom tiling, plumbing, electrical work and door, window works are not included in this estimate.</t>
  </si>
  <si>
    <t>4" thick PVC</t>
  </si>
  <si>
    <t>1 1/2" thick PVC</t>
  </si>
  <si>
    <t>1/2" thick PVC</t>
  </si>
  <si>
    <t>Plumbing work Laying from water tank to bathroom, waste water from bathroom to gully. (measure and pay method)</t>
  </si>
  <si>
    <t>Supply and laying tile mortar, apply Floor tiles, cutting and grouting and all the necessary work.</t>
  </si>
  <si>
    <t>Supply and laying tile mortar, apply wall tiles, cutting and grouting and all the necessary work.</t>
  </si>
  <si>
    <t>Bathroom plumbing work including Supply and laying PVC pipes, hot water pipes, plumbing accessories, bath ware and bathroom finishing work. (bath ware and accessories supplied by client, plumbing work only in bathroom area)</t>
  </si>
  <si>
    <t>manager quarters</t>
  </si>
  <si>
    <t>Concreting</t>
  </si>
  <si>
    <t>servant bathroom removing old wall plaster</t>
  </si>
  <si>
    <t xml:space="preserve">30mm thick plastering rubble wall </t>
  </si>
  <si>
    <t>cemend bed</t>
  </si>
  <si>
    <t>asbastos roof</t>
  </si>
  <si>
    <t>asbastos interior ceiling</t>
  </si>
  <si>
    <t>2"x2" timber</t>
  </si>
  <si>
    <t>6"x3" timber</t>
  </si>
  <si>
    <t>Demolishing concrete wall, rubble wall, preparing to apply concrete plate in frontside entrance area. including concrete breaker machine.</t>
  </si>
  <si>
    <t>2 </t>
  </si>
  <si>
    <t> constructing roof frame using box bars, welding work, installation of poli carbonate clear sheet and finishing the work.</t>
  </si>
  <si>
    <t>Sq/ft </t>
  </si>
  <si>
    <t>350.00 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</si>
</sst>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00"/>
  </numFmts>
  <fonts count="50" x14ac:knownFonts="1">
    <font>
      <sz val="11"/>
      <color theme="1"/>
      <name val="Calibri"/>
      <family val="2"/>
      <scheme val="minor"/>
    </font>
    <font>
      <sz val="11"/>
      <color rgb="FF000000"/>
      <name val="Calibri"/>
      <family val="2"/>
      <scheme val="minor"/>
    </font>
    <font>
      <b/>
      <sz val="11"/>
      <color rgb="FF000000"/>
      <name val="Calibri"/>
      <family val="2"/>
      <scheme val="minor"/>
    </font>
    <font>
      <sz val="8"/>
      <name val="Calibri"/>
      <family val="2"/>
      <scheme val="minor"/>
    </font>
    <font>
      <sz val="10"/>
      <color theme="1"/>
      <name val="Times New Roman"/>
      <family val="1"/>
    </font>
    <font>
      <b/>
      <sz val="11"/>
      <color rgb="FF000000"/>
      <name val="Times New Roman"/>
      <family val="1"/>
    </font>
    <font>
      <sz val="11"/>
      <color rgb="FF000000"/>
      <name val="Times New Roman"/>
      <family val="1"/>
    </font>
    <font>
      <sz val="11"/>
      <color theme="1"/>
      <name val="Times New Roman"/>
      <family val="1"/>
    </font>
    <font>
      <b/>
      <sz val="11"/>
      <color theme="1"/>
      <name val="Times New Roman"/>
      <family val="1"/>
    </font>
    <font>
      <sz val="11"/>
      <color rgb="FFFF0000"/>
      <name val="Times New Roman"/>
      <family val="1"/>
    </font>
    <font>
      <b/>
      <sz val="12"/>
      <color theme="1"/>
      <name val="Times New Roman"/>
      <family val="1"/>
    </font>
    <font>
      <u/>
      <sz val="11"/>
      <color theme="1"/>
      <name val="Times New Roman"/>
      <family val="1"/>
    </font>
    <font>
      <i/>
      <u/>
      <sz val="11"/>
      <color theme="1"/>
      <name val="Times New Roman"/>
      <family val="1"/>
    </font>
    <font>
      <i/>
      <sz val="11"/>
      <color rgb="FF000000"/>
      <name val="Times New Roman"/>
      <family val="1"/>
    </font>
    <font>
      <b/>
      <sz val="14"/>
      <color theme="1"/>
      <name val="Times New Roman"/>
      <family val="1"/>
    </font>
    <font>
      <sz val="14"/>
      <color rgb="FF000000"/>
      <name val="Times New Roman"/>
      <family val="1"/>
    </font>
    <font>
      <vertAlign val="superscript"/>
      <sz val="14"/>
      <color rgb="FF000000"/>
      <name val="Times New Roman"/>
      <family val="1"/>
    </font>
    <font>
      <vertAlign val="superscript"/>
      <sz val="11"/>
      <color rgb="FF000000"/>
      <name val="Times New Roman"/>
      <family val="1"/>
    </font>
    <font>
      <b/>
      <i/>
      <u/>
      <sz val="12"/>
      <color theme="1"/>
      <name val="Times New Roman"/>
      <family val="1"/>
    </font>
    <font>
      <b/>
      <u/>
      <sz val="11"/>
      <color theme="1"/>
      <name val="Times New Roman"/>
      <family val="1"/>
    </font>
    <font>
      <b/>
      <sz val="12"/>
      <color rgb="FF000000"/>
      <name val="Times New Roman"/>
      <family val="1"/>
    </font>
    <font>
      <b/>
      <i/>
      <sz val="10"/>
      <color rgb="FF000000"/>
      <name val="Times New Roman"/>
      <family val="1"/>
    </font>
    <font>
      <sz val="10"/>
      <color rgb="FF000000"/>
      <name val="Times New Roman"/>
      <family val="1"/>
    </font>
    <font>
      <sz val="9"/>
      <color rgb="FF000000"/>
      <name val="Times New Roman"/>
      <family val="1"/>
    </font>
    <font>
      <b/>
      <sz val="16"/>
      <color rgb="FF000000"/>
      <name val="Times New Roman"/>
      <family val="1"/>
    </font>
    <font>
      <sz val="7"/>
      <color rgb="FF000000"/>
      <name val="Times New Roman"/>
      <family val="1"/>
    </font>
    <font>
      <b/>
      <sz val="10"/>
      <color rgb="FF000000"/>
      <name val="Times New Roman"/>
      <family val="1"/>
    </font>
    <font>
      <sz val="12"/>
      <color theme="1"/>
      <name val="Times New Roman"/>
      <family val="1"/>
    </font>
    <font>
      <sz val="9"/>
      <color theme="1"/>
      <name val="Times New Roman"/>
      <family val="1"/>
    </font>
    <font>
      <b/>
      <sz val="8.5"/>
      <color theme="1"/>
      <name val="Times New Roman"/>
      <family val="1"/>
    </font>
    <font>
      <sz val="8.5"/>
      <color theme="1"/>
      <name val="Times New Roman"/>
      <family val="1"/>
    </font>
    <font>
      <b/>
      <sz val="9.5"/>
      <color theme="1"/>
      <name val="Times New Roman"/>
      <family val="1"/>
    </font>
    <font>
      <sz val="9.5"/>
      <color theme="1"/>
      <name val="Times New Roman"/>
      <family val="1"/>
    </font>
    <font>
      <b/>
      <u/>
      <sz val="9.5"/>
      <color theme="1"/>
      <name val="Times New Roman"/>
      <family val="1"/>
    </font>
    <font>
      <sz val="7"/>
      <color theme="1"/>
      <name val="Times New Roman"/>
      <family val="1"/>
    </font>
    <font>
      <u/>
      <sz val="9.5"/>
      <color theme="1"/>
      <name val="Times New Roman"/>
      <family val="1"/>
    </font>
    <font>
      <b/>
      <sz val="9"/>
      <color theme="1"/>
      <name val="Times New Roman"/>
      <family val="1"/>
    </font>
    <font>
      <b/>
      <u/>
      <sz val="9"/>
      <color theme="1"/>
      <name val="Times New Roman"/>
      <family val="1"/>
    </font>
    <font>
      <sz val="9.5"/>
      <color theme="1"/>
      <name val="Calibri"/>
      <family val="2"/>
    </font>
    <font>
      <sz val="6"/>
      <color theme="1"/>
      <name val="Times New Roman"/>
      <family val="1"/>
    </font>
    <font>
      <sz val="8"/>
      <color theme="1"/>
      <name val="Times New Roman"/>
      <family val="1"/>
    </font>
    <font>
      <sz val="26"/>
      <color theme="1"/>
      <name val="Times New Roman"/>
      <family val="1"/>
    </font>
    <font>
      <b/>
      <sz val="8"/>
      <color theme="1"/>
      <name val="Times New Roman"/>
      <family val="1"/>
    </font>
    <font>
      <b/>
      <u/>
      <sz val="8.5"/>
      <color theme="1"/>
      <name val="Times New Roman"/>
      <family val="1"/>
    </font>
    <font>
      <b/>
      <sz val="24"/>
      <color theme="1"/>
      <name val="Times New Roman"/>
      <family val="1"/>
    </font>
    <font>
      <b/>
      <u/>
      <sz val="11"/>
      <color rgb="FF000000"/>
      <name val="Times New Roman"/>
      <family val="1"/>
    </font>
    <font>
      <sz val="11"/>
      <color rgb="FF92D050"/>
      <name val="Times New Roman"/>
      <family val="1"/>
    </font>
    <font>
      <b/>
      <sz val="11"/>
      <color theme="1"/>
      <name val="Calibri"/>
      <family val="2"/>
      <scheme val="minor"/>
    </font>
    <font>
      <sz val="9.5"/>
      <name val="Times New Roman"/>
      <family val="1"/>
    </font>
    <font>
      <b/>
      <u/>
      <sz val="11"/>
      <color rgb="FF000000"/>
      <name val="Calibri"/>
      <family val="2"/>
      <scheme val="minor"/>
    </font>
  </fonts>
  <fills count="12">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rgb="FFFF0066"/>
        <bgColor indexed="64"/>
      </patternFill>
    </fill>
    <fill>
      <patternFill patternType="solid">
        <fgColor rgb="FFFFFF00"/>
        <bgColor indexed="64"/>
      </patternFill>
    </fill>
    <fill>
      <patternFill patternType="solid">
        <fgColor rgb="FFFF0000"/>
        <bgColor indexed="64"/>
      </patternFill>
    </fill>
    <fill>
      <patternFill patternType="solid">
        <fgColor theme="1" tint="4.9989318521683403E-2"/>
        <bgColor indexed="64"/>
      </patternFill>
    </fill>
    <fill>
      <patternFill patternType="solid">
        <fgColor theme="4" tint="0.39997558519241921"/>
        <bgColor indexed="64"/>
      </patternFill>
    </fill>
    <fill>
      <patternFill patternType="solid">
        <fgColor theme="1" tint="0.34998626667073579"/>
        <bgColor indexed="64"/>
      </patternFill>
    </fill>
    <fill>
      <patternFill patternType="solid">
        <fgColor rgb="FF92D050"/>
        <bgColor indexed="64"/>
      </patternFill>
    </fill>
    <fill>
      <patternFill patternType="solid">
        <fgColor rgb="FF00B0F0"/>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rgb="FF000000"/>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double">
        <color rgb="FF000000"/>
      </bottom>
      <diagonal/>
    </border>
    <border>
      <left/>
      <right style="medium">
        <color rgb="FF000000"/>
      </right>
      <top style="medium">
        <color rgb="FF000000"/>
      </top>
      <bottom style="double">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double">
        <color rgb="FF000000"/>
      </bottom>
      <diagonal/>
    </border>
    <border>
      <left/>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style="medium">
        <color rgb="FF000000"/>
      </left>
      <right style="medium">
        <color rgb="FF000000"/>
      </right>
      <top style="double">
        <color rgb="FF000000"/>
      </top>
      <bottom/>
      <diagonal/>
    </border>
    <border>
      <left style="medium">
        <color rgb="FF000000"/>
      </left>
      <right style="medium">
        <color rgb="FF000000"/>
      </right>
      <top/>
      <bottom style="thick">
        <color rgb="FF000000"/>
      </bottom>
      <diagonal/>
    </border>
    <border>
      <left/>
      <right style="medium">
        <color rgb="FF000000"/>
      </right>
      <top/>
      <bottom style="thick">
        <color rgb="FF000000"/>
      </bottom>
      <diagonal/>
    </border>
    <border>
      <left style="medium">
        <color rgb="FF000000"/>
      </left>
      <right style="medium">
        <color rgb="FF000000"/>
      </right>
      <top style="thick">
        <color rgb="FF000000"/>
      </top>
      <bottom/>
      <diagonal/>
    </border>
    <border>
      <left/>
      <right style="thick">
        <color rgb="FF000000"/>
      </right>
      <top/>
      <bottom style="double">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rgb="FF000000"/>
      </left>
      <right/>
      <top style="double">
        <color rgb="FF000000"/>
      </top>
      <bottom/>
      <diagonal/>
    </border>
    <border>
      <left/>
      <right style="medium">
        <color rgb="FF000000"/>
      </right>
      <top style="double">
        <color rgb="FF000000"/>
      </top>
      <bottom/>
      <diagonal/>
    </border>
    <border>
      <left style="thin">
        <color rgb="FF000000"/>
      </left>
      <right style="thin">
        <color rgb="FF000000"/>
      </right>
      <top/>
      <bottom/>
      <diagonal/>
    </border>
  </borders>
  <cellStyleXfs count="1">
    <xf numFmtId="0" fontId="0" fillId="0" borderId="0"/>
  </cellStyleXfs>
  <cellXfs count="669">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4" xfId="0" applyFont="1" applyBorder="1" applyAlignment="1">
      <alignment vertical="center" wrapText="1"/>
    </xf>
    <xf numFmtId="0" fontId="6" fillId="0" borderId="4" xfId="0" applyFont="1" applyBorder="1" applyAlignment="1">
      <alignment horizontal="center" vertical="center" wrapText="1"/>
    </xf>
    <xf numFmtId="0" fontId="6" fillId="0" borderId="13" xfId="0" applyFont="1" applyBorder="1" applyAlignment="1">
      <alignment vertical="center" wrapText="1"/>
    </xf>
    <xf numFmtId="0" fontId="5" fillId="0" borderId="4" xfId="0" applyFont="1" applyBorder="1" applyAlignment="1">
      <alignment vertical="center" wrapText="1"/>
    </xf>
    <xf numFmtId="0" fontId="5" fillId="0" borderId="4" xfId="0" applyFont="1" applyBorder="1" applyAlignment="1">
      <alignment horizontal="center" vertical="center" wrapText="1"/>
    </xf>
    <xf numFmtId="49"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4" fontId="7"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49" fontId="7" fillId="0" borderId="5" xfId="0" applyNumberFormat="1" applyFont="1" applyBorder="1" applyAlignment="1">
      <alignment horizontal="center"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0" fontId="6" fillId="0" borderId="12" xfId="0" applyFont="1" applyBorder="1" applyAlignment="1">
      <alignment vertical="center" wrapText="1"/>
    </xf>
    <xf numFmtId="0" fontId="6" fillId="0" borderId="32"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49" fontId="7" fillId="0" borderId="6" xfId="0" applyNumberFormat="1"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xf numFmtId="0" fontId="7" fillId="0" borderId="1" xfId="0" applyFont="1" applyBorder="1" applyAlignment="1">
      <alignment vertical="center" wrapText="1"/>
    </xf>
    <xf numFmtId="49" fontId="8"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0" fontId="7" fillId="2" borderId="0" xfId="0" applyFont="1" applyFill="1"/>
    <xf numFmtId="0" fontId="7" fillId="0" borderId="0" xfId="0" applyFont="1"/>
    <xf numFmtId="0" fontId="9" fillId="2" borderId="0" xfId="0" applyFont="1" applyFill="1"/>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49" fontId="9" fillId="2" borderId="1" xfId="0" applyNumberFormat="1"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6" fillId="0" borderId="1" xfId="0" applyFont="1" applyBorder="1" applyAlignment="1">
      <alignment wrapText="1"/>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7" fillId="3" borderId="0" xfId="0" applyFont="1" applyFill="1"/>
    <xf numFmtId="0" fontId="7" fillId="4" borderId="0" xfId="0" applyFont="1" applyFill="1"/>
    <xf numFmtId="49" fontId="5"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49" fontId="6" fillId="0" borderId="1" xfId="0" applyNumberFormat="1" applyFont="1" applyBorder="1" applyAlignment="1">
      <alignment horizontal="right" vertical="center"/>
    </xf>
    <xf numFmtId="0" fontId="6" fillId="0" borderId="1" xfId="0" applyFont="1" applyBorder="1" applyAlignment="1">
      <alignment horizontal="right" vertical="center"/>
    </xf>
    <xf numFmtId="0" fontId="6" fillId="0" borderId="1" xfId="0" applyFont="1" applyBorder="1" applyAlignment="1">
      <alignment vertical="center"/>
    </xf>
    <xf numFmtId="49" fontId="6" fillId="0" borderId="1" xfId="0" applyNumberFormat="1" applyFont="1" applyBorder="1" applyAlignment="1">
      <alignment vertical="center"/>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4" fontId="5" fillId="0" borderId="0" xfId="0" applyNumberFormat="1" applyFont="1"/>
    <xf numFmtId="0" fontId="7" fillId="0" borderId="2" xfId="0" applyFont="1" applyBorder="1" applyAlignment="1">
      <alignment horizontal="center" vertical="center" wrapText="1"/>
    </xf>
    <xf numFmtId="49" fontId="5" fillId="0" borderId="8" xfId="0" applyNumberFormat="1" applyFont="1" applyBorder="1" applyAlignment="1">
      <alignment horizontal="center" vertical="center" wrapText="1"/>
    </xf>
    <xf numFmtId="0" fontId="5" fillId="0" borderId="9" xfId="0" applyFont="1" applyBorder="1" applyAlignment="1">
      <alignment horizontal="center" vertical="center"/>
    </xf>
    <xf numFmtId="49" fontId="6" fillId="0" borderId="10" xfId="0" applyNumberFormat="1" applyFont="1" applyBorder="1" applyAlignment="1">
      <alignment horizontal="right" vertical="center"/>
    </xf>
    <xf numFmtId="0" fontId="6" fillId="0" borderId="4" xfId="0" applyFont="1" applyBorder="1" applyAlignment="1">
      <alignment vertical="center"/>
    </xf>
    <xf numFmtId="49" fontId="6" fillId="0" borderId="10" xfId="0" applyNumberFormat="1" applyFont="1" applyBorder="1" applyAlignment="1">
      <alignment vertical="center"/>
    </xf>
    <xf numFmtId="0" fontId="5" fillId="0" borderId="4" xfId="0" applyFont="1" applyBorder="1" applyAlignment="1">
      <alignment vertical="center"/>
    </xf>
    <xf numFmtId="49" fontId="6" fillId="0" borderId="10" xfId="0" applyNumberFormat="1" applyFont="1" applyBorder="1" applyAlignment="1">
      <alignment horizontal="center" vertical="center" wrapText="1"/>
    </xf>
    <xf numFmtId="49" fontId="6" fillId="0" borderId="12"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 fontId="9" fillId="2" borderId="4" xfId="0" applyNumberFormat="1" applyFont="1" applyFill="1" applyBorder="1" applyAlignment="1">
      <alignment vertical="center"/>
    </xf>
    <xf numFmtId="0" fontId="9" fillId="2" borderId="4" xfId="0" applyFont="1" applyFill="1" applyBorder="1" applyAlignment="1">
      <alignment vertical="center"/>
    </xf>
    <xf numFmtId="4" fontId="9" fillId="2" borderId="0" xfId="0" applyNumberFormat="1" applyFont="1" applyFill="1"/>
    <xf numFmtId="0" fontId="14" fillId="0" borderId="1" xfId="0" applyFont="1" applyBorder="1" applyAlignment="1">
      <alignment horizontal="left" vertical="center" wrapText="1"/>
    </xf>
    <xf numFmtId="164" fontId="9" fillId="2" borderId="0" xfId="0" applyNumberFormat="1" applyFont="1" applyFill="1"/>
    <xf numFmtId="0" fontId="6" fillId="0" borderId="13" xfId="0" applyFont="1" applyBorder="1" applyAlignment="1">
      <alignment horizontal="center" vertical="center" wrapText="1"/>
    </xf>
    <xf numFmtId="0" fontId="5" fillId="0" borderId="1" xfId="0" applyFont="1" applyBorder="1" applyAlignment="1">
      <alignment vertical="center" wrapText="1"/>
    </xf>
    <xf numFmtId="0" fontId="7" fillId="6" borderId="0" xfId="0" applyFont="1" applyFill="1"/>
    <xf numFmtId="0" fontId="7" fillId="0" borderId="1" xfId="0" applyFont="1" applyBorder="1"/>
    <xf numFmtId="0" fontId="7" fillId="0" borderId="24" xfId="0" applyFont="1" applyBorder="1"/>
    <xf numFmtId="0" fontId="7" fillId="0" borderId="11" xfId="0" applyFont="1" applyBorder="1"/>
    <xf numFmtId="49" fontId="7" fillId="0" borderId="2" xfId="0" applyNumberFormat="1" applyFont="1" applyBorder="1" applyAlignment="1">
      <alignment horizontal="center" vertical="center" wrapText="1"/>
    </xf>
    <xf numFmtId="14" fontId="7" fillId="0" borderId="1" xfId="0" applyNumberFormat="1" applyFont="1" applyBorder="1" applyAlignment="1">
      <alignment horizontal="left" vertical="center" wrapText="1"/>
    </xf>
    <xf numFmtId="3" fontId="9" fillId="2" borderId="0" xfId="0" applyNumberFormat="1" applyFont="1" applyFill="1"/>
    <xf numFmtId="49" fontId="18" fillId="0" borderId="1" xfId="0" applyNumberFormat="1" applyFont="1" applyBorder="1" applyAlignment="1">
      <alignment horizontal="center" vertical="center" wrapText="1"/>
    </xf>
    <xf numFmtId="0" fontId="7" fillId="0" borderId="0" xfId="0" applyFont="1" applyAlignment="1">
      <alignment wrapText="1"/>
    </xf>
    <xf numFmtId="0" fontId="8" fillId="0" borderId="25" xfId="0" applyFont="1" applyBorder="1" applyAlignment="1">
      <alignment horizontal="left" vertical="center" wrapText="1"/>
    </xf>
    <xf numFmtId="49" fontId="5" fillId="0" borderId="17" xfId="0" applyNumberFormat="1" applyFont="1" applyBorder="1" applyAlignment="1">
      <alignment horizontal="center" vertical="center" wrapText="1"/>
    </xf>
    <xf numFmtId="0" fontId="5" fillId="0" borderId="27" xfId="0" applyFont="1" applyBorder="1" applyAlignment="1">
      <alignment horizontal="center" vertical="center" wrapText="1"/>
    </xf>
    <xf numFmtId="0" fontId="19" fillId="0" borderId="1" xfId="0" applyFont="1" applyBorder="1" applyAlignment="1">
      <alignment horizontal="left" vertical="center" wrapText="1"/>
    </xf>
    <xf numFmtId="0" fontId="5" fillId="0" borderId="1" xfId="0" applyFont="1" applyBorder="1" applyAlignment="1">
      <alignment horizontal="right" vertical="center"/>
    </xf>
    <xf numFmtId="0" fontId="5" fillId="0" borderId="1" xfId="0" applyFont="1" applyBorder="1" applyAlignment="1">
      <alignment vertical="center"/>
    </xf>
    <xf numFmtId="3" fontId="6" fillId="0" borderId="1" xfId="0" applyNumberFormat="1" applyFont="1" applyBorder="1" applyAlignment="1">
      <alignment vertical="center"/>
    </xf>
    <xf numFmtId="0" fontId="20" fillId="0" borderId="1" xfId="0" applyFont="1" applyBorder="1" applyAlignment="1">
      <alignment vertical="center" wrapText="1"/>
    </xf>
    <xf numFmtId="0" fontId="20" fillId="0" borderId="1" xfId="0" applyFont="1" applyBorder="1" applyAlignment="1">
      <alignment vertical="center"/>
    </xf>
    <xf numFmtId="0" fontId="21"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xf>
    <xf numFmtId="0" fontId="25" fillId="0" borderId="1" xfId="0" applyFont="1" applyBorder="1" applyAlignment="1">
      <alignment vertical="center" wrapText="1"/>
    </xf>
    <xf numFmtId="0" fontId="6" fillId="0" borderId="1" xfId="0" applyFont="1" applyBorder="1" applyAlignment="1">
      <alignment horizontal="justify" vertical="center" wrapText="1"/>
    </xf>
    <xf numFmtId="0" fontId="22" fillId="0" borderId="1" xfId="0" applyFont="1" applyBorder="1" applyAlignment="1">
      <alignment vertical="center" wrapText="1"/>
    </xf>
    <xf numFmtId="0" fontId="10" fillId="0" borderId="1" xfId="0" applyFont="1" applyBorder="1" applyAlignment="1">
      <alignment vertical="center" wrapText="1"/>
    </xf>
    <xf numFmtId="0" fontId="7" fillId="0" borderId="2" xfId="0" applyFont="1" applyBorder="1" applyAlignment="1">
      <alignment vertical="center" wrapText="1"/>
    </xf>
    <xf numFmtId="3" fontId="7" fillId="0" borderId="0" xfId="0" applyNumberFormat="1" applyFont="1"/>
    <xf numFmtId="4" fontId="7" fillId="0" borderId="0" xfId="0" applyNumberFormat="1" applyFont="1"/>
    <xf numFmtId="0" fontId="6" fillId="0" borderId="5" xfId="0" applyFont="1" applyBorder="1" applyAlignment="1">
      <alignment vertical="center" wrapText="1"/>
    </xf>
    <xf numFmtId="0" fontId="6" fillId="0" borderId="2" xfId="0" applyFont="1" applyBorder="1" applyAlignment="1">
      <alignment horizontal="center" vertical="center" wrapText="1"/>
    </xf>
    <xf numFmtId="0" fontId="6" fillId="0" borderId="6" xfId="0" applyFont="1" applyBorder="1" applyAlignment="1">
      <alignment vertical="center" wrapText="1"/>
    </xf>
    <xf numFmtId="0" fontId="5" fillId="0" borderId="5" xfId="0" applyFont="1" applyBorder="1" applyAlignment="1">
      <alignment vertical="center" wrapText="1"/>
    </xf>
    <xf numFmtId="0" fontId="6" fillId="0" borderId="5" xfId="0" applyFont="1" applyBorder="1" applyAlignment="1">
      <alignment horizontal="center" vertical="center" wrapText="1"/>
    </xf>
    <xf numFmtId="0" fontId="7" fillId="0" borderId="1" xfId="0" applyFont="1" applyBorder="1" applyAlignment="1">
      <alignment wrapText="1"/>
    </xf>
    <xf numFmtId="0" fontId="7" fillId="7" borderId="0" xfId="0" applyFont="1" applyFill="1"/>
    <xf numFmtId="0" fontId="7" fillId="5" borderId="26" xfId="0" applyFont="1" applyFill="1" applyBorder="1"/>
    <xf numFmtId="0" fontId="7" fillId="8" borderId="8" xfId="0" applyFont="1" applyFill="1" applyBorder="1"/>
    <xf numFmtId="0" fontId="7" fillId="6" borderId="33" xfId="0" applyFont="1" applyFill="1" applyBorder="1"/>
    <xf numFmtId="0" fontId="7" fillId="6" borderId="8" xfId="0" applyFont="1" applyFill="1" applyBorder="1"/>
    <xf numFmtId="0" fontId="7" fillId="5" borderId="33" xfId="0" applyFont="1" applyFill="1" applyBorder="1"/>
    <xf numFmtId="0" fontId="7" fillId="5" borderId="27" xfId="0" applyFont="1" applyFill="1" applyBorder="1"/>
    <xf numFmtId="0" fontId="7" fillId="5" borderId="8" xfId="0" applyFont="1" applyFill="1" applyBorder="1"/>
    <xf numFmtId="0" fontId="7" fillId="6" borderId="34" xfId="0" applyFont="1" applyFill="1" applyBorder="1"/>
    <xf numFmtId="0" fontId="7" fillId="8" borderId="33" xfId="0" applyFont="1" applyFill="1" applyBorder="1"/>
    <xf numFmtId="0" fontId="7" fillId="6" borderId="13" xfId="0" applyFont="1" applyFill="1" applyBorder="1"/>
    <xf numFmtId="0" fontId="7" fillId="8" borderId="13" xfId="0" applyFont="1" applyFill="1" applyBorder="1"/>
    <xf numFmtId="0" fontId="7" fillId="5" borderId="34" xfId="0" applyFont="1" applyFill="1" applyBorder="1"/>
    <xf numFmtId="0" fontId="7" fillId="5" borderId="13" xfId="0" applyFont="1" applyFill="1" applyBorder="1"/>
    <xf numFmtId="0" fontId="7" fillId="5" borderId="35" xfId="0" applyFont="1" applyFill="1" applyBorder="1"/>
    <xf numFmtId="0" fontId="7" fillId="5" borderId="4" xfId="0" applyFont="1" applyFill="1" applyBorder="1"/>
    <xf numFmtId="0" fontId="7" fillId="8" borderId="11" xfId="0" applyFont="1" applyFill="1" applyBorder="1"/>
    <xf numFmtId="0" fontId="7" fillId="6" borderId="11" xfId="0" applyFont="1" applyFill="1" applyBorder="1"/>
    <xf numFmtId="0" fontId="7" fillId="5" borderId="11" xfId="0" applyFont="1" applyFill="1" applyBorder="1"/>
    <xf numFmtId="0" fontId="7" fillId="5" borderId="0" xfId="0" applyFont="1" applyFill="1"/>
    <xf numFmtId="0" fontId="14" fillId="5" borderId="0" xfId="0" applyFont="1" applyFill="1"/>
    <xf numFmtId="0" fontId="7" fillId="6" borderId="10" xfId="0" applyFont="1" applyFill="1" applyBorder="1"/>
    <xf numFmtId="0" fontId="7" fillId="5" borderId="9" xfId="0" applyFont="1" applyFill="1" applyBorder="1"/>
    <xf numFmtId="0" fontId="7" fillId="6" borderId="14" xfId="0" applyFont="1" applyFill="1" applyBorder="1"/>
    <xf numFmtId="0" fontId="7" fillId="6" borderId="17" xfId="0" applyFont="1" applyFill="1" applyBorder="1"/>
    <xf numFmtId="0" fontId="7" fillId="5" borderId="14" xfId="0" applyFont="1" applyFill="1" applyBorder="1"/>
    <xf numFmtId="0" fontId="7" fillId="5" borderId="15" xfId="0" applyFont="1" applyFill="1" applyBorder="1"/>
    <xf numFmtId="0" fontId="1" fillId="0" borderId="1" xfId="0" applyFont="1" applyBorder="1" applyAlignment="1">
      <alignment horizontal="left" vertical="center" wrapText="1"/>
    </xf>
    <xf numFmtId="0" fontId="27" fillId="0" borderId="1" xfId="0" applyFont="1" applyBorder="1" applyAlignment="1">
      <alignment horizontal="left" vertical="center" wrapText="1"/>
    </xf>
    <xf numFmtId="0" fontId="27" fillId="0" borderId="1" xfId="0" applyFont="1" applyBorder="1" applyAlignment="1">
      <alignment horizontal="center" vertical="center" wrapText="1"/>
    </xf>
    <xf numFmtId="0" fontId="7" fillId="9" borderId="0" xfId="0" applyFont="1" applyFill="1"/>
    <xf numFmtId="0" fontId="29" fillId="0" borderId="40" xfId="0" applyFont="1" applyBorder="1" applyAlignment="1">
      <alignment horizontal="justify" vertical="center" wrapText="1"/>
    </xf>
    <xf numFmtId="0" fontId="30" fillId="0" borderId="41" xfId="0" applyFont="1" applyBorder="1" applyAlignment="1">
      <alignment vertical="center" wrapText="1"/>
    </xf>
    <xf numFmtId="0" fontId="29" fillId="0" borderId="41" xfId="0" applyFont="1" applyBorder="1" applyAlignment="1">
      <alignment vertical="center" wrapText="1"/>
    </xf>
    <xf numFmtId="0" fontId="0" fillId="0" borderId="42" xfId="0" applyBorder="1" applyAlignment="1">
      <alignment vertical="top" wrapText="1"/>
    </xf>
    <xf numFmtId="0" fontId="31" fillId="0" borderId="38" xfId="0" applyFont="1" applyBorder="1" applyAlignment="1">
      <alignment horizontal="left" vertical="center" wrapText="1" indent="1"/>
    </xf>
    <xf numFmtId="0" fontId="31" fillId="0" borderId="42" xfId="0" applyFont="1" applyBorder="1" applyAlignment="1">
      <alignment horizontal="left" vertical="center" wrapText="1" indent="2"/>
    </xf>
    <xf numFmtId="0" fontId="31" fillId="0" borderId="42" xfId="0" applyFont="1" applyBorder="1" applyAlignment="1">
      <alignment horizontal="left" vertical="center" wrapText="1" indent="3"/>
    </xf>
    <xf numFmtId="0" fontId="32" fillId="0" borderId="37" xfId="0" applyFont="1" applyBorder="1" applyAlignment="1">
      <alignment vertical="center" wrapText="1"/>
    </xf>
    <xf numFmtId="0" fontId="31" fillId="0" borderId="37" xfId="0" applyFont="1" applyBorder="1" applyAlignment="1">
      <alignment horizontal="left" vertical="center" wrapText="1" indent="1"/>
    </xf>
    <xf numFmtId="0" fontId="32" fillId="0" borderId="41" xfId="0" applyFont="1" applyBorder="1" applyAlignment="1">
      <alignment vertical="center" wrapText="1"/>
    </xf>
    <xf numFmtId="0" fontId="31" fillId="0" borderId="41" xfId="0" applyFont="1" applyBorder="1" applyAlignment="1">
      <alignment vertical="center" wrapText="1"/>
    </xf>
    <xf numFmtId="0" fontId="28" fillId="0" borderId="41" xfId="0" applyFont="1" applyBorder="1" applyAlignment="1">
      <alignment vertical="center" wrapText="1"/>
    </xf>
    <xf numFmtId="0" fontId="28" fillId="0" borderId="37" xfId="0" applyFont="1" applyBorder="1" applyAlignment="1">
      <alignment vertical="center" wrapText="1"/>
    </xf>
    <xf numFmtId="0" fontId="32" fillId="0" borderId="41" xfId="0" applyFont="1" applyBorder="1" applyAlignment="1">
      <alignment horizontal="justify" vertical="center" wrapText="1"/>
    </xf>
    <xf numFmtId="0" fontId="32" fillId="0" borderId="45" xfId="0" applyFont="1" applyBorder="1" applyAlignment="1">
      <alignment horizontal="justify" vertical="center" wrapText="1"/>
    </xf>
    <xf numFmtId="0" fontId="29" fillId="0" borderId="40" xfId="0" applyFont="1" applyBorder="1" applyAlignment="1">
      <alignment vertical="center" wrapText="1"/>
    </xf>
    <xf numFmtId="0" fontId="29" fillId="0" borderId="45" xfId="0" applyFont="1" applyBorder="1" applyAlignment="1">
      <alignment vertical="center" wrapText="1"/>
    </xf>
    <xf numFmtId="0" fontId="28" fillId="0" borderId="46" xfId="0" applyFont="1" applyBorder="1" applyAlignment="1">
      <alignment vertical="center" wrapText="1"/>
    </xf>
    <xf numFmtId="0" fontId="33" fillId="0" borderId="41" xfId="0" applyFont="1" applyBorder="1" applyAlignment="1">
      <alignment vertical="center" wrapText="1"/>
    </xf>
    <xf numFmtId="0" fontId="31" fillId="0" borderId="38" xfId="0" applyFont="1" applyBorder="1" applyAlignment="1">
      <alignment horizontal="center" vertical="center" wrapText="1"/>
    </xf>
    <xf numFmtId="0" fontId="30" fillId="0" borderId="37" xfId="0" applyFont="1" applyBorder="1" applyAlignment="1">
      <alignment horizontal="center" vertical="center" wrapText="1"/>
    </xf>
    <xf numFmtId="0" fontId="32" fillId="0" borderId="41" xfId="0" applyFont="1" applyBorder="1" applyAlignment="1">
      <alignment horizontal="right" vertical="center" wrapText="1"/>
    </xf>
    <xf numFmtId="0" fontId="30" fillId="0" borderId="46" xfId="0" applyFont="1" applyBorder="1" applyAlignment="1">
      <alignment horizontal="center" vertical="center" wrapText="1"/>
    </xf>
    <xf numFmtId="0" fontId="32" fillId="0" borderId="45" xfId="0" applyFont="1" applyBorder="1" applyAlignment="1">
      <alignment horizontal="right" vertical="center" wrapText="1"/>
    </xf>
    <xf numFmtId="0" fontId="28" fillId="0" borderId="53" xfId="0" applyFont="1" applyBorder="1" applyAlignment="1">
      <alignment vertical="center" wrapText="1"/>
    </xf>
    <xf numFmtId="0" fontId="31" fillId="0" borderId="54" xfId="0" applyFont="1" applyBorder="1" applyAlignment="1">
      <alignment vertical="center" wrapText="1"/>
    </xf>
    <xf numFmtId="0" fontId="28" fillId="0" borderId="54" xfId="0" applyFont="1" applyBorder="1" applyAlignment="1">
      <alignment vertical="center" wrapText="1"/>
    </xf>
    <xf numFmtId="0" fontId="31" fillId="0" borderId="37" xfId="0" applyFont="1" applyBorder="1" applyAlignment="1">
      <alignment horizontal="center" vertical="center" wrapText="1"/>
    </xf>
    <xf numFmtId="0" fontId="31" fillId="0" borderId="38" xfId="0" applyFont="1" applyBorder="1" applyAlignment="1">
      <alignment vertical="center" wrapText="1"/>
    </xf>
    <xf numFmtId="0" fontId="0" fillId="0" borderId="41" xfId="0" applyBorder="1" applyAlignment="1">
      <alignment vertical="top" wrapText="1"/>
    </xf>
    <xf numFmtId="0" fontId="30" fillId="0" borderId="37" xfId="0" applyFont="1" applyBorder="1" applyAlignment="1">
      <alignment vertical="center" wrapText="1"/>
    </xf>
    <xf numFmtId="0" fontId="34" fillId="0" borderId="37" xfId="0" applyFont="1" applyBorder="1" applyAlignment="1">
      <alignment vertical="center" wrapText="1"/>
    </xf>
    <xf numFmtId="0" fontId="34" fillId="0" borderId="41" xfId="0" applyFont="1" applyBorder="1" applyAlignment="1">
      <alignment vertical="center" wrapText="1"/>
    </xf>
    <xf numFmtId="0" fontId="32" fillId="0" borderId="45" xfId="0" applyFont="1" applyBorder="1" applyAlignment="1">
      <alignment vertical="center" wrapText="1"/>
    </xf>
    <xf numFmtId="0" fontId="28" fillId="0" borderId="45" xfId="0" applyFont="1" applyBorder="1" applyAlignment="1">
      <alignment vertical="center" wrapText="1"/>
    </xf>
    <xf numFmtId="0" fontId="32" fillId="0" borderId="37" xfId="0" applyFont="1" applyBorder="1" applyAlignment="1">
      <alignment horizontal="center" vertical="center" wrapText="1"/>
    </xf>
    <xf numFmtId="0" fontId="31" fillId="0" borderId="42" xfId="0" applyFont="1" applyBorder="1" applyAlignment="1">
      <alignment horizontal="left" vertical="center" wrapText="1" indent="1"/>
    </xf>
    <xf numFmtId="0" fontId="33" fillId="0" borderId="41" xfId="0" applyFont="1" applyBorder="1" applyAlignment="1">
      <alignment horizontal="justify" vertical="center" wrapText="1"/>
    </xf>
    <xf numFmtId="0" fontId="31" fillId="0" borderId="41" xfId="0" applyFont="1" applyBorder="1" applyAlignment="1">
      <alignment horizontal="justify" vertical="center" wrapText="1"/>
    </xf>
    <xf numFmtId="0" fontId="32" fillId="0" borderId="46" xfId="0" applyFont="1" applyBorder="1" applyAlignment="1">
      <alignment horizontal="center" vertical="center" wrapText="1"/>
    </xf>
    <xf numFmtId="0" fontId="31" fillId="0" borderId="45" xfId="0" applyFont="1" applyBorder="1" applyAlignment="1">
      <alignment vertical="center" wrapText="1"/>
    </xf>
    <xf numFmtId="0" fontId="0" fillId="0" borderId="45" xfId="0" applyBorder="1" applyAlignment="1">
      <alignment vertical="top" wrapText="1"/>
    </xf>
    <xf numFmtId="0" fontId="32" fillId="0" borderId="45" xfId="0" applyFont="1" applyBorder="1" applyAlignment="1">
      <alignment horizontal="left" vertical="center" wrapText="1" indent="4"/>
    </xf>
    <xf numFmtId="0" fontId="36" fillId="0" borderId="38" xfId="0" applyFont="1" applyBorder="1" applyAlignment="1">
      <alignment horizontal="center" vertical="center" wrapText="1"/>
    </xf>
    <xf numFmtId="0" fontId="36" fillId="0" borderId="42" xfId="0" applyFont="1" applyBorder="1" applyAlignment="1">
      <alignment horizontal="left" vertical="center" wrapText="1" indent="2"/>
    </xf>
    <xf numFmtId="0" fontId="36" fillId="0" borderId="37" xfId="0" applyFont="1" applyBorder="1" applyAlignment="1">
      <alignment horizontal="center" vertical="center" wrapText="1"/>
    </xf>
    <xf numFmtId="0" fontId="37" fillId="0" borderId="41" xfId="0" applyFont="1" applyBorder="1" applyAlignment="1">
      <alignment vertical="center" wrapText="1"/>
    </xf>
    <xf numFmtId="0" fontId="28" fillId="0" borderId="41" xfId="0" applyFont="1" applyBorder="1" applyAlignment="1">
      <alignment horizontal="justify" vertical="center" wrapText="1"/>
    </xf>
    <xf numFmtId="0" fontId="28" fillId="0" borderId="45" xfId="0" applyFont="1" applyBorder="1" applyAlignment="1">
      <alignment horizontal="justify" vertical="center" wrapText="1"/>
    </xf>
    <xf numFmtId="0" fontId="36" fillId="0" borderId="38" xfId="0" applyFont="1" applyBorder="1" applyAlignment="1">
      <alignment vertical="center" wrapText="1"/>
    </xf>
    <xf numFmtId="0" fontId="28" fillId="0" borderId="46" xfId="0" applyFont="1" applyBorder="1" applyAlignment="1">
      <alignment horizontal="center" vertical="center" wrapText="1"/>
    </xf>
    <xf numFmtId="0" fontId="28" fillId="0" borderId="45" xfId="0" applyFont="1" applyBorder="1" applyAlignment="1">
      <alignment horizontal="left" vertical="center" wrapText="1" indent="2"/>
    </xf>
    <xf numFmtId="0" fontId="28" fillId="0" borderId="37" xfId="0" applyFont="1" applyBorder="1" applyAlignment="1">
      <alignment horizontal="center" vertical="center" wrapText="1"/>
    </xf>
    <xf numFmtId="0" fontId="28" fillId="0" borderId="41" xfId="0" applyFont="1" applyBorder="1" applyAlignment="1">
      <alignment horizontal="right" vertical="center" wrapText="1"/>
    </xf>
    <xf numFmtId="0" fontId="0" fillId="0" borderId="37" xfId="0" applyBorder="1" applyAlignment="1">
      <alignment vertical="top" wrapText="1"/>
    </xf>
    <xf numFmtId="0" fontId="28" fillId="0" borderId="45" xfId="0" applyFont="1" applyBorder="1" applyAlignment="1">
      <alignment horizontal="right" vertical="center" wrapText="1"/>
    </xf>
    <xf numFmtId="0" fontId="37" fillId="0" borderId="41" xfId="0" applyFont="1" applyBorder="1" applyAlignment="1">
      <alignment horizontal="justify" vertical="center" wrapText="1"/>
    </xf>
    <xf numFmtId="0" fontId="36" fillId="0" borderId="45" xfId="0" applyFont="1" applyBorder="1" applyAlignment="1">
      <alignment vertical="center" wrapText="1"/>
    </xf>
    <xf numFmtId="4" fontId="32" fillId="0" borderId="41" xfId="0" applyNumberFormat="1" applyFont="1" applyBorder="1" applyAlignment="1">
      <alignment horizontal="right" vertical="center" wrapText="1"/>
    </xf>
    <xf numFmtId="0" fontId="31" fillId="0" borderId="45" xfId="0" applyFont="1" applyBorder="1" applyAlignment="1">
      <alignment horizontal="justify" vertical="center" wrapText="1"/>
    </xf>
    <xf numFmtId="0" fontId="38" fillId="0" borderId="45" xfId="0" applyFont="1" applyBorder="1" applyAlignment="1">
      <alignment horizontal="right" vertical="center" wrapText="1"/>
    </xf>
    <xf numFmtId="0" fontId="38" fillId="0" borderId="41" xfId="0" applyFont="1" applyBorder="1" applyAlignment="1">
      <alignment horizontal="right" vertical="center" wrapText="1"/>
    </xf>
    <xf numFmtId="0" fontId="39" fillId="0" borderId="41" xfId="0" applyFont="1" applyBorder="1" applyAlignment="1">
      <alignment vertical="center" wrapText="1"/>
    </xf>
    <xf numFmtId="0" fontId="34" fillId="0" borderId="42" xfId="0" applyFont="1" applyBorder="1" applyAlignment="1">
      <alignment vertical="center" wrapText="1"/>
    </xf>
    <xf numFmtId="0" fontId="40" fillId="0" borderId="42" xfId="0" applyFont="1" applyBorder="1" applyAlignment="1">
      <alignment vertical="center" wrapText="1"/>
    </xf>
    <xf numFmtId="0" fontId="42" fillId="0" borderId="40" xfId="0" applyFont="1" applyBorder="1" applyAlignment="1">
      <alignment vertical="center" wrapText="1"/>
    </xf>
    <xf numFmtId="0" fontId="40" fillId="0" borderId="41" xfId="0" applyFont="1" applyBorder="1" applyAlignment="1">
      <alignment vertical="center" wrapText="1"/>
    </xf>
    <xf numFmtId="0" fontId="42" fillId="0" borderId="41" xfId="0" applyFont="1" applyBorder="1" applyAlignment="1">
      <alignment vertical="center" wrapText="1"/>
    </xf>
    <xf numFmtId="0" fontId="29" fillId="0" borderId="42" xfId="0" applyFont="1" applyBorder="1" applyAlignment="1">
      <alignment horizontal="left" vertical="center" wrapText="1" indent="2"/>
    </xf>
    <xf numFmtId="0" fontId="43" fillId="0" borderId="41" xfId="0" applyFont="1" applyBorder="1" applyAlignment="1">
      <alignment vertical="center" wrapText="1"/>
    </xf>
    <xf numFmtId="0" fontId="30" fillId="0" borderId="41" xfId="0" applyFont="1" applyBorder="1" applyAlignment="1">
      <alignment horizontal="justify" vertical="center" wrapText="1"/>
    </xf>
    <xf numFmtId="0" fontId="40" fillId="0" borderId="46" xfId="0" applyFont="1" applyBorder="1" applyAlignment="1">
      <alignment vertical="center" wrapText="1"/>
    </xf>
    <xf numFmtId="0" fontId="30" fillId="0" borderId="45" xfId="0" applyFont="1" applyBorder="1" applyAlignment="1">
      <alignment horizontal="justify" vertical="center" wrapText="1"/>
    </xf>
    <xf numFmtId="0" fontId="30" fillId="0" borderId="41" xfId="0" applyFont="1" applyBorder="1" applyAlignment="1">
      <alignment horizontal="right" vertical="center" wrapText="1"/>
    </xf>
    <xf numFmtId="0" fontId="30" fillId="0" borderId="45" xfId="0" applyFont="1" applyBorder="1" applyAlignment="1">
      <alignment vertical="center" wrapText="1"/>
    </xf>
    <xf numFmtId="0" fontId="43" fillId="0" borderId="41" xfId="0" applyFont="1" applyBorder="1" applyAlignment="1">
      <alignment horizontal="justify" vertical="center" wrapText="1"/>
    </xf>
    <xf numFmtId="0" fontId="30" fillId="0" borderId="45" xfId="0" applyFont="1" applyBorder="1" applyAlignment="1">
      <alignment horizontal="right" vertical="center" wrapText="1"/>
    </xf>
    <xf numFmtId="0" fontId="40" fillId="0" borderId="45" xfId="0" applyFont="1" applyBorder="1" applyAlignment="1">
      <alignment vertical="center" wrapText="1"/>
    </xf>
    <xf numFmtId="43" fontId="7" fillId="0" borderId="0" xfId="0" applyNumberFormat="1" applyFont="1"/>
    <xf numFmtId="43" fontId="7" fillId="4" borderId="0" xfId="0" applyNumberFormat="1" applyFont="1" applyFill="1"/>
    <xf numFmtId="43" fontId="7" fillId="3" borderId="0" xfId="0" applyNumberFormat="1" applyFont="1" applyFill="1"/>
    <xf numFmtId="43" fontId="7" fillId="6" borderId="0" xfId="0" applyNumberFormat="1" applyFont="1" applyFill="1"/>
    <xf numFmtId="43" fontId="7" fillId="2" borderId="0" xfId="0" applyNumberFormat="1" applyFont="1" applyFill="1"/>
    <xf numFmtId="43" fontId="7" fillId="0" borderId="1" xfId="0" applyNumberFormat="1" applyFont="1" applyBorder="1"/>
    <xf numFmtId="43" fontId="7" fillId="7" borderId="0" xfId="0" applyNumberFormat="1" applyFont="1" applyFill="1"/>
    <xf numFmtId="43" fontId="7" fillId="6" borderId="33" xfId="0" applyNumberFormat="1" applyFont="1" applyFill="1" applyBorder="1"/>
    <xf numFmtId="43" fontId="7" fillId="8" borderId="8" xfId="0" applyNumberFormat="1" applyFont="1" applyFill="1" applyBorder="1"/>
    <xf numFmtId="43" fontId="7" fillId="5" borderId="8" xfId="0" applyNumberFormat="1" applyFont="1" applyFill="1" applyBorder="1"/>
    <xf numFmtId="43" fontId="7" fillId="8" borderId="34" xfId="0" applyNumberFormat="1" applyFont="1" applyFill="1" applyBorder="1"/>
    <xf numFmtId="43" fontId="7" fillId="6" borderId="11" xfId="0" applyNumberFormat="1" applyFont="1" applyFill="1" applyBorder="1"/>
    <xf numFmtId="43" fontId="7" fillId="5" borderId="0" xfId="0" applyNumberFormat="1" applyFont="1" applyFill="1"/>
    <xf numFmtId="43" fontId="7" fillId="5" borderId="33" xfId="0" applyNumberFormat="1" applyFont="1" applyFill="1" applyBorder="1"/>
    <xf numFmtId="43" fontId="7" fillId="5" borderId="11" xfId="0" applyNumberFormat="1" applyFont="1" applyFill="1" applyBorder="1"/>
    <xf numFmtId="0" fontId="40" fillId="0" borderId="37" xfId="0" applyFont="1" applyBorder="1" applyAlignment="1">
      <alignment vertical="center" wrapText="1"/>
    </xf>
    <xf numFmtId="4" fontId="7" fillId="0" borderId="3" xfId="0" applyNumberFormat="1" applyFont="1" applyBorder="1" applyAlignment="1">
      <alignment horizontal="center" vertical="center" wrapText="1"/>
    </xf>
    <xf numFmtId="4" fontId="8" fillId="0" borderId="3" xfId="0" applyNumberFormat="1" applyFont="1" applyBorder="1" applyAlignment="1">
      <alignment horizontal="center" vertical="center" wrapText="1"/>
    </xf>
    <xf numFmtId="0" fontId="29" fillId="0" borderId="38" xfId="0" applyFont="1" applyBorder="1" applyAlignment="1">
      <alignment horizontal="center" vertical="center" wrapText="1"/>
    </xf>
    <xf numFmtId="0" fontId="29" fillId="0" borderId="37" xfId="0" applyFont="1" applyBorder="1" applyAlignment="1">
      <alignment horizontal="center" vertical="center" wrapText="1"/>
    </xf>
    <xf numFmtId="0" fontId="29" fillId="0" borderId="38" xfId="0" applyFont="1" applyBorder="1" applyAlignment="1">
      <alignment horizontal="left" vertical="center" wrapText="1" indent="1"/>
    </xf>
    <xf numFmtId="0" fontId="0" fillId="0" borderId="46" xfId="0" applyBorder="1" applyAlignment="1">
      <alignment vertical="top" wrapText="1"/>
    </xf>
    <xf numFmtId="4" fontId="6" fillId="0" borderId="4" xfId="0" applyNumberFormat="1" applyFont="1" applyBorder="1" applyAlignment="1">
      <alignment horizontal="center" vertical="center" wrapText="1"/>
    </xf>
    <xf numFmtId="4" fontId="5" fillId="0" borderId="4" xfId="0" applyNumberFormat="1" applyFont="1" applyBorder="1" applyAlignment="1">
      <alignment horizontal="center" vertical="center" wrapText="1"/>
    </xf>
    <xf numFmtId="4" fontId="8" fillId="0" borderId="1" xfId="0" applyNumberFormat="1" applyFont="1" applyBorder="1" applyAlignment="1">
      <alignment horizontal="center" vertical="center" wrapText="1"/>
    </xf>
    <xf numFmtId="4" fontId="10" fillId="0" borderId="1" xfId="0" applyNumberFormat="1" applyFont="1" applyBorder="1" applyAlignment="1">
      <alignment horizontal="center" vertical="center" wrapText="1"/>
    </xf>
    <xf numFmtId="4" fontId="9" fillId="2" borderId="1" xfId="0" applyNumberFormat="1" applyFont="1" applyFill="1" applyBorder="1" applyAlignment="1">
      <alignment horizontal="center" vertical="center" wrapText="1"/>
    </xf>
    <xf numFmtId="4" fontId="7" fillId="2" borderId="1" xfId="0" applyNumberFormat="1" applyFont="1" applyFill="1" applyBorder="1" applyAlignment="1">
      <alignment horizontal="center" vertical="center" wrapText="1"/>
    </xf>
    <xf numFmtId="4" fontId="7" fillId="0" borderId="5" xfId="0" applyNumberFormat="1" applyFont="1" applyBorder="1" applyAlignment="1">
      <alignment horizontal="center" vertical="center" wrapText="1"/>
    </xf>
    <xf numFmtId="4" fontId="5" fillId="0" borderId="1" xfId="0" applyNumberFormat="1" applyFont="1" applyBorder="1" applyAlignment="1">
      <alignment horizontal="center" vertical="center"/>
    </xf>
    <xf numFmtId="4" fontId="6" fillId="0" borderId="1" xfId="0" applyNumberFormat="1" applyFont="1" applyBorder="1" applyAlignment="1">
      <alignment horizontal="right" vertical="center"/>
    </xf>
    <xf numFmtId="4" fontId="6" fillId="0" borderId="1" xfId="0" applyNumberFormat="1" applyFont="1" applyBorder="1" applyAlignment="1">
      <alignment vertical="center"/>
    </xf>
    <xf numFmtId="4" fontId="5" fillId="0" borderId="1" xfId="0" applyNumberFormat="1" applyFont="1" applyBorder="1" applyAlignment="1">
      <alignment horizontal="right" vertical="center"/>
    </xf>
    <xf numFmtId="4" fontId="7" fillId="0" borderId="6" xfId="0" applyNumberFormat="1" applyFont="1" applyBorder="1" applyAlignment="1">
      <alignment horizontal="center" vertical="center" wrapText="1"/>
    </xf>
    <xf numFmtId="4" fontId="5" fillId="0" borderId="9" xfId="0" applyNumberFormat="1" applyFont="1" applyBorder="1" applyAlignment="1">
      <alignment horizontal="center" vertical="center"/>
    </xf>
    <xf numFmtId="4" fontId="6" fillId="0" borderId="4" xfId="0" applyNumberFormat="1" applyFont="1" applyBorder="1" applyAlignment="1">
      <alignment horizontal="right" vertical="center"/>
    </xf>
    <xf numFmtId="4" fontId="6" fillId="0" borderId="4" xfId="0" applyNumberFormat="1" applyFont="1" applyBorder="1" applyAlignment="1">
      <alignment vertical="center"/>
    </xf>
    <xf numFmtId="4" fontId="5" fillId="0" borderId="4" xfId="0" applyNumberFormat="1" applyFont="1" applyBorder="1" applyAlignment="1">
      <alignment vertical="center"/>
    </xf>
    <xf numFmtId="4" fontId="5" fillId="0" borderId="4" xfId="0" applyNumberFormat="1" applyFont="1" applyBorder="1" applyAlignment="1">
      <alignment horizontal="right" vertical="center"/>
    </xf>
    <xf numFmtId="4" fontId="7" fillId="0" borderId="2" xfId="0" applyNumberFormat="1" applyFont="1" applyBorder="1" applyAlignment="1">
      <alignment vertical="center" wrapText="1"/>
    </xf>
    <xf numFmtId="4" fontId="6" fillId="0" borderId="11" xfId="0" applyNumberFormat="1" applyFont="1" applyBorder="1" applyAlignment="1">
      <alignment horizontal="right" vertical="center" wrapText="1"/>
    </xf>
    <xf numFmtId="4" fontId="6" fillId="0" borderId="10" xfId="0" applyNumberFormat="1" applyFont="1" applyBorder="1" applyAlignment="1">
      <alignment horizontal="center" vertical="center" wrapText="1"/>
    </xf>
    <xf numFmtId="4" fontId="6" fillId="0" borderId="11" xfId="0" applyNumberFormat="1" applyFont="1" applyBorder="1" applyAlignment="1">
      <alignment vertical="center" wrapText="1"/>
    </xf>
    <xf numFmtId="4" fontId="6" fillId="0" borderId="12" xfId="0" applyNumberFormat="1" applyFont="1" applyBorder="1" applyAlignment="1">
      <alignment vertical="center" wrapText="1"/>
    </xf>
    <xf numFmtId="4" fontId="6" fillId="0" borderId="1" xfId="0" applyNumberFormat="1" applyFont="1" applyBorder="1" applyAlignment="1">
      <alignment horizontal="center" vertical="center" wrapText="1"/>
    </xf>
    <xf numFmtId="4" fontId="6" fillId="0" borderId="1" xfId="0" applyNumberFormat="1" applyFont="1" applyBorder="1" applyAlignment="1">
      <alignment horizontal="center" vertical="center"/>
    </xf>
    <xf numFmtId="4" fontId="6" fillId="0" borderId="13" xfId="0" applyNumberFormat="1" applyFont="1" applyBorder="1" applyAlignment="1">
      <alignment horizontal="center" vertical="center" wrapText="1"/>
    </xf>
    <xf numFmtId="4" fontId="5" fillId="0" borderId="1" xfId="0" applyNumberFormat="1" applyFont="1" applyBorder="1" applyAlignment="1">
      <alignment horizontal="center" vertical="center" wrapText="1"/>
    </xf>
    <xf numFmtId="4" fontId="7" fillId="0" borderId="4" xfId="0" applyNumberFormat="1" applyFont="1" applyBorder="1" applyAlignment="1">
      <alignment vertical="center" wrapText="1"/>
    </xf>
    <xf numFmtId="4" fontId="5" fillId="0" borderId="9" xfId="0" applyNumberFormat="1" applyFont="1" applyBorder="1" applyAlignment="1">
      <alignment horizontal="center" vertical="center" wrapText="1"/>
    </xf>
    <xf numFmtId="4" fontId="5" fillId="0" borderId="27" xfId="0" applyNumberFormat="1" applyFont="1" applyBorder="1" applyAlignment="1">
      <alignment horizontal="center" vertical="center" wrapText="1"/>
    </xf>
    <xf numFmtId="4" fontId="5" fillId="0" borderId="1" xfId="0" applyNumberFormat="1" applyFont="1" applyBorder="1" applyAlignment="1">
      <alignment vertical="center"/>
    </xf>
    <xf numFmtId="4" fontId="20" fillId="0" borderId="1" xfId="0" applyNumberFormat="1" applyFont="1" applyBorder="1" applyAlignment="1">
      <alignment vertical="center"/>
    </xf>
    <xf numFmtId="4" fontId="22" fillId="0" borderId="1" xfId="0" applyNumberFormat="1" applyFont="1" applyBorder="1" applyAlignment="1">
      <alignment vertical="center"/>
    </xf>
    <xf numFmtId="4" fontId="7" fillId="0" borderId="1" xfId="0" applyNumberFormat="1" applyFont="1" applyBorder="1"/>
    <xf numFmtId="4" fontId="6" fillId="0" borderId="1" xfId="0" applyNumberFormat="1" applyFont="1" applyBorder="1"/>
    <xf numFmtId="4" fontId="6" fillId="0" borderId="5" xfId="0" applyNumberFormat="1" applyFont="1" applyBorder="1" applyAlignment="1">
      <alignment horizontal="center" vertical="center" wrapText="1"/>
    </xf>
    <xf numFmtId="4" fontId="8" fillId="0" borderId="6" xfId="0" applyNumberFormat="1" applyFont="1" applyBorder="1" applyAlignment="1">
      <alignment horizontal="center" vertical="center" wrapText="1"/>
    </xf>
    <xf numFmtId="4" fontId="6" fillId="0" borderId="1" xfId="0" applyNumberFormat="1" applyFont="1" applyBorder="1" applyAlignment="1">
      <alignment vertical="center" wrapText="1"/>
    </xf>
    <xf numFmtId="4" fontId="6" fillId="0" borderId="32" xfId="0" applyNumberFormat="1" applyFont="1" applyBorder="1" applyAlignment="1">
      <alignment vertical="center" wrapText="1"/>
    </xf>
    <xf numFmtId="4" fontId="2" fillId="0" borderId="1" xfId="0" applyNumberFormat="1" applyFont="1" applyBorder="1" applyAlignment="1">
      <alignment horizontal="center" vertical="center" wrapText="1"/>
    </xf>
    <xf numFmtId="4" fontId="1" fillId="0" borderId="1" xfId="0" applyNumberFormat="1" applyFont="1" applyBorder="1" applyAlignment="1">
      <alignment horizontal="center" vertical="center" wrapText="1"/>
    </xf>
    <xf numFmtId="4" fontId="27" fillId="0" borderId="1" xfId="0" applyNumberFormat="1" applyFont="1" applyBorder="1" applyAlignment="1">
      <alignment horizontal="center" vertical="center" wrapText="1"/>
    </xf>
    <xf numFmtId="4" fontId="31" fillId="0" borderId="42" xfId="0" applyNumberFormat="1" applyFont="1" applyBorder="1" applyAlignment="1">
      <alignment horizontal="left" vertical="center" wrapText="1" indent="2"/>
    </xf>
    <xf numFmtId="4" fontId="31" fillId="0" borderId="42" xfId="0" applyNumberFormat="1" applyFont="1" applyBorder="1" applyAlignment="1">
      <alignment horizontal="left" vertical="center" wrapText="1" indent="3"/>
    </xf>
    <xf numFmtId="4" fontId="28" fillId="0" borderId="52" xfId="0" applyNumberFormat="1" applyFont="1" applyBorder="1" applyAlignment="1">
      <alignment vertical="center" wrapText="1"/>
    </xf>
    <xf numFmtId="4" fontId="28" fillId="0" borderId="37" xfId="0" applyNumberFormat="1" applyFont="1" applyBorder="1" applyAlignment="1">
      <alignment vertical="center" wrapText="1"/>
    </xf>
    <xf numFmtId="4" fontId="28" fillId="0" borderId="46" xfId="0" applyNumberFormat="1" applyFont="1" applyBorder="1" applyAlignment="1">
      <alignment vertical="center" wrapText="1"/>
    </xf>
    <xf numFmtId="4" fontId="31" fillId="0" borderId="54" xfId="0" applyNumberFormat="1" applyFont="1" applyBorder="1" applyAlignment="1">
      <alignment horizontal="right" vertical="center" wrapText="1"/>
    </xf>
    <xf numFmtId="4" fontId="28" fillId="0" borderId="42" xfId="0" applyNumberFormat="1" applyFont="1" applyBorder="1" applyAlignment="1">
      <alignment vertical="center" wrapText="1"/>
    </xf>
    <xf numFmtId="4" fontId="31" fillId="0" borderId="44" xfId="0" applyNumberFormat="1" applyFont="1" applyBorder="1" applyAlignment="1">
      <alignment horizontal="right" vertical="center" wrapText="1"/>
    </xf>
    <xf numFmtId="4" fontId="28" fillId="0" borderId="8" xfId="0" applyNumberFormat="1" applyFont="1" applyBorder="1" applyAlignment="1">
      <alignment vertical="center" wrapText="1"/>
    </xf>
    <xf numFmtId="4" fontId="31" fillId="0" borderId="42" xfId="0" applyNumberFormat="1" applyFont="1" applyBorder="1" applyAlignment="1">
      <alignment horizontal="center" vertical="center" wrapText="1"/>
    </xf>
    <xf numFmtId="4" fontId="31" fillId="0" borderId="56" xfId="0" applyNumberFormat="1" applyFont="1" applyBorder="1" applyAlignment="1">
      <alignment horizontal="left" vertical="center" wrapText="1" indent="4"/>
    </xf>
    <xf numFmtId="4" fontId="28" fillId="0" borderId="36" xfId="0" applyNumberFormat="1" applyFont="1" applyBorder="1" applyAlignment="1">
      <alignment vertical="center" wrapText="1"/>
    </xf>
    <xf numFmtId="4" fontId="31" fillId="0" borderId="56" xfId="0" applyNumberFormat="1" applyFont="1" applyBorder="1" applyAlignment="1">
      <alignment horizontal="left" vertical="center" wrapText="1" indent="3"/>
    </xf>
    <xf numFmtId="4" fontId="36" fillId="0" borderId="42" xfId="0" applyNumberFormat="1" applyFont="1" applyBorder="1" applyAlignment="1">
      <alignment horizontal="left" vertical="center" wrapText="1" indent="2"/>
    </xf>
    <xf numFmtId="4" fontId="36" fillId="0" borderId="42" xfId="0" applyNumberFormat="1" applyFont="1" applyBorder="1" applyAlignment="1">
      <alignment horizontal="left" vertical="center" wrapText="1" indent="3"/>
    </xf>
    <xf numFmtId="4" fontId="36" fillId="0" borderId="44" xfId="0" applyNumberFormat="1" applyFont="1" applyBorder="1" applyAlignment="1">
      <alignment horizontal="right" vertical="center" wrapText="1"/>
    </xf>
    <xf numFmtId="4" fontId="31" fillId="0" borderId="42" xfId="0" applyNumberFormat="1" applyFont="1" applyBorder="1" applyAlignment="1">
      <alignment horizontal="left" vertical="center" wrapText="1" indent="4"/>
    </xf>
    <xf numFmtId="4" fontId="28" fillId="0" borderId="63" xfId="0" applyNumberFormat="1" applyFont="1" applyBorder="1" applyAlignment="1">
      <alignment vertical="center" wrapText="1"/>
    </xf>
    <xf numFmtId="4" fontId="28" fillId="0" borderId="64" xfId="0" applyNumberFormat="1" applyFont="1" applyBorder="1" applyAlignment="1">
      <alignment vertical="center" wrapText="1"/>
    </xf>
    <xf numFmtId="4" fontId="28" fillId="0" borderId="48" xfId="0" applyNumberFormat="1" applyFont="1" applyBorder="1" applyAlignment="1">
      <alignment vertical="center" wrapText="1"/>
    </xf>
    <xf numFmtId="4" fontId="28" fillId="0" borderId="41" xfId="0" applyNumberFormat="1" applyFont="1" applyBorder="1" applyAlignment="1">
      <alignment vertical="center" wrapText="1"/>
    </xf>
    <xf numFmtId="4" fontId="31" fillId="0" borderId="42" xfId="0" applyNumberFormat="1" applyFont="1" applyBorder="1" applyAlignment="1">
      <alignment horizontal="left" vertical="center" wrapText="1" indent="7"/>
    </xf>
    <xf numFmtId="4" fontId="29" fillId="0" borderId="42" xfId="0" applyNumberFormat="1" applyFont="1" applyBorder="1" applyAlignment="1">
      <alignment horizontal="left" vertical="center" wrapText="1" indent="3"/>
    </xf>
    <xf numFmtId="4" fontId="40" fillId="0" borderId="52" xfId="0" applyNumberFormat="1" applyFont="1" applyBorder="1" applyAlignment="1">
      <alignment vertical="center" wrapText="1"/>
    </xf>
    <xf numFmtId="4" fontId="40" fillId="0" borderId="37" xfId="0" applyNumberFormat="1" applyFont="1" applyBorder="1" applyAlignment="1">
      <alignment vertical="center" wrapText="1"/>
    </xf>
    <xf numFmtId="4" fontId="40" fillId="0" borderId="46" xfId="0" applyNumberFormat="1" applyFont="1" applyBorder="1" applyAlignment="1">
      <alignment vertical="center" wrapText="1"/>
    </xf>
    <xf numFmtId="4" fontId="29" fillId="0" borderId="45" xfId="0" applyNumberFormat="1" applyFont="1" applyBorder="1" applyAlignment="1">
      <alignment horizontal="right" vertical="center" wrapText="1"/>
    </xf>
    <xf numFmtId="4" fontId="40" fillId="0" borderId="45" xfId="0" applyNumberFormat="1" applyFont="1" applyBorder="1" applyAlignment="1">
      <alignment vertical="center" wrapText="1"/>
    </xf>
    <xf numFmtId="4" fontId="28" fillId="0" borderId="49" xfId="0" applyNumberFormat="1" applyFont="1" applyBorder="1" applyAlignment="1">
      <alignment vertical="center" wrapText="1"/>
    </xf>
    <xf numFmtId="0" fontId="20" fillId="0" borderId="4" xfId="0" applyFont="1" applyBorder="1" applyAlignment="1">
      <alignment vertical="center" wrapText="1"/>
    </xf>
    <xf numFmtId="0" fontId="20" fillId="0" borderId="4" xfId="0" applyFont="1" applyBorder="1" applyAlignment="1">
      <alignment horizontal="center" vertical="center" wrapText="1"/>
    </xf>
    <xf numFmtId="4" fontId="20" fillId="0" borderId="4" xfId="0" applyNumberFormat="1" applyFont="1" applyBorder="1" applyAlignment="1">
      <alignment horizontal="center" vertical="center" wrapText="1"/>
    </xf>
    <xf numFmtId="0" fontId="31" fillId="0" borderId="42" xfId="0" applyFont="1" applyBorder="1" applyAlignment="1">
      <alignment horizontal="left" vertical="center" wrapText="1"/>
    </xf>
    <xf numFmtId="0" fontId="32" fillId="0" borderId="41" xfId="0" applyFont="1" applyBorder="1" applyAlignment="1">
      <alignment horizontal="left" vertical="center" wrapText="1"/>
    </xf>
    <xf numFmtId="0" fontId="32" fillId="0" borderId="45" xfId="0" applyFont="1" applyBorder="1" applyAlignment="1">
      <alignment horizontal="left" vertical="center" wrapText="1"/>
    </xf>
    <xf numFmtId="0" fontId="36" fillId="0" borderId="42" xfId="0" applyFont="1" applyBorder="1" applyAlignment="1">
      <alignment horizontal="left" vertical="center" wrapText="1"/>
    </xf>
    <xf numFmtId="0" fontId="29" fillId="0" borderId="42" xfId="0" applyFont="1" applyBorder="1" applyAlignment="1">
      <alignment horizontal="left" vertical="center" wrapText="1"/>
    </xf>
    <xf numFmtId="0" fontId="30" fillId="0" borderId="41" xfId="0" applyFont="1" applyBorder="1" applyAlignment="1">
      <alignment horizontal="left" vertical="center" wrapText="1"/>
    </xf>
    <xf numFmtId="2" fontId="7" fillId="0" borderId="1"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2" fontId="9" fillId="2" borderId="1" xfId="0" applyNumberFormat="1" applyFont="1" applyFill="1" applyBorder="1" applyAlignment="1">
      <alignment horizontal="center" vertical="center" wrapText="1"/>
    </xf>
    <xf numFmtId="2" fontId="7" fillId="2" borderId="1" xfId="0" applyNumberFormat="1" applyFont="1" applyFill="1" applyBorder="1" applyAlignment="1">
      <alignment horizontal="center" vertical="center" wrapText="1"/>
    </xf>
    <xf numFmtId="2" fontId="7" fillId="0" borderId="5" xfId="0" applyNumberFormat="1" applyFont="1" applyBorder="1" applyAlignment="1">
      <alignment horizontal="center" vertical="center" wrapText="1"/>
    </xf>
    <xf numFmtId="2" fontId="5" fillId="0" borderId="1" xfId="0" applyNumberFormat="1" applyFont="1" applyBorder="1" applyAlignment="1">
      <alignment horizontal="center" vertical="center"/>
    </xf>
    <xf numFmtId="2" fontId="7" fillId="0" borderId="6" xfId="0" applyNumberFormat="1" applyFont="1" applyBorder="1" applyAlignment="1">
      <alignment horizontal="center" vertical="center" wrapText="1"/>
    </xf>
    <xf numFmtId="2" fontId="5" fillId="0" borderId="9" xfId="0" applyNumberFormat="1" applyFont="1" applyBorder="1" applyAlignment="1">
      <alignment horizontal="center" vertical="center"/>
    </xf>
    <xf numFmtId="2" fontId="6" fillId="0" borderId="4" xfId="0" applyNumberFormat="1" applyFont="1" applyBorder="1" applyAlignment="1">
      <alignment horizontal="center" vertical="center" wrapText="1"/>
    </xf>
    <xf numFmtId="2" fontId="5" fillId="0" borderId="4" xfId="0" applyNumberFormat="1" applyFont="1" applyBorder="1" applyAlignment="1">
      <alignment horizontal="center" vertical="center" wrapText="1"/>
    </xf>
    <xf numFmtId="2" fontId="6"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xf>
    <xf numFmtId="2" fontId="6" fillId="0" borderId="13"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2" fontId="7" fillId="0" borderId="0" xfId="0" applyNumberFormat="1" applyFont="1" applyAlignment="1">
      <alignment horizontal="center" vertical="center"/>
    </xf>
    <xf numFmtId="2" fontId="7" fillId="0" borderId="3" xfId="0" applyNumberFormat="1" applyFont="1" applyBorder="1" applyAlignment="1">
      <alignment horizontal="center" vertical="center" wrapText="1"/>
    </xf>
    <xf numFmtId="2" fontId="5" fillId="0" borderId="9" xfId="0" applyNumberFormat="1" applyFont="1" applyBorder="1" applyAlignment="1">
      <alignment horizontal="center" vertical="center" wrapText="1"/>
    </xf>
    <xf numFmtId="2" fontId="5" fillId="0" borderId="27" xfId="0" applyNumberFormat="1" applyFont="1" applyBorder="1" applyAlignment="1">
      <alignment horizontal="center" vertical="center" wrapText="1"/>
    </xf>
    <xf numFmtId="2" fontId="6" fillId="0" borderId="3" xfId="0" applyNumberFormat="1" applyFont="1" applyBorder="1" applyAlignment="1">
      <alignment horizontal="center" vertical="center" wrapText="1"/>
    </xf>
    <xf numFmtId="2" fontId="6" fillId="0" borderId="5" xfId="0" applyNumberFormat="1" applyFont="1" applyBorder="1" applyAlignment="1">
      <alignment horizontal="center" vertical="center" wrapText="1"/>
    </xf>
    <xf numFmtId="2" fontId="6" fillId="0" borderId="12" xfId="0" applyNumberFormat="1" applyFont="1" applyBorder="1" applyAlignment="1">
      <alignment horizontal="center" vertical="center" wrapText="1"/>
    </xf>
    <xf numFmtId="2" fontId="6" fillId="0" borderId="32"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2" fontId="1" fillId="0" borderId="1" xfId="0" applyNumberFormat="1" applyFont="1" applyBorder="1" applyAlignment="1">
      <alignment horizontal="center" vertical="center" wrapText="1"/>
    </xf>
    <xf numFmtId="2" fontId="27" fillId="0" borderId="1"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2" fontId="32" fillId="0" borderId="41" xfId="0" applyNumberFormat="1" applyFont="1" applyBorder="1" applyAlignment="1">
      <alignment horizontal="center" vertical="center" wrapText="1"/>
    </xf>
    <xf numFmtId="2" fontId="32" fillId="0" borderId="45" xfId="0" applyNumberFormat="1" applyFont="1" applyBorder="1" applyAlignment="1">
      <alignment horizontal="center" vertical="center" wrapText="1"/>
    </xf>
    <xf numFmtId="2" fontId="36" fillId="0" borderId="42" xfId="0" applyNumberFormat="1" applyFont="1" applyBorder="1" applyAlignment="1">
      <alignment horizontal="center" vertical="center" wrapText="1"/>
    </xf>
    <xf numFmtId="2" fontId="28" fillId="0" borderId="41" xfId="0" applyNumberFormat="1" applyFont="1" applyBorder="1" applyAlignment="1">
      <alignment horizontal="center" vertical="center" wrapText="1"/>
    </xf>
    <xf numFmtId="2" fontId="28" fillId="0" borderId="45" xfId="0" applyNumberFormat="1" applyFont="1" applyBorder="1" applyAlignment="1">
      <alignment horizontal="center" vertical="center" wrapText="1"/>
    </xf>
    <xf numFmtId="2" fontId="28" fillId="0" borderId="37" xfId="0" applyNumberFormat="1" applyFont="1" applyBorder="1" applyAlignment="1">
      <alignment horizontal="center" vertical="center" wrapText="1"/>
    </xf>
    <xf numFmtId="2" fontId="29" fillId="0" borderId="42" xfId="0" applyNumberFormat="1" applyFont="1" applyBorder="1" applyAlignment="1">
      <alignment horizontal="center" vertical="center" wrapText="1"/>
    </xf>
    <xf numFmtId="2" fontId="30" fillId="0" borderId="41" xfId="0" applyNumberFormat="1" applyFont="1" applyBorder="1" applyAlignment="1">
      <alignment horizontal="center" vertical="center" wrapText="1"/>
    </xf>
    <xf numFmtId="2" fontId="30" fillId="0" borderId="45" xfId="0" applyNumberFormat="1" applyFont="1" applyBorder="1" applyAlignment="1">
      <alignment horizontal="center" vertical="center" wrapText="1"/>
    </xf>
    <xf numFmtId="2" fontId="20" fillId="0" borderId="4" xfId="0" applyNumberFormat="1" applyFont="1" applyBorder="1" applyAlignment="1">
      <alignment horizontal="center" vertical="center" wrapText="1"/>
    </xf>
    <xf numFmtId="2" fontId="6" fillId="0" borderId="4" xfId="0" applyNumberFormat="1" applyFont="1" applyBorder="1" applyAlignment="1">
      <alignment horizontal="center" vertical="center"/>
    </xf>
    <xf numFmtId="2" fontId="5" fillId="0" borderId="4" xfId="0" applyNumberFormat="1" applyFont="1" applyBorder="1" applyAlignment="1">
      <alignment horizontal="center" vertical="center"/>
    </xf>
    <xf numFmtId="2" fontId="20" fillId="0" borderId="1" xfId="0" applyNumberFormat="1" applyFont="1" applyBorder="1" applyAlignment="1">
      <alignment horizontal="center" vertical="center"/>
    </xf>
    <xf numFmtId="2" fontId="28" fillId="0" borderId="54" xfId="0" applyNumberFormat="1" applyFont="1" applyBorder="1" applyAlignment="1">
      <alignment horizontal="center" vertical="center" wrapText="1"/>
    </xf>
    <xf numFmtId="2" fontId="34" fillId="0" borderId="41" xfId="0" applyNumberFormat="1" applyFont="1" applyBorder="1" applyAlignment="1">
      <alignment horizontal="center" vertical="center" wrapText="1"/>
    </xf>
    <xf numFmtId="2" fontId="40" fillId="0" borderId="42" xfId="0" applyNumberFormat="1" applyFont="1" applyBorder="1" applyAlignment="1">
      <alignment horizontal="center" vertical="center" wrapText="1"/>
    </xf>
    <xf numFmtId="2" fontId="40" fillId="0" borderId="41" xfId="0" applyNumberFormat="1" applyFont="1" applyBorder="1" applyAlignment="1">
      <alignment horizontal="center" vertical="center" wrapText="1"/>
    </xf>
    <xf numFmtId="2" fontId="40" fillId="0" borderId="45" xfId="0" applyNumberFormat="1" applyFont="1" applyBorder="1" applyAlignment="1">
      <alignment horizontal="center" vertical="center" wrapText="1"/>
    </xf>
    <xf numFmtId="2" fontId="7" fillId="0" borderId="1" xfId="0" applyNumberFormat="1" applyFont="1" applyBorder="1" applyAlignment="1">
      <alignment horizontal="center" vertical="center"/>
    </xf>
    <xf numFmtId="2" fontId="0" fillId="0" borderId="41" xfId="0" applyNumberFormat="1" applyBorder="1" applyAlignment="1">
      <alignment horizontal="center" vertical="center" wrapText="1"/>
    </xf>
    <xf numFmtId="2" fontId="0" fillId="0" borderId="45" xfId="0" applyNumberFormat="1" applyBorder="1" applyAlignment="1">
      <alignment horizontal="center" vertical="center" wrapText="1"/>
    </xf>
    <xf numFmtId="0" fontId="0" fillId="0" borderId="0" xfId="0" applyAlignment="1">
      <alignment wrapText="1"/>
    </xf>
    <xf numFmtId="0" fontId="7" fillId="5" borderId="1" xfId="0" applyFont="1" applyFill="1" applyBorder="1"/>
    <xf numFmtId="43" fontId="7" fillId="5" borderId="1" xfId="0" applyNumberFormat="1" applyFont="1" applyFill="1" applyBorder="1"/>
    <xf numFmtId="0" fontId="7" fillId="10" borderId="0" xfId="0" applyFont="1" applyFill="1"/>
    <xf numFmtId="0" fontId="7" fillId="11" borderId="0" xfId="0" applyFont="1" applyFill="1"/>
    <xf numFmtId="43" fontId="7" fillId="11" borderId="0" xfId="0" applyNumberFormat="1" applyFont="1" applyFill="1"/>
    <xf numFmtId="43" fontId="7" fillId="5" borderId="0" xfId="0" applyNumberFormat="1" applyFont="1" applyFill="1" applyAlignment="1">
      <alignment wrapText="1"/>
    </xf>
    <xf numFmtId="0" fontId="46" fillId="10" borderId="0" xfId="0" applyFont="1" applyFill="1"/>
    <xf numFmtId="0" fontId="7" fillId="11" borderId="1" xfId="0" applyFont="1" applyFill="1" applyBorder="1"/>
    <xf numFmtId="43" fontId="7" fillId="11" borderId="1" xfId="0" applyNumberFormat="1" applyFont="1" applyFill="1" applyBorder="1"/>
    <xf numFmtId="0" fontId="9" fillId="0" borderId="0" xfId="0" applyFont="1"/>
    <xf numFmtId="43" fontId="9" fillId="0" borderId="0" xfId="0" applyNumberFormat="1" applyFont="1"/>
    <xf numFmtId="0" fontId="5" fillId="0" borderId="17" xfId="0" applyFont="1" applyBorder="1" applyAlignment="1">
      <alignment horizontal="center" vertical="center" wrapText="1"/>
    </xf>
    <xf numFmtId="0" fontId="6" fillId="0" borderId="1" xfId="0" applyFont="1" applyBorder="1"/>
    <xf numFmtId="2" fontId="7" fillId="0" borderId="1" xfId="0" applyNumberFormat="1" applyFont="1" applyBorder="1" applyAlignment="1">
      <alignment vertical="center" wrapText="1"/>
    </xf>
    <xf numFmtId="4" fontId="7" fillId="0" borderId="1" xfId="0" applyNumberFormat="1" applyFont="1" applyBorder="1" applyAlignment="1">
      <alignment vertical="center" wrapText="1"/>
    </xf>
    <xf numFmtId="4" fontId="47" fillId="0" borderId="4" xfId="0" applyNumberFormat="1" applyFont="1" applyBorder="1" applyAlignment="1">
      <alignment vertical="center" wrapText="1"/>
    </xf>
    <xf numFmtId="0" fontId="5" fillId="0" borderId="10" xfId="0" applyFont="1" applyBorder="1" applyAlignment="1">
      <alignment horizontal="center" vertical="center" wrapText="1"/>
    </xf>
    <xf numFmtId="0" fontId="0" fillId="0" borderId="1" xfId="0" applyBorder="1" applyAlignment="1">
      <alignment wrapText="1"/>
    </xf>
    <xf numFmtId="0" fontId="48" fillId="0" borderId="65" xfId="0" applyFont="1" applyBorder="1" applyAlignment="1">
      <alignment horizontal="left" vertical="top"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9" xfId="0" applyFont="1" applyBorder="1" applyAlignment="1">
      <alignment horizontal="center" vertical="center"/>
    </xf>
    <xf numFmtId="0" fontId="1" fillId="0" borderId="10" xfId="0" applyFont="1" applyBorder="1" applyAlignment="1">
      <alignment horizontal="center" vertical="center" wrapText="1"/>
    </xf>
    <xf numFmtId="0" fontId="0" fillId="0" borderId="4" xfId="0" applyBorder="1" applyAlignment="1">
      <alignment vertical="center" wrapText="1"/>
    </xf>
    <xf numFmtId="0" fontId="1" fillId="0" borderId="4" xfId="0" applyFont="1" applyBorder="1" applyAlignment="1">
      <alignment vertical="center" wrapText="1"/>
    </xf>
    <xf numFmtId="0" fontId="1" fillId="0" borderId="4" xfId="0" applyFont="1" applyBorder="1" applyAlignment="1">
      <alignment horizontal="center" vertical="center" wrapText="1"/>
    </xf>
    <xf numFmtId="4" fontId="1" fillId="0" borderId="4" xfId="0" applyNumberFormat="1" applyFont="1" applyBorder="1" applyAlignment="1">
      <alignment horizontal="center" vertical="center" wrapText="1"/>
    </xf>
    <xf numFmtId="0" fontId="2" fillId="0" borderId="4" xfId="0" applyFont="1" applyBorder="1" applyAlignment="1">
      <alignment vertical="center" wrapText="1"/>
    </xf>
    <xf numFmtId="0" fontId="2" fillId="0" borderId="4" xfId="0" applyFont="1" applyBorder="1" applyAlignment="1">
      <alignment horizontal="center" vertical="center" wrapText="1"/>
    </xf>
    <xf numFmtId="4" fontId="2" fillId="0" borderId="4" xfId="0" applyNumberFormat="1" applyFont="1" applyBorder="1" applyAlignment="1">
      <alignment horizontal="center" vertical="center" wrapText="1"/>
    </xf>
    <xf numFmtId="0" fontId="2" fillId="0" borderId="27" xfId="0" applyFont="1" applyBorder="1" applyAlignment="1">
      <alignment horizontal="center" vertical="center" wrapText="1"/>
    </xf>
    <xf numFmtId="0" fontId="1" fillId="0" borderId="9" xfId="0" applyFont="1" applyBorder="1" applyAlignment="1">
      <alignment horizontal="center" vertical="center" wrapText="1"/>
    </xf>
    <xf numFmtId="0" fontId="49" fillId="0" borderId="4" xfId="0" applyFont="1" applyBorder="1" applyAlignment="1">
      <alignment vertical="center" wrapText="1"/>
    </xf>
    <xf numFmtId="0" fontId="47" fillId="0" borderId="1" xfId="0" applyFont="1" applyBorder="1" applyAlignment="1">
      <alignment horizontal="center" vertical="center" wrapText="1"/>
    </xf>
    <xf numFmtId="14" fontId="0" fillId="0" borderId="1" xfId="0" applyNumberFormat="1" applyBorder="1" applyAlignment="1">
      <alignment vertical="center" wrapText="1"/>
    </xf>
    <xf numFmtId="3" fontId="0" fillId="0" borderId="1" xfId="0" applyNumberFormat="1" applyBorder="1" applyAlignment="1">
      <alignment vertical="center" wrapText="1"/>
    </xf>
    <xf numFmtId="0" fontId="8" fillId="2" borderId="0" xfId="0" applyFont="1" applyFill="1"/>
    <xf numFmtId="4" fontId="6" fillId="0" borderId="4" xfId="0" applyNumberFormat="1" applyFont="1" applyBorder="1" applyAlignment="1">
      <alignment vertical="center" wrapText="1"/>
    </xf>
    <xf numFmtId="4" fontId="2" fillId="0" borderId="9" xfId="0" applyNumberFormat="1" applyFont="1" applyBorder="1" applyAlignment="1">
      <alignment horizontal="center" vertical="center"/>
    </xf>
    <xf numFmtId="4" fontId="2" fillId="0" borderId="9"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vertical="center" wrapText="1"/>
    </xf>
    <xf numFmtId="0" fontId="1" fillId="0" borderId="13" xfId="0" applyFont="1" applyBorder="1" applyAlignment="1">
      <alignment horizontal="center" vertical="center" wrapText="1"/>
    </xf>
    <xf numFmtId="4" fontId="1" fillId="0" borderId="13" xfId="0" applyNumberFormat="1" applyFont="1" applyBorder="1" applyAlignment="1">
      <alignment horizontal="center" vertical="center" wrapText="1"/>
    </xf>
    <xf numFmtId="0" fontId="8" fillId="0" borderId="0" xfId="0" applyFont="1"/>
    <xf numFmtId="3" fontId="7" fillId="5" borderId="1" xfId="0" applyNumberFormat="1" applyFont="1" applyFill="1" applyBorder="1"/>
    <xf numFmtId="0" fontId="7" fillId="6" borderId="1" xfId="0" applyFont="1" applyFill="1" applyBorder="1"/>
    <xf numFmtId="43" fontId="7" fillId="6" borderId="1" xfId="0" applyNumberFormat="1" applyFont="1" applyFill="1" applyBorder="1"/>
    <xf numFmtId="43" fontId="7" fillId="4" borderId="1" xfId="0" applyNumberFormat="1" applyFont="1" applyFill="1" applyBorder="1"/>
    <xf numFmtId="0" fontId="7" fillId="4" borderId="1" xfId="0" applyFont="1" applyFill="1" applyBorder="1"/>
    <xf numFmtId="43" fontId="7" fillId="0" borderId="24" xfId="0" applyNumberFormat="1" applyFont="1" applyBorder="1" applyAlignment="1">
      <alignment horizontal="center"/>
    </xf>
    <xf numFmtId="0" fontId="7" fillId="0" borderId="24" xfId="0" applyFont="1" applyBorder="1" applyAlignment="1">
      <alignment horizont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0" xfId="0" applyFont="1" applyAlignment="1">
      <alignment horizontal="center" vertical="center" wrapText="1"/>
    </xf>
    <xf numFmtId="0" fontId="5" fillId="0" borderId="62" xfId="0" applyFont="1" applyBorder="1" applyAlignment="1">
      <alignment horizontal="center" vertical="center" wrapText="1"/>
    </xf>
    <xf numFmtId="0" fontId="45" fillId="0" borderId="33"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7" xfId="0" applyFont="1" applyBorder="1" applyAlignment="1">
      <alignment horizontal="center" vertical="center" wrapText="1"/>
    </xf>
    <xf numFmtId="0" fontId="7"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3" xfId="0" applyFont="1" applyBorder="1" applyAlignment="1">
      <alignment horizontal="center" vertical="center" wrapText="1"/>
    </xf>
    <xf numFmtId="4" fontId="7" fillId="5" borderId="2" xfId="0" applyNumberFormat="1" applyFont="1" applyFill="1" applyBorder="1" applyAlignment="1">
      <alignment horizontal="center" vertical="center" wrapText="1"/>
    </xf>
    <xf numFmtId="4" fontId="7" fillId="5" borderId="7" xfId="0" applyNumberFormat="1" applyFont="1" applyFill="1" applyBorder="1" applyAlignment="1">
      <alignment horizontal="center" vertical="center" wrapText="1"/>
    </xf>
    <xf numFmtId="4" fontId="7" fillId="5" borderId="3" xfId="0" applyNumberFormat="1" applyFont="1" applyFill="1" applyBorder="1" applyAlignment="1">
      <alignment horizontal="center" vertical="center" wrapText="1"/>
    </xf>
    <xf numFmtId="0" fontId="28" fillId="0" borderId="36" xfId="0" applyFont="1" applyBorder="1" applyAlignment="1">
      <alignment vertical="center" wrapText="1"/>
    </xf>
    <xf numFmtId="0" fontId="28" fillId="0" borderId="46" xfId="0" applyFont="1" applyBorder="1" applyAlignment="1">
      <alignment vertical="center" wrapText="1"/>
    </xf>
    <xf numFmtId="0" fontId="31" fillId="0" borderId="47" xfId="0" applyFont="1" applyBorder="1" applyAlignment="1">
      <alignment vertical="center" wrapText="1"/>
    </xf>
    <xf numFmtId="0" fontId="31" fillId="0" borderId="40" xfId="0" applyFont="1" applyBorder="1" applyAlignment="1">
      <alignment vertical="center" wrapText="1"/>
    </xf>
    <xf numFmtId="0" fontId="31" fillId="0" borderId="49" xfId="0" applyFont="1" applyBorder="1" applyAlignment="1">
      <alignment vertical="center" wrapText="1"/>
    </xf>
    <xf numFmtId="0" fontId="31" fillId="0" borderId="45" xfId="0" applyFont="1" applyBorder="1" applyAlignment="1">
      <alignment vertical="center" wrapText="1"/>
    </xf>
    <xf numFmtId="0" fontId="31" fillId="0" borderId="36" xfId="0" applyFont="1" applyBorder="1" applyAlignment="1">
      <alignment horizontal="right" vertical="center" wrapText="1"/>
    </xf>
    <xf numFmtId="0" fontId="31" fillId="0" borderId="46" xfId="0" applyFont="1" applyBorder="1" applyAlignment="1">
      <alignment horizontal="right" vertical="center" wrapText="1"/>
    </xf>
    <xf numFmtId="4" fontId="28" fillId="0" borderId="36" xfId="0" applyNumberFormat="1" applyFont="1" applyBorder="1" applyAlignment="1">
      <alignment vertical="center" wrapText="1"/>
    </xf>
    <xf numFmtId="4" fontId="28" fillId="0" borderId="46" xfId="0" applyNumberFormat="1" applyFont="1" applyBorder="1" applyAlignment="1">
      <alignment vertical="center" wrapText="1"/>
    </xf>
    <xf numFmtId="49" fontId="7" fillId="5" borderId="30" xfId="0" applyNumberFormat="1" applyFont="1" applyFill="1" applyBorder="1" applyAlignment="1">
      <alignment horizontal="center" vertical="center" wrapText="1"/>
    </xf>
    <xf numFmtId="49" fontId="7" fillId="5" borderId="24" xfId="0" applyNumberFormat="1" applyFont="1" applyFill="1" applyBorder="1" applyAlignment="1">
      <alignment horizontal="center" vertical="center" wrapText="1"/>
    </xf>
    <xf numFmtId="49" fontId="7" fillId="5" borderId="31" xfId="0" applyNumberFormat="1" applyFont="1" applyFill="1" applyBorder="1" applyAlignment="1">
      <alignment horizontal="center" vertical="center" wrapText="1"/>
    </xf>
    <xf numFmtId="49" fontId="7" fillId="5" borderId="60" xfId="0" applyNumberFormat="1" applyFont="1" applyFill="1" applyBorder="1" applyAlignment="1">
      <alignment horizontal="center" vertical="center" wrapText="1"/>
    </xf>
    <xf numFmtId="49" fontId="7" fillId="5" borderId="0" xfId="0" applyNumberFormat="1" applyFont="1" applyFill="1" applyAlignment="1">
      <alignment horizontal="center" vertical="center" wrapText="1"/>
    </xf>
    <xf numFmtId="49" fontId="7" fillId="5" borderId="61" xfId="0" applyNumberFormat="1" applyFont="1" applyFill="1" applyBorder="1" applyAlignment="1">
      <alignment horizontal="center" vertical="center" wrapText="1"/>
    </xf>
    <xf numFmtId="49" fontId="7" fillId="5" borderId="28" xfId="0" applyNumberFormat="1" applyFont="1" applyFill="1" applyBorder="1" applyAlignment="1">
      <alignment horizontal="center" vertical="center" wrapText="1"/>
    </xf>
    <xf numFmtId="49" fontId="7" fillId="5" borderId="62" xfId="0" applyNumberFormat="1" applyFont="1" applyFill="1" applyBorder="1" applyAlignment="1">
      <alignment horizontal="center" vertical="center" wrapText="1"/>
    </xf>
    <xf numFmtId="49" fontId="7" fillId="5" borderId="29" xfId="0" applyNumberFormat="1" applyFont="1" applyFill="1" applyBorder="1" applyAlignment="1">
      <alignment horizontal="center" vertical="center" wrapText="1"/>
    </xf>
    <xf numFmtId="0" fontId="44" fillId="5" borderId="2" xfId="0" applyFont="1" applyFill="1" applyBorder="1" applyAlignment="1">
      <alignment horizontal="center" vertical="center" wrapText="1"/>
    </xf>
    <xf numFmtId="0" fontId="44" fillId="5" borderId="7" xfId="0" applyFont="1" applyFill="1" applyBorder="1" applyAlignment="1">
      <alignment horizontal="center" vertical="center" wrapText="1"/>
    </xf>
    <xf numFmtId="0" fontId="44" fillId="5" borderId="3" xfId="0" applyFont="1" applyFill="1" applyBorder="1" applyAlignment="1">
      <alignment horizontal="center"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3" xfId="0" applyFont="1" applyBorder="1" applyAlignment="1">
      <alignment horizontal="left" vertical="center" wrapText="1"/>
    </xf>
    <xf numFmtId="0" fontId="32" fillId="0" borderId="47" xfId="0" applyFont="1" applyBorder="1" applyAlignment="1">
      <alignment vertical="center" wrapText="1"/>
    </xf>
    <xf numFmtId="0" fontId="32" fillId="0" borderId="40" xfId="0" applyFont="1" applyBorder="1" applyAlignment="1">
      <alignment vertical="center" wrapText="1"/>
    </xf>
    <xf numFmtId="0" fontId="32" fillId="0" borderId="48" xfId="0" applyFont="1" applyBorder="1" applyAlignment="1">
      <alignment vertical="center" wrapText="1"/>
    </xf>
    <xf numFmtId="0" fontId="32" fillId="0" borderId="41" xfId="0" applyFont="1" applyBorder="1" applyAlignment="1">
      <alignment vertical="center" wrapText="1"/>
    </xf>
    <xf numFmtId="0" fontId="32" fillId="0" borderId="49" xfId="0" applyFont="1" applyBorder="1" applyAlignment="1">
      <alignment vertical="center" wrapText="1"/>
    </xf>
    <xf numFmtId="0" fontId="32" fillId="0" borderId="45" xfId="0" applyFont="1" applyBorder="1" applyAlignment="1">
      <alignment vertical="center" wrapText="1"/>
    </xf>
    <xf numFmtId="49" fontId="7" fillId="0" borderId="2"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8" fillId="0" borderId="37" xfId="0" applyFont="1" applyBorder="1" applyAlignment="1">
      <alignment vertical="center" wrapText="1"/>
    </xf>
    <xf numFmtId="0" fontId="28" fillId="0" borderId="38" xfId="0" applyFont="1" applyBorder="1" applyAlignment="1">
      <alignment vertical="center" wrapText="1"/>
    </xf>
    <xf numFmtId="0" fontId="29" fillId="0" borderId="36" xfId="0" applyFont="1" applyBorder="1" applyAlignment="1">
      <alignment vertical="center" wrapText="1"/>
    </xf>
    <xf numFmtId="0" fontId="29" fillId="0" borderId="37" xfId="0" applyFont="1" applyBorder="1" applyAlignment="1">
      <alignment vertical="center" wrapText="1"/>
    </xf>
    <xf numFmtId="0" fontId="29" fillId="0" borderId="47" xfId="0" applyFont="1" applyBorder="1" applyAlignment="1">
      <alignment vertical="center" wrapText="1"/>
    </xf>
    <xf numFmtId="0" fontId="29" fillId="0" borderId="43" xfId="0" applyFont="1" applyBorder="1" applyAlignment="1">
      <alignment vertical="center" wrapText="1"/>
    </xf>
    <xf numFmtId="0" fontId="29" fillId="0" borderId="40" xfId="0" applyFont="1" applyBorder="1" applyAlignment="1">
      <alignment vertical="center" wrapText="1"/>
    </xf>
    <xf numFmtId="0" fontId="29" fillId="0" borderId="48" xfId="0" applyFont="1" applyBorder="1" applyAlignment="1">
      <alignment vertical="center" wrapText="1"/>
    </xf>
    <xf numFmtId="0" fontId="29" fillId="0" borderId="0" xfId="0" applyFont="1" applyAlignment="1">
      <alignment vertical="center" wrapText="1"/>
    </xf>
    <xf numFmtId="0" fontId="29" fillId="0" borderId="41" xfId="0" applyFont="1" applyBorder="1" applyAlignment="1">
      <alignment vertical="center" wrapText="1"/>
    </xf>
    <xf numFmtId="0" fontId="29" fillId="0" borderId="38" xfId="0" applyFont="1" applyBorder="1" applyAlignment="1">
      <alignment vertical="center" wrapText="1"/>
    </xf>
    <xf numFmtId="0" fontId="34" fillId="0" borderId="49" xfId="0" applyFont="1" applyBorder="1" applyAlignment="1">
      <alignment vertical="center" wrapText="1"/>
    </xf>
    <xf numFmtId="0" fontId="34" fillId="0" borderId="44" xfId="0" applyFont="1" applyBorder="1" applyAlignment="1">
      <alignment vertical="center" wrapText="1"/>
    </xf>
    <xf numFmtId="0" fontId="34" fillId="0" borderId="45" xfId="0" applyFont="1" applyBorder="1" applyAlignment="1">
      <alignment vertical="center" wrapText="1"/>
    </xf>
    <xf numFmtId="0" fontId="29" fillId="0" borderId="50" xfId="0" applyFont="1" applyBorder="1" applyAlignment="1">
      <alignment horizontal="left" vertical="center" wrapText="1" indent="8"/>
    </xf>
    <xf numFmtId="0" fontId="29" fillId="0" borderId="51" xfId="0" applyFont="1" applyBorder="1" applyAlignment="1">
      <alignment horizontal="left" vertical="center" wrapText="1" indent="8"/>
    </xf>
    <xf numFmtId="0" fontId="29" fillId="0" borderId="39" xfId="0" applyFont="1" applyBorder="1" applyAlignment="1">
      <alignment horizontal="left" vertical="center" wrapText="1" indent="8"/>
    </xf>
    <xf numFmtId="0" fontId="31" fillId="0" borderId="57" xfId="0" applyFont="1" applyBorder="1" applyAlignment="1">
      <alignment horizontal="center" vertical="center" wrapText="1"/>
    </xf>
    <xf numFmtId="0" fontId="31" fillId="0" borderId="58" xfId="0" applyFont="1" applyBorder="1" applyAlignment="1">
      <alignment horizontal="center" vertical="center" wrapText="1"/>
    </xf>
    <xf numFmtId="0" fontId="31" fillId="0" borderId="59" xfId="0" applyFont="1" applyBorder="1" applyAlignment="1">
      <alignment horizontal="center" vertical="center" wrapText="1"/>
    </xf>
    <xf numFmtId="2" fontId="28" fillId="0" borderId="37" xfId="0" applyNumberFormat="1" applyFont="1" applyBorder="1" applyAlignment="1">
      <alignment horizontal="center" vertical="center" wrapText="1"/>
    </xf>
    <xf numFmtId="2" fontId="28" fillId="0" borderId="36" xfId="0" applyNumberFormat="1" applyFont="1" applyBorder="1" applyAlignment="1">
      <alignment horizontal="center" vertical="center" wrapText="1"/>
    </xf>
    <xf numFmtId="2" fontId="28" fillId="0" borderId="46" xfId="0" applyNumberFormat="1" applyFont="1" applyBorder="1" applyAlignment="1">
      <alignment horizontal="center" vertical="center" wrapText="1"/>
    </xf>
    <xf numFmtId="4" fontId="31" fillId="0" borderId="36" xfId="0" applyNumberFormat="1" applyFont="1" applyBorder="1" applyAlignment="1">
      <alignment horizontal="right" vertical="center" wrapText="1"/>
    </xf>
    <xf numFmtId="4" fontId="31" fillId="0" borderId="46" xfId="0" applyNumberFormat="1" applyFont="1" applyBorder="1" applyAlignment="1">
      <alignment horizontal="right" vertical="center" wrapText="1"/>
    </xf>
    <xf numFmtId="0" fontId="29" fillId="0" borderId="49" xfId="0" applyFont="1" applyBorder="1" applyAlignment="1">
      <alignment vertical="center" wrapText="1"/>
    </xf>
    <xf numFmtId="0" fontId="29" fillId="0" borderId="44" xfId="0" applyFont="1" applyBorder="1" applyAlignment="1">
      <alignment vertical="center" wrapText="1"/>
    </xf>
    <xf numFmtId="0" fontId="29" fillId="0" borderId="45" xfId="0" applyFont="1" applyBorder="1" applyAlignment="1">
      <alignment vertical="center" wrapText="1"/>
    </xf>
    <xf numFmtId="0" fontId="29" fillId="0" borderId="50" xfId="0" applyFont="1" applyBorder="1" applyAlignment="1">
      <alignment horizontal="left" vertical="center" wrapText="1" indent="10"/>
    </xf>
    <xf numFmtId="0" fontId="29" fillId="0" borderId="51" xfId="0" applyFont="1" applyBorder="1" applyAlignment="1">
      <alignment horizontal="left" vertical="center" wrapText="1" indent="10"/>
    </xf>
    <xf numFmtId="0" fontId="29" fillId="0" borderId="39" xfId="0" applyFont="1" applyBorder="1" applyAlignment="1">
      <alignment horizontal="left" vertical="center" wrapText="1" indent="10"/>
    </xf>
    <xf numFmtId="2" fontId="28" fillId="0" borderId="52" xfId="0" applyNumberFormat="1" applyFont="1" applyBorder="1" applyAlignment="1">
      <alignment horizontal="center" vertical="center" wrapText="1"/>
    </xf>
    <xf numFmtId="0" fontId="28" fillId="0" borderId="52" xfId="0" applyFont="1" applyBorder="1" applyAlignment="1">
      <alignment vertical="center" wrapText="1"/>
    </xf>
    <xf numFmtId="4" fontId="28" fillId="0" borderId="52" xfId="0" applyNumberFormat="1" applyFont="1" applyBorder="1" applyAlignment="1">
      <alignment vertical="center" wrapText="1"/>
    </xf>
    <xf numFmtId="4" fontId="28" fillId="0" borderId="37" xfId="0" applyNumberFormat="1" applyFont="1" applyBorder="1" applyAlignment="1">
      <alignment vertical="center" wrapText="1"/>
    </xf>
    <xf numFmtId="2" fontId="32" fillId="0" borderId="37" xfId="0" applyNumberFormat="1" applyFont="1" applyBorder="1" applyAlignment="1">
      <alignment horizontal="center" vertical="center" wrapText="1"/>
    </xf>
    <xf numFmtId="0" fontId="40" fillId="0" borderId="36" xfId="0" applyFont="1" applyBorder="1" applyAlignment="1">
      <alignment vertical="center" wrapText="1"/>
    </xf>
    <xf numFmtId="0" fontId="40" fillId="0" borderId="37" xfId="0" applyFont="1" applyBorder="1" applyAlignment="1">
      <alignment vertical="center" wrapText="1"/>
    </xf>
    <xf numFmtId="0" fontId="40" fillId="0" borderId="38" xfId="0" applyFont="1" applyBorder="1" applyAlignment="1">
      <alignment vertical="center" wrapText="1"/>
    </xf>
    <xf numFmtId="0" fontId="42" fillId="0" borderId="47" xfId="0" applyFont="1" applyBorder="1" applyAlignment="1">
      <alignment vertical="center" wrapText="1"/>
    </xf>
    <xf numFmtId="0" fontId="42" fillId="0" borderId="43" xfId="0" applyFont="1" applyBorder="1" applyAlignment="1">
      <alignment vertical="center" wrapText="1"/>
    </xf>
    <xf numFmtId="0" fontId="42" fillId="0" borderId="40" xfId="0" applyFont="1" applyBorder="1" applyAlignment="1">
      <alignment vertical="center" wrapText="1"/>
    </xf>
    <xf numFmtId="0" fontId="42" fillId="0" borderId="48" xfId="0" applyFont="1" applyBorder="1" applyAlignment="1">
      <alignment vertical="center" wrapText="1"/>
    </xf>
    <xf numFmtId="0" fontId="42" fillId="0" borderId="0" xfId="0" applyFont="1" applyAlignment="1">
      <alignment vertical="center" wrapText="1"/>
    </xf>
    <xf numFmtId="0" fontId="42" fillId="0" borderId="41" xfId="0" applyFont="1" applyBorder="1" applyAlignment="1">
      <alignment vertical="center" wrapText="1"/>
    </xf>
    <xf numFmtId="0" fontId="42" fillId="0" borderId="49" xfId="0" applyFont="1" applyBorder="1" applyAlignment="1">
      <alignment vertical="center" wrapText="1"/>
    </xf>
    <xf numFmtId="0" fontId="42" fillId="0" borderId="44" xfId="0" applyFont="1" applyBorder="1" applyAlignment="1">
      <alignment vertical="center" wrapText="1"/>
    </xf>
    <xf numFmtId="0" fontId="42" fillId="0" borderId="45" xfId="0" applyFont="1" applyBorder="1" applyAlignment="1">
      <alignment vertical="center" wrapText="1"/>
    </xf>
    <xf numFmtId="0" fontId="42" fillId="0" borderId="50" xfId="0" applyFont="1" applyBorder="1" applyAlignment="1">
      <alignment horizontal="left" vertical="center" wrapText="1" indent="11"/>
    </xf>
    <xf numFmtId="0" fontId="42" fillId="0" borderId="51" xfId="0" applyFont="1" applyBorder="1" applyAlignment="1">
      <alignment horizontal="left" vertical="center" wrapText="1" indent="11"/>
    </xf>
    <xf numFmtId="0" fontId="42" fillId="0" borderId="39" xfId="0" applyFont="1" applyBorder="1" applyAlignment="1">
      <alignment horizontal="left" vertical="center" wrapText="1" indent="11"/>
    </xf>
    <xf numFmtId="2" fontId="30" fillId="0" borderId="37" xfId="0" applyNumberFormat="1" applyFont="1" applyBorder="1" applyAlignment="1">
      <alignment horizontal="center" vertical="center" wrapText="1"/>
    </xf>
    <xf numFmtId="0" fontId="40" fillId="0" borderId="52" xfId="0" applyFont="1" applyBorder="1" applyAlignment="1">
      <alignment vertical="center" wrapText="1"/>
    </xf>
    <xf numFmtId="2" fontId="40" fillId="0" borderId="52" xfId="0" applyNumberFormat="1" applyFont="1" applyBorder="1" applyAlignment="1">
      <alignment horizontal="center" vertical="center" wrapText="1"/>
    </xf>
    <xf numFmtId="2" fontId="40" fillId="0" borderId="37" xfId="0" applyNumberFormat="1" applyFont="1" applyBorder="1" applyAlignment="1">
      <alignment horizontal="center" vertical="center" wrapText="1"/>
    </xf>
    <xf numFmtId="0" fontId="30" fillId="0" borderId="52" xfId="0" applyFont="1" applyBorder="1" applyAlignment="1">
      <alignment horizontal="center" vertical="center" wrapText="1"/>
    </xf>
    <xf numFmtId="0" fontId="30" fillId="0" borderId="37" xfId="0" applyFont="1" applyBorder="1" applyAlignment="1">
      <alignment horizontal="center" vertical="center" wrapText="1"/>
    </xf>
    <xf numFmtId="2" fontId="30" fillId="0" borderId="52" xfId="0" applyNumberFormat="1" applyFont="1" applyBorder="1" applyAlignment="1">
      <alignment horizontal="center" vertical="center" wrapText="1"/>
    </xf>
    <xf numFmtId="0" fontId="30" fillId="0" borderId="52" xfId="0" applyFont="1" applyBorder="1" applyAlignment="1">
      <alignment horizontal="right" vertical="center" wrapText="1"/>
    </xf>
    <xf numFmtId="0" fontId="30" fillId="0" borderId="37" xfId="0" applyFont="1" applyBorder="1" applyAlignment="1">
      <alignment horizontal="right" vertical="center" wrapText="1"/>
    </xf>
    <xf numFmtId="0" fontId="40" fillId="0" borderId="46" xfId="0" applyFont="1" applyBorder="1" applyAlignment="1">
      <alignment vertical="center" wrapText="1"/>
    </xf>
    <xf numFmtId="4" fontId="40" fillId="0" borderId="52" xfId="0" applyNumberFormat="1" applyFont="1" applyBorder="1" applyAlignment="1">
      <alignment vertical="center" wrapText="1"/>
    </xf>
    <xf numFmtId="4" fontId="40" fillId="0" borderId="37" xfId="0" applyNumberFormat="1" applyFont="1" applyBorder="1" applyAlignment="1">
      <alignment vertical="center" wrapText="1"/>
    </xf>
    <xf numFmtId="4" fontId="40" fillId="0" borderId="46" xfId="0" applyNumberFormat="1" applyFont="1" applyBorder="1" applyAlignment="1">
      <alignment vertical="center" wrapText="1"/>
    </xf>
    <xf numFmtId="0" fontId="29" fillId="0" borderId="50" xfId="0" applyFont="1" applyBorder="1" applyAlignment="1">
      <alignment horizontal="left" vertical="center" wrapText="1" indent="11"/>
    </xf>
    <xf numFmtId="0" fontId="29" fillId="0" borderId="51" xfId="0" applyFont="1" applyBorder="1" applyAlignment="1">
      <alignment horizontal="left" vertical="center" wrapText="1" indent="11"/>
    </xf>
    <xf numFmtId="0" fontId="29" fillId="0" borderId="39" xfId="0" applyFont="1" applyBorder="1" applyAlignment="1">
      <alignment horizontal="left" vertical="center" wrapText="1" indent="11"/>
    </xf>
    <xf numFmtId="0" fontId="31" fillId="0" borderId="36" xfId="0" applyFont="1" applyBorder="1" applyAlignment="1">
      <alignment vertical="center" wrapText="1"/>
    </xf>
    <xf numFmtId="0" fontId="31" fillId="0" borderId="46" xfId="0" applyFont="1" applyBorder="1" applyAlignment="1">
      <alignment vertical="center" wrapText="1"/>
    </xf>
    <xf numFmtId="0" fontId="31" fillId="0" borderId="50" xfId="0" applyFont="1" applyBorder="1" applyAlignment="1">
      <alignment horizontal="left" vertical="center" wrapText="1" indent="11"/>
    </xf>
    <xf numFmtId="0" fontId="31" fillId="0" borderId="51" xfId="0" applyFont="1" applyBorder="1" applyAlignment="1">
      <alignment horizontal="left" vertical="center" wrapText="1" indent="11"/>
    </xf>
    <xf numFmtId="0" fontId="31" fillId="0" borderId="39" xfId="0" applyFont="1" applyBorder="1" applyAlignment="1">
      <alignment horizontal="left" vertical="center" wrapText="1" indent="11"/>
    </xf>
    <xf numFmtId="0" fontId="32" fillId="0" borderId="37" xfId="0" applyFont="1" applyBorder="1" applyAlignment="1">
      <alignment vertical="center" wrapText="1"/>
    </xf>
    <xf numFmtId="0" fontId="32" fillId="0" borderId="37" xfId="0" applyFont="1" applyBorder="1" applyAlignment="1">
      <alignment horizontal="justify" vertical="center" wrapText="1"/>
    </xf>
    <xf numFmtId="0" fontId="32" fillId="0" borderId="46" xfId="0" applyFont="1" applyBorder="1" applyAlignment="1">
      <alignment horizontal="justify" vertical="center" wrapText="1"/>
    </xf>
    <xf numFmtId="0" fontId="32" fillId="0" borderId="52" xfId="0" applyFont="1" applyBorder="1" applyAlignment="1">
      <alignment horizontal="justify" vertical="center" wrapText="1"/>
    </xf>
    <xf numFmtId="0" fontId="32" fillId="0" borderId="46" xfId="0" applyFont="1" applyBorder="1" applyAlignment="1">
      <alignment vertical="center" wrapText="1"/>
    </xf>
    <xf numFmtId="0" fontId="28" fillId="0" borderId="55" xfId="0" applyFont="1" applyBorder="1" applyAlignment="1">
      <alignment vertical="center" wrapText="1"/>
    </xf>
    <xf numFmtId="0" fontId="41" fillId="5" borderId="2" xfId="0" applyFont="1" applyFill="1" applyBorder="1" applyAlignment="1">
      <alignment horizontal="center" vertical="center" wrapText="1"/>
    </xf>
    <xf numFmtId="0" fontId="41" fillId="5" borderId="7" xfId="0" applyFont="1" applyFill="1" applyBorder="1" applyAlignment="1">
      <alignment horizontal="center" vertical="center" wrapText="1"/>
    </xf>
    <xf numFmtId="0" fontId="41" fillId="5" borderId="3" xfId="0" applyFont="1" applyFill="1" applyBorder="1" applyAlignment="1">
      <alignment horizontal="center" vertical="center" wrapText="1"/>
    </xf>
    <xf numFmtId="0" fontId="28" fillId="0" borderId="52" xfId="0" applyFont="1" applyBorder="1" applyAlignment="1">
      <alignment horizontal="center" vertical="center" wrapText="1"/>
    </xf>
    <xf numFmtId="0" fontId="28" fillId="0" borderId="37" xfId="0" applyFont="1" applyBorder="1" applyAlignment="1">
      <alignment horizontal="center" vertical="center" wrapText="1"/>
    </xf>
    <xf numFmtId="0" fontId="28" fillId="0" borderId="52" xfId="0" applyFont="1" applyBorder="1" applyAlignment="1">
      <alignment horizontal="right" vertical="center" wrapText="1"/>
    </xf>
    <xf numFmtId="0" fontId="28" fillId="0" borderId="37" xfId="0" applyFont="1" applyBorder="1" applyAlignment="1">
      <alignment horizontal="right" vertical="center" wrapText="1"/>
    </xf>
    <xf numFmtId="4" fontId="28" fillId="0" borderId="52" xfId="0" applyNumberFormat="1" applyFont="1" applyBorder="1" applyAlignment="1">
      <alignment horizontal="center" vertical="center" wrapText="1"/>
    </xf>
    <xf numFmtId="4" fontId="28" fillId="0" borderId="37" xfId="0" applyNumberFormat="1" applyFont="1" applyBorder="1" applyAlignment="1">
      <alignment horizontal="center" vertical="center" wrapText="1"/>
    </xf>
    <xf numFmtId="4" fontId="28" fillId="0" borderId="48" xfId="0" applyNumberFormat="1" applyFont="1" applyBorder="1" applyAlignment="1">
      <alignment horizontal="center" vertical="center" wrapText="1"/>
    </xf>
    <xf numFmtId="4" fontId="28" fillId="0" borderId="41" xfId="0" applyNumberFormat="1" applyFont="1" applyBorder="1" applyAlignment="1">
      <alignment horizontal="center" vertical="center" wrapText="1"/>
    </xf>
    <xf numFmtId="4" fontId="31" fillId="0" borderId="36" xfId="0" applyNumberFormat="1" applyFont="1" applyBorder="1" applyAlignment="1">
      <alignment horizontal="center" vertical="center" wrapText="1"/>
    </xf>
    <xf numFmtId="4" fontId="31" fillId="0" borderId="46" xfId="0" applyNumberFormat="1" applyFont="1" applyBorder="1" applyAlignment="1">
      <alignment horizontal="center" vertical="center" wrapText="1"/>
    </xf>
    <xf numFmtId="0" fontId="28" fillId="0" borderId="47" xfId="0" applyFont="1" applyBorder="1" applyAlignment="1">
      <alignment vertical="center" wrapText="1"/>
    </xf>
    <xf numFmtId="4" fontId="28" fillId="0" borderId="40" xfId="0" applyNumberFormat="1" applyFont="1" applyBorder="1" applyAlignment="1">
      <alignment vertical="center" wrapText="1"/>
    </xf>
    <xf numFmtId="4" fontId="31" fillId="0" borderId="33" xfId="0" applyNumberFormat="1" applyFont="1" applyBorder="1" applyAlignment="1">
      <alignment horizontal="center" vertical="center" wrapText="1"/>
    </xf>
    <xf numFmtId="4" fontId="31" fillId="0" borderId="44" xfId="0" applyNumberFormat="1" applyFont="1" applyBorder="1" applyAlignment="1">
      <alignment horizontal="center" vertical="center" wrapText="1"/>
    </xf>
    <xf numFmtId="0" fontId="28" fillId="0" borderId="46" xfId="0" applyFont="1" applyBorder="1" applyAlignment="1">
      <alignment horizontal="center" vertical="center" wrapText="1"/>
    </xf>
    <xf numFmtId="4" fontId="28" fillId="0" borderId="46" xfId="0" applyNumberFormat="1" applyFont="1" applyBorder="1" applyAlignment="1">
      <alignment horizontal="center" vertical="center" wrapText="1"/>
    </xf>
    <xf numFmtId="0" fontId="6" fillId="0" borderId="17"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32" xfId="0" applyFont="1" applyBorder="1" applyAlignment="1">
      <alignment horizontal="center" vertical="center" wrapText="1"/>
    </xf>
    <xf numFmtId="2" fontId="6" fillId="0" borderId="17" xfId="0" applyNumberFormat="1" applyFont="1" applyBorder="1" applyAlignment="1">
      <alignment horizontal="center" vertical="center" wrapText="1"/>
    </xf>
    <xf numFmtId="2" fontId="6" fillId="0" borderId="12" xfId="0" applyNumberFormat="1" applyFont="1" applyBorder="1" applyAlignment="1">
      <alignment horizontal="center" vertical="center" wrapText="1"/>
    </xf>
    <xf numFmtId="2" fontId="6" fillId="0" borderId="32" xfId="0" applyNumberFormat="1" applyFont="1" applyBorder="1" applyAlignment="1">
      <alignment horizontal="center" vertical="center" wrapText="1"/>
    </xf>
    <xf numFmtId="4" fontId="6" fillId="0" borderId="17" xfId="0" applyNumberFormat="1" applyFont="1" applyBorder="1" applyAlignment="1">
      <alignment horizontal="center" vertical="center" wrapText="1"/>
    </xf>
    <xf numFmtId="4" fontId="6" fillId="0" borderId="12" xfId="0" applyNumberFormat="1" applyFont="1" applyBorder="1" applyAlignment="1">
      <alignment horizontal="center" vertical="center" wrapText="1"/>
    </xf>
    <xf numFmtId="4" fontId="6" fillId="0" borderId="32" xfId="0" applyNumberFormat="1" applyFont="1" applyBorder="1" applyAlignment="1">
      <alignment horizontal="center" vertical="center" wrapText="1"/>
    </xf>
    <xf numFmtId="4" fontId="6" fillId="0" borderId="1" xfId="0" applyNumberFormat="1" applyFont="1" applyBorder="1" applyAlignment="1">
      <alignment horizontal="right" vertical="center"/>
    </xf>
    <xf numFmtId="0" fontId="5" fillId="0" borderId="1" xfId="0" applyFont="1" applyBorder="1" applyAlignment="1">
      <alignment vertical="center"/>
    </xf>
    <xf numFmtId="0" fontId="22" fillId="0" borderId="1" xfId="0" applyFont="1" applyBorder="1" applyAlignment="1">
      <alignment horizontal="center" vertical="center"/>
    </xf>
    <xf numFmtId="4" fontId="6" fillId="0" borderId="1" xfId="0" applyNumberFormat="1" applyFont="1" applyBorder="1" applyAlignment="1">
      <alignment horizontal="center" vertical="center"/>
    </xf>
    <xf numFmtId="0" fontId="26" fillId="0" borderId="1" xfId="0" applyFont="1" applyBorder="1" applyAlignment="1">
      <alignment horizontal="center" vertical="center"/>
    </xf>
    <xf numFmtId="4" fontId="5" fillId="0" borderId="1" xfId="0" applyNumberFormat="1" applyFont="1" applyBorder="1" applyAlignment="1">
      <alignment horizontal="center" vertical="center"/>
    </xf>
    <xf numFmtId="4" fontId="22" fillId="0" borderId="1" xfId="0" applyNumberFormat="1" applyFont="1" applyBorder="1" applyAlignment="1">
      <alignment horizontal="center" vertical="center"/>
    </xf>
    <xf numFmtId="0" fontId="5" fillId="0" borderId="2" xfId="0" applyFont="1" applyBorder="1" applyAlignment="1">
      <alignment vertical="center"/>
    </xf>
    <xf numFmtId="0" fontId="5" fillId="0" borderId="7" xfId="0" applyFont="1" applyBorder="1" applyAlignment="1">
      <alignment vertical="center"/>
    </xf>
    <xf numFmtId="0" fontId="5" fillId="0" borderId="3" xfId="0" applyFont="1" applyBorder="1" applyAlignment="1">
      <alignment vertical="center"/>
    </xf>
    <xf numFmtId="4" fontId="6" fillId="0" borderId="2" xfId="0" applyNumberFormat="1" applyFont="1" applyBorder="1" applyAlignment="1">
      <alignment horizontal="right" vertical="center"/>
    </xf>
    <xf numFmtId="4" fontId="6" fillId="0" borderId="3" xfId="0" applyNumberFormat="1" applyFont="1" applyBorder="1" applyAlignment="1">
      <alignment horizontal="right" vertical="center"/>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5" fillId="0" borderId="1" xfId="0" applyFont="1" applyBorder="1" applyAlignment="1">
      <alignment vertical="center" wrapText="1"/>
    </xf>
    <xf numFmtId="0" fontId="7" fillId="0" borderId="1" xfId="0" applyFont="1" applyBorder="1"/>
    <xf numFmtId="0" fontId="4" fillId="0" borderId="1" xfId="0" applyFont="1" applyBorder="1" applyAlignment="1">
      <alignment vertical="center" wrapText="1"/>
    </xf>
    <xf numFmtId="2" fontId="7" fillId="0" borderId="1" xfId="0" applyNumberFormat="1" applyFont="1" applyBorder="1" applyAlignment="1">
      <alignment horizontal="center" vertical="center"/>
    </xf>
    <xf numFmtId="4" fontId="7" fillId="0" borderId="1" xfId="0" applyNumberFormat="1" applyFont="1" applyBorder="1"/>
    <xf numFmtId="0" fontId="7" fillId="0" borderId="28" xfId="0" applyFont="1" applyBorder="1" applyAlignment="1">
      <alignment horizontal="left" vertical="center" wrapText="1"/>
    </xf>
    <xf numFmtId="0" fontId="7" fillId="0" borderId="29" xfId="0" applyFont="1" applyBorder="1" applyAlignment="1">
      <alignment horizontal="left" vertical="center" wrapText="1"/>
    </xf>
    <xf numFmtId="0" fontId="7" fillId="0" borderId="30" xfId="0" applyFont="1" applyBorder="1" applyAlignment="1">
      <alignment horizontal="left" vertical="center" wrapText="1"/>
    </xf>
    <xf numFmtId="0" fontId="7" fillId="0" borderId="31" xfId="0" applyFont="1" applyBorder="1" applyAlignment="1">
      <alignment horizontal="left" vertical="center" wrapText="1"/>
    </xf>
    <xf numFmtId="0" fontId="7" fillId="0" borderId="1" xfId="0" applyFont="1" applyBorder="1" applyAlignment="1">
      <alignment horizontal="left" vertical="center" wrapText="1"/>
    </xf>
    <xf numFmtId="0" fontId="19" fillId="0" borderId="1" xfId="0" applyFont="1" applyBorder="1" applyAlignment="1">
      <alignment horizontal="left"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8" fillId="0" borderId="1" xfId="0" applyFont="1" applyBorder="1" applyAlignment="1">
      <alignment horizontal="left" vertical="center" wrapText="1"/>
    </xf>
    <xf numFmtId="0" fontId="19" fillId="0" borderId="2" xfId="0" applyFont="1" applyBorder="1" applyAlignment="1">
      <alignment horizontal="left" vertical="center" wrapText="1"/>
    </xf>
    <xf numFmtId="0" fontId="19" fillId="0" borderId="3" xfId="0" applyFont="1" applyBorder="1" applyAlignment="1">
      <alignment horizontal="left" vertical="center" wrapText="1"/>
    </xf>
    <xf numFmtId="14" fontId="7" fillId="0" borderId="2"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7" xfId="0" applyFont="1" applyBorder="1" applyAlignment="1">
      <alignment horizontal="center" vertical="center" wrapText="1"/>
    </xf>
    <xf numFmtId="0" fontId="8"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4" fontId="7" fillId="0" borderId="2"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0" fontId="18" fillId="0" borderId="2"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3" xfId="0" applyFont="1" applyBorder="1" applyAlignment="1">
      <alignment horizontal="center" vertical="center" wrapText="1"/>
    </xf>
    <xf numFmtId="4" fontId="7" fillId="0" borderId="7" xfId="0" applyNumberFormat="1"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3" xfId="0" applyFont="1" applyBorder="1" applyAlignment="1">
      <alignment horizontal="center" vertical="center" wrapText="1"/>
    </xf>
    <xf numFmtId="4" fontId="8" fillId="0" borderId="2" xfId="0" applyNumberFormat="1" applyFont="1" applyBorder="1" applyAlignment="1">
      <alignment horizontal="center" vertical="center" wrapText="1"/>
    </xf>
    <xf numFmtId="4" fontId="8" fillId="0" borderId="7" xfId="0" applyNumberFormat="1" applyFont="1" applyBorder="1" applyAlignment="1">
      <alignment horizontal="center" vertical="center" wrapText="1"/>
    </xf>
    <xf numFmtId="4" fontId="8" fillId="0" borderId="3" xfId="0" applyNumberFormat="1" applyFont="1" applyBorder="1" applyAlignment="1">
      <alignment horizontal="center" vertical="center" wrapText="1"/>
    </xf>
    <xf numFmtId="4" fontId="11" fillId="0" borderId="2" xfId="0" applyNumberFormat="1" applyFont="1" applyBorder="1" applyAlignment="1">
      <alignment horizontal="center" vertical="center" wrapText="1"/>
    </xf>
    <xf numFmtId="4" fontId="11" fillId="0" borderId="7" xfId="0" applyNumberFormat="1" applyFont="1" applyBorder="1" applyAlignment="1">
      <alignment horizontal="center" vertical="center" wrapText="1"/>
    </xf>
    <xf numFmtId="4" fontId="11" fillId="0" borderId="3" xfId="0" applyNumberFormat="1" applyFont="1" applyBorder="1" applyAlignment="1">
      <alignment horizontal="center" vertical="center" wrapText="1"/>
    </xf>
    <xf numFmtId="0" fontId="7" fillId="0" borderId="21"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2" xfId="0" applyFont="1" applyBorder="1" applyAlignment="1">
      <alignment horizontal="center" vertical="center" wrapText="1"/>
    </xf>
    <xf numFmtId="0" fontId="6"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7" fillId="0" borderId="0" xfId="0" applyFont="1" applyAlignment="1">
      <alignment horizontal="center" wrapText="1"/>
    </xf>
    <xf numFmtId="4" fontId="7" fillId="0" borderId="18" xfId="0" applyNumberFormat="1" applyFont="1" applyBorder="1" applyAlignment="1">
      <alignment horizontal="center" vertical="center" wrapText="1"/>
    </xf>
    <xf numFmtId="4" fontId="7" fillId="0" borderId="20" xfId="0" applyNumberFormat="1" applyFont="1" applyBorder="1" applyAlignment="1">
      <alignment horizontal="center" vertical="center" wrapText="1"/>
    </xf>
    <xf numFmtId="4" fontId="6" fillId="0" borderId="10" xfId="0" applyNumberFormat="1"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4" fontId="7" fillId="0" borderId="21" xfId="0" applyNumberFormat="1" applyFont="1" applyBorder="1" applyAlignment="1">
      <alignment horizontal="center" vertical="center" wrapText="1"/>
    </xf>
    <xf numFmtId="4" fontId="7" fillId="0" borderId="22" xfId="0" applyNumberFormat="1" applyFont="1" applyBorder="1" applyAlignment="1">
      <alignment horizontal="center" vertical="center" wrapText="1"/>
    </xf>
    <xf numFmtId="49" fontId="6" fillId="0" borderId="17" xfId="0" applyNumberFormat="1" applyFont="1" applyBorder="1" applyAlignment="1">
      <alignment horizontal="center" vertical="center" wrapText="1"/>
    </xf>
    <xf numFmtId="49" fontId="6" fillId="0" borderId="12"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2" fontId="6" fillId="0" borderId="10" xfId="0" applyNumberFormat="1" applyFont="1" applyBorder="1" applyAlignment="1">
      <alignment horizontal="center" vertical="center" wrapText="1"/>
    </xf>
    <xf numFmtId="0" fontId="6" fillId="0" borderId="17" xfId="0" applyFont="1" applyBorder="1" applyAlignment="1">
      <alignment vertical="center" wrapText="1"/>
    </xf>
    <xf numFmtId="0" fontId="6" fillId="0" borderId="12" xfId="0" applyFont="1" applyBorder="1" applyAlignment="1">
      <alignment vertical="center" wrapText="1"/>
    </xf>
    <xf numFmtId="0" fontId="6" fillId="0" borderId="10" xfId="0" applyFont="1" applyBorder="1" applyAlignment="1">
      <alignment vertical="center" wrapText="1"/>
    </xf>
    <xf numFmtId="4" fontId="6" fillId="0" borderId="17" xfId="0" applyNumberFormat="1" applyFont="1" applyBorder="1" applyAlignment="1">
      <alignment vertical="center" wrapText="1"/>
    </xf>
    <xf numFmtId="4" fontId="6" fillId="0" borderId="12" xfId="0" applyNumberFormat="1" applyFont="1" applyBorder="1" applyAlignment="1">
      <alignment vertical="center" wrapText="1"/>
    </xf>
    <xf numFmtId="4" fontId="6" fillId="0" borderId="10" xfId="0" applyNumberFormat="1" applyFont="1" applyBorder="1" applyAlignment="1">
      <alignment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6" fillId="0" borderId="10" xfId="0" applyFont="1" applyBorder="1" applyAlignment="1">
      <alignment horizontal="center" vertical="center" wrapText="1"/>
    </xf>
    <xf numFmtId="0" fontId="9" fillId="2" borderId="0" xfId="0" applyFont="1" applyFill="1" applyAlignment="1">
      <alignment horizontal="center"/>
    </xf>
    <xf numFmtId="0" fontId="1" fillId="0" borderId="9" xfId="0" applyFont="1" applyBorder="1" applyAlignment="1">
      <alignment horizontal="center" vertical="center" wrapText="1"/>
    </xf>
    <xf numFmtId="0" fontId="28" fillId="0" borderId="52" xfId="0" applyFont="1" applyBorder="1" applyAlignment="1">
      <alignment horizontal="left" vertical="center" wrapText="1"/>
    </xf>
    <xf numFmtId="0" fontId="28" fillId="0" borderId="37" xfId="0" applyFont="1" applyBorder="1" applyAlignment="1">
      <alignment horizontal="left" vertical="center" wrapText="1"/>
    </xf>
    <xf numFmtId="0" fontId="32" fillId="0" borderId="37" xfId="0" applyFont="1" applyBorder="1" applyAlignment="1">
      <alignment horizontal="center" vertical="center" wrapText="1"/>
    </xf>
    <xf numFmtId="0" fontId="32" fillId="0" borderId="46" xfId="0" applyFont="1" applyBorder="1" applyAlignment="1">
      <alignment horizontal="center" vertical="center" wrapText="1"/>
    </xf>
    <xf numFmtId="4" fontId="28" fillId="0" borderId="49" xfId="0" applyNumberFormat="1" applyFont="1" applyBorder="1" applyAlignment="1">
      <alignment horizontal="center" vertical="center" wrapText="1"/>
    </xf>
    <xf numFmtId="4" fontId="40" fillId="0" borderId="52" xfId="0" applyNumberFormat="1" applyFont="1" applyBorder="1" applyAlignment="1">
      <alignment horizontal="center" vertical="center" wrapText="1"/>
    </xf>
    <xf numFmtId="4" fontId="40" fillId="0" borderId="37"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352369</xdr:colOff>
      <xdr:row>3311</xdr:row>
      <xdr:rowOff>399963</xdr:rowOff>
    </xdr:from>
    <xdr:to>
      <xdr:col>7</xdr:col>
      <xdr:colOff>1066244</xdr:colOff>
      <xdr:row>3312</xdr:row>
      <xdr:rowOff>352239</xdr:rowOff>
    </xdr:to>
    <xdr:grpSp>
      <xdr:nvGrpSpPr>
        <xdr:cNvPr id="3173" name="Group 6">
          <a:extLst>
            <a:ext uri="{FF2B5EF4-FFF2-40B4-BE49-F238E27FC236}">
              <a16:creationId xmlns:a16="http://schemas.microsoft.com/office/drawing/2014/main" id="{AECFBDBB-3AE2-F0E5-9E48-E5CA0B76DC9A}"/>
            </a:ext>
          </a:extLst>
        </xdr:cNvPr>
        <xdr:cNvGrpSpPr>
          <a:grpSpLocks/>
        </xdr:cNvGrpSpPr>
      </xdr:nvGrpSpPr>
      <xdr:grpSpPr bwMode="auto">
        <a:xfrm>
          <a:off x="7067494" y="1236725913"/>
          <a:ext cx="713875" cy="609501"/>
          <a:chOff x="6280" y="765"/>
          <a:chExt cx="7132" cy="6126"/>
        </a:xfrm>
      </xdr:grpSpPr>
      <xdr:pic>
        <xdr:nvPicPr>
          <xdr:cNvPr id="3174" name="Image 7">
            <a:extLst>
              <a:ext uri="{FF2B5EF4-FFF2-40B4-BE49-F238E27FC236}">
                <a16:creationId xmlns:a16="http://schemas.microsoft.com/office/drawing/2014/main" id="{C2F3FE09-CBC8-07D3-CE5B-1CCDB820FB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0" y="765"/>
            <a:ext cx="7132" cy="612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1">
    <wetp:webextensionref xmlns:r="http://schemas.openxmlformats.org/officeDocument/2006/relationships" r:id="rId2"/>
  </wetp:taskpane>
  <wetp:taskpane dockstate="right" visibility="0" width="350" row="2">
    <wetp:webextensionref xmlns:r="http://schemas.openxmlformats.org/officeDocument/2006/relationships" r:id="rId3"/>
  </wetp:taskpane>
  <wetp:taskpane dockstate="right" visibility="0" width="350" row="1">
    <wetp:webextensionref xmlns:r="http://schemas.openxmlformats.org/officeDocument/2006/relationships" r:id="rId4"/>
  </wetp:taskpane>
</wetp:taskpanes>
</file>

<file path=xl/webextensions/webextension1.xml><?xml version="1.0" encoding="utf-8"?>
<we:webextension xmlns:we="http://schemas.microsoft.com/office/webextensions/webextension/2010/11" id="{5D556C26-04B8-47F0-A46F-782CAAAE6C94}">
  <we:reference id="wa200005502" version="1.0.0.12" store="en-US" storeType="OMEX"/>
  <we:alternateReferences>
    <we:reference id="wa200005502" version="1.0.0.12" store="wa200005502" storeType="OMEX"/>
  </we:alternateReferences>
  <we:properties>
    <we:property name="docId" value="&quot;rxVjNeNNJ_R6QSGbdRnh2&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AB2B9AE0-7393-406D-B075-1229CCBBFEA8}">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3.xml><?xml version="1.0" encoding="utf-8"?>
<we:webextension xmlns:we="http://schemas.microsoft.com/office/webextensions/webextension/2010/11" id="{DBA3A2B5-A23B-4B2A-84A0-AE581AE9DE8D}">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4.xml><?xml version="1.0" encoding="utf-8"?>
<we:webextension xmlns:we="http://schemas.microsoft.com/office/webextensions/webextension/2010/11" id="{06463694-9316-4B64-8688-CBF260EE60B4}">
  <we:reference id="wa200006009" version="2.1.3.10" store="en-US" storeType="OMEX"/>
  <we:alternateReferences>
    <we:reference id="wa200006009" version="2.1.3.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654E-CCA1-48D1-940D-5A6BFD4209F3}">
  <dimension ref="A1:AL5431"/>
  <sheetViews>
    <sheetView tabSelected="1" topLeftCell="A5420" zoomScaleNormal="100" workbookViewId="0">
      <selection activeCell="F5433" sqref="F5433"/>
    </sheetView>
  </sheetViews>
  <sheetFormatPr defaultRowHeight="15" x14ac:dyDescent="0.25"/>
  <cols>
    <col min="1" max="1" width="7.140625" style="13" customWidth="1"/>
    <col min="2" max="2" width="35.7109375" style="14" customWidth="1"/>
    <col min="3" max="3" width="12.7109375" style="316" bestFit="1" customWidth="1"/>
    <col min="4" max="4" width="10" style="15" customWidth="1"/>
    <col min="5" max="5" width="14.28515625" style="16" customWidth="1"/>
    <col min="6" max="6" width="17.85546875" style="16" customWidth="1"/>
    <col min="7" max="7" width="3" style="32" customWidth="1"/>
    <col min="8" max="8" width="19.7109375" style="33" customWidth="1"/>
    <col min="9" max="9" width="5" style="34" customWidth="1"/>
    <col min="10" max="10" width="5.28515625" style="33" customWidth="1"/>
    <col min="11" max="11" width="5.5703125" style="33" customWidth="1"/>
    <col min="12" max="12" width="6.7109375" style="33" customWidth="1"/>
    <col min="13" max="13" width="7.85546875" style="215" customWidth="1"/>
    <col min="14" max="14" width="7.42578125" style="33" customWidth="1"/>
    <col min="15" max="15" width="7" style="33" bestFit="1" customWidth="1"/>
    <col min="16" max="16" width="32.5703125" style="33" bestFit="1" customWidth="1"/>
    <col min="17" max="17" width="10.7109375" style="33" bestFit="1" customWidth="1"/>
    <col min="18" max="18" width="9.85546875" style="33" bestFit="1" customWidth="1"/>
    <col min="19" max="19" width="13.28515625" style="33" customWidth="1"/>
    <col min="20" max="20" width="13.5703125" style="33" customWidth="1"/>
    <col min="21" max="21" width="17.42578125" style="33" customWidth="1"/>
    <col min="22" max="23" width="5.7109375" style="33" customWidth="1"/>
    <col min="24" max="24" width="28.7109375" style="33" customWidth="1"/>
    <col min="25" max="27" width="5.7109375" style="33" customWidth="1"/>
    <col min="28" max="16384" width="9.140625" style="33"/>
  </cols>
  <sheetData>
    <row r="1" spans="1:6" x14ac:dyDescent="0.25">
      <c r="A1" s="30" t="s">
        <v>0</v>
      </c>
      <c r="B1" s="18" t="s">
        <v>1</v>
      </c>
      <c r="C1" s="31" t="s">
        <v>2</v>
      </c>
      <c r="D1" s="31" t="s">
        <v>3</v>
      </c>
      <c r="E1" s="239" t="s">
        <v>4</v>
      </c>
      <c r="F1" s="239" t="s">
        <v>5</v>
      </c>
    </row>
    <row r="3" spans="1:6" ht="45" x14ac:dyDescent="0.25">
      <c r="A3" s="13">
        <v>1</v>
      </c>
      <c r="B3" s="14" t="s">
        <v>6</v>
      </c>
      <c r="C3" s="316">
        <v>147</v>
      </c>
      <c r="D3" s="15" t="s">
        <v>9</v>
      </c>
      <c r="E3" s="16">
        <v>4523</v>
      </c>
      <c r="F3" s="16">
        <f>(C3*E3)</f>
        <v>664881</v>
      </c>
    </row>
    <row r="4" spans="1:6" ht="60" x14ac:dyDescent="0.25">
      <c r="A4" s="13">
        <v>2</v>
      </c>
      <c r="B4" s="14" t="s">
        <v>7</v>
      </c>
      <c r="C4" s="316">
        <v>930</v>
      </c>
      <c r="D4" s="15" t="s">
        <v>9</v>
      </c>
      <c r="E4" s="16">
        <v>1357</v>
      </c>
      <c r="F4" s="16">
        <v>1262010</v>
      </c>
    </row>
    <row r="5" spans="1:6" ht="45" x14ac:dyDescent="0.25">
      <c r="A5" s="13">
        <v>3</v>
      </c>
      <c r="B5" s="14" t="s">
        <v>8</v>
      </c>
      <c r="C5" s="316">
        <v>48</v>
      </c>
      <c r="D5" s="15" t="s">
        <v>9</v>
      </c>
      <c r="E5" s="16">
        <v>5150</v>
      </c>
      <c r="F5" s="16">
        <f>(C5*E5)</f>
        <v>247200</v>
      </c>
    </row>
    <row r="6" spans="1:6" ht="60" x14ac:dyDescent="0.25">
      <c r="A6" s="13">
        <v>4</v>
      </c>
      <c r="B6" s="14" t="s">
        <v>14</v>
      </c>
      <c r="C6" s="316">
        <v>1</v>
      </c>
      <c r="D6" s="15" t="s">
        <v>11</v>
      </c>
      <c r="E6" s="16">
        <v>210000</v>
      </c>
      <c r="F6" s="16">
        <f>(C6*E6)</f>
        <v>210000</v>
      </c>
    </row>
    <row r="7" spans="1:6" ht="30" x14ac:dyDescent="0.25">
      <c r="A7" s="13">
        <v>5</v>
      </c>
      <c r="B7" s="14" t="s">
        <v>12</v>
      </c>
      <c r="C7" s="316">
        <v>1</v>
      </c>
      <c r="D7" s="15" t="s">
        <v>11</v>
      </c>
      <c r="E7" s="16">
        <v>105000</v>
      </c>
      <c r="F7" s="16">
        <f>(C7*E7)</f>
        <v>105000</v>
      </c>
    </row>
    <row r="9" spans="1:6" ht="15.75" x14ac:dyDescent="0.25">
      <c r="B9" s="35" t="s">
        <v>10</v>
      </c>
      <c r="C9" s="317"/>
      <c r="D9" s="36"/>
      <c r="E9" s="240"/>
      <c r="F9" s="240">
        <f>SUM(F3:F7)</f>
        <v>2489091</v>
      </c>
    </row>
    <row r="10" spans="1:6" x14ac:dyDescent="0.25">
      <c r="F10" s="16" t="s">
        <v>13</v>
      </c>
    </row>
    <row r="11" spans="1:6" x14ac:dyDescent="0.25">
      <c r="A11" s="37"/>
      <c r="B11" s="38"/>
      <c r="C11" s="318"/>
      <c r="D11" s="39"/>
      <c r="E11" s="241"/>
      <c r="F11" s="241"/>
    </row>
    <row r="12" spans="1:6" x14ac:dyDescent="0.25">
      <c r="A12" s="30" t="s">
        <v>0</v>
      </c>
      <c r="B12" s="18" t="s">
        <v>1</v>
      </c>
      <c r="C12" s="31" t="s">
        <v>2</v>
      </c>
      <c r="D12" s="31" t="s">
        <v>3</v>
      </c>
      <c r="E12" s="239" t="s">
        <v>4</v>
      </c>
      <c r="F12" s="239" t="s">
        <v>5</v>
      </c>
    </row>
    <row r="14" spans="1:6" ht="30" x14ac:dyDescent="0.25">
      <c r="A14" s="13">
        <v>1</v>
      </c>
      <c r="B14" s="14" t="s">
        <v>15</v>
      </c>
      <c r="C14" s="316">
        <v>1</v>
      </c>
      <c r="D14" s="15" t="s">
        <v>11</v>
      </c>
      <c r="E14" s="16">
        <v>65000</v>
      </c>
      <c r="F14" s="16">
        <f>(C14*E14)</f>
        <v>65000</v>
      </c>
    </row>
    <row r="15" spans="1:6" ht="45" x14ac:dyDescent="0.25">
      <c r="A15" s="13">
        <v>2</v>
      </c>
      <c r="B15" s="14" t="s">
        <v>16</v>
      </c>
      <c r="C15" s="316">
        <v>5.94</v>
      </c>
      <c r="D15" s="15" t="s">
        <v>30</v>
      </c>
      <c r="E15" s="16">
        <v>50490</v>
      </c>
      <c r="F15" s="16">
        <f>(C15*E15)</f>
        <v>299910.60000000003</v>
      </c>
    </row>
    <row r="16" spans="1:6" ht="30" x14ac:dyDescent="0.25">
      <c r="A16" s="13">
        <v>3</v>
      </c>
      <c r="B16" s="14" t="s">
        <v>17</v>
      </c>
      <c r="C16" s="316">
        <v>198</v>
      </c>
      <c r="D16" s="15" t="s">
        <v>31</v>
      </c>
      <c r="E16" s="16">
        <v>450</v>
      </c>
      <c r="F16" s="16">
        <f>(C16*E16)</f>
        <v>89100</v>
      </c>
    </row>
    <row r="17" spans="1:6" ht="60" x14ac:dyDescent="0.25">
      <c r="A17" s="13">
        <v>4</v>
      </c>
      <c r="B17" s="40" t="s">
        <v>22</v>
      </c>
      <c r="C17" s="316">
        <v>1.88</v>
      </c>
      <c r="D17" s="15" t="s">
        <v>32</v>
      </c>
      <c r="E17" s="16">
        <v>145000</v>
      </c>
      <c r="F17" s="16">
        <f>(C17*E17)</f>
        <v>272600</v>
      </c>
    </row>
    <row r="18" spans="1:6" ht="75" x14ac:dyDescent="0.25">
      <c r="A18" s="13">
        <v>5</v>
      </c>
      <c r="B18" s="40" t="s">
        <v>19</v>
      </c>
      <c r="C18" s="316">
        <v>66</v>
      </c>
      <c r="D18" s="15" t="s">
        <v>33</v>
      </c>
      <c r="E18" s="16">
        <v>1850</v>
      </c>
      <c r="F18" s="16">
        <f>(C18*E18)</f>
        <v>122100</v>
      </c>
    </row>
    <row r="19" spans="1:6" ht="60" x14ac:dyDescent="0.25">
      <c r="A19" s="13">
        <v>6</v>
      </c>
      <c r="B19" s="14" t="s">
        <v>18</v>
      </c>
      <c r="C19" s="316">
        <v>336</v>
      </c>
      <c r="D19" s="15" t="s">
        <v>33</v>
      </c>
      <c r="E19" s="16">
        <v>1650</v>
      </c>
      <c r="F19" s="16">
        <f t="shared" ref="F19:F28" si="0">(C19*E19)</f>
        <v>554400</v>
      </c>
    </row>
    <row r="20" spans="1:6" ht="60" x14ac:dyDescent="0.25">
      <c r="A20" s="13">
        <v>7</v>
      </c>
      <c r="B20" s="14" t="s">
        <v>21</v>
      </c>
      <c r="C20" s="316">
        <v>220</v>
      </c>
      <c r="D20" s="15" t="s">
        <v>33</v>
      </c>
      <c r="E20" s="16">
        <v>1850</v>
      </c>
      <c r="F20" s="16">
        <f t="shared" si="0"/>
        <v>407000</v>
      </c>
    </row>
    <row r="21" spans="1:6" ht="75" x14ac:dyDescent="0.25">
      <c r="A21" s="13">
        <v>8</v>
      </c>
      <c r="B21" s="40" t="s">
        <v>20</v>
      </c>
      <c r="C21" s="316">
        <v>274</v>
      </c>
      <c r="D21" s="15" t="s">
        <v>33</v>
      </c>
      <c r="E21" s="16">
        <v>1850</v>
      </c>
      <c r="F21" s="16">
        <f t="shared" si="0"/>
        <v>506900</v>
      </c>
    </row>
    <row r="22" spans="1:6" ht="60" x14ac:dyDescent="0.25">
      <c r="A22" s="13">
        <v>9</v>
      </c>
      <c r="B22" s="14" t="s">
        <v>29</v>
      </c>
      <c r="C22" s="316">
        <v>1880</v>
      </c>
      <c r="D22" s="15" t="s">
        <v>31</v>
      </c>
      <c r="E22" s="16">
        <v>1450</v>
      </c>
      <c r="F22" s="16">
        <f t="shared" si="0"/>
        <v>2726000</v>
      </c>
    </row>
    <row r="23" spans="1:6" ht="45" x14ac:dyDescent="0.25">
      <c r="A23" s="13">
        <v>10</v>
      </c>
      <c r="B23" s="14" t="s">
        <v>23</v>
      </c>
      <c r="C23" s="316">
        <v>2350</v>
      </c>
      <c r="D23" s="15" t="s">
        <v>31</v>
      </c>
      <c r="E23" s="16">
        <v>340</v>
      </c>
      <c r="F23" s="16">
        <f t="shared" si="0"/>
        <v>799000</v>
      </c>
    </row>
    <row r="24" spans="1:6" ht="30" x14ac:dyDescent="0.25">
      <c r="A24" s="13">
        <v>11</v>
      </c>
      <c r="B24" s="14" t="s">
        <v>24</v>
      </c>
      <c r="C24" s="316">
        <v>2100</v>
      </c>
      <c r="D24" s="15" t="s">
        <v>31</v>
      </c>
      <c r="E24" s="16">
        <v>295</v>
      </c>
      <c r="F24" s="16">
        <f t="shared" si="0"/>
        <v>619500</v>
      </c>
    </row>
    <row r="25" spans="1:6" ht="45" x14ac:dyDescent="0.25">
      <c r="A25" s="13">
        <v>12</v>
      </c>
      <c r="B25" s="14" t="s">
        <v>25</v>
      </c>
      <c r="C25" s="316">
        <v>110</v>
      </c>
      <c r="D25" s="15" t="s">
        <v>33</v>
      </c>
      <c r="E25" s="16">
        <v>480</v>
      </c>
      <c r="F25" s="16">
        <f t="shared" si="0"/>
        <v>52800</v>
      </c>
    </row>
    <row r="26" spans="1:6" ht="30" x14ac:dyDescent="0.25">
      <c r="A26" s="13">
        <v>13</v>
      </c>
      <c r="B26" s="14" t="s">
        <v>26</v>
      </c>
      <c r="C26" s="316">
        <v>2850</v>
      </c>
      <c r="D26" s="15" t="s">
        <v>31</v>
      </c>
      <c r="E26" s="16">
        <v>140</v>
      </c>
      <c r="F26" s="16">
        <f t="shared" si="0"/>
        <v>399000</v>
      </c>
    </row>
    <row r="27" spans="1:6" ht="60" x14ac:dyDescent="0.25">
      <c r="A27" s="13">
        <v>14</v>
      </c>
      <c r="B27" s="14" t="s">
        <v>27</v>
      </c>
      <c r="C27" s="316">
        <v>6100</v>
      </c>
      <c r="D27" s="15" t="s">
        <v>31</v>
      </c>
      <c r="E27" s="16">
        <v>240</v>
      </c>
      <c r="F27" s="16">
        <f t="shared" si="0"/>
        <v>1464000</v>
      </c>
    </row>
    <row r="28" spans="1:6" ht="45" x14ac:dyDescent="0.25">
      <c r="A28" s="13">
        <v>15</v>
      </c>
      <c r="B28" s="14" t="s">
        <v>28</v>
      </c>
      <c r="C28" s="316">
        <v>2200</v>
      </c>
      <c r="D28" s="15" t="s">
        <v>31</v>
      </c>
      <c r="E28" s="16">
        <v>160</v>
      </c>
      <c r="F28" s="16">
        <f t="shared" si="0"/>
        <v>352000</v>
      </c>
    </row>
    <row r="30" spans="1:6" ht="15.75" x14ac:dyDescent="0.25">
      <c r="B30" s="35" t="s">
        <v>10</v>
      </c>
      <c r="F30" s="240">
        <f>SUM(F14:F28)</f>
        <v>8729310.5999999996</v>
      </c>
    </row>
    <row r="32" spans="1:6" x14ac:dyDescent="0.25">
      <c r="A32" s="41"/>
      <c r="B32" s="42"/>
      <c r="C32" s="319"/>
      <c r="D32" s="43"/>
      <c r="E32" s="242"/>
      <c r="F32" s="242">
        <f>(C32*E32)</f>
        <v>0</v>
      </c>
    </row>
    <row r="33" spans="1:6" x14ac:dyDescent="0.25">
      <c r="A33" s="30" t="s">
        <v>0</v>
      </c>
      <c r="B33" s="18" t="s">
        <v>1</v>
      </c>
      <c r="C33" s="31" t="s">
        <v>2</v>
      </c>
      <c r="D33" s="31" t="s">
        <v>3</v>
      </c>
      <c r="E33" s="239" t="s">
        <v>4</v>
      </c>
      <c r="F33" s="239" t="s">
        <v>5</v>
      </c>
    </row>
    <row r="35" spans="1:6" ht="30" x14ac:dyDescent="0.25">
      <c r="A35" s="13">
        <v>1</v>
      </c>
      <c r="B35" s="14" t="s">
        <v>15</v>
      </c>
      <c r="C35" s="316">
        <v>1</v>
      </c>
      <c r="D35" s="15" t="s">
        <v>11</v>
      </c>
      <c r="E35" s="16">
        <v>65000</v>
      </c>
      <c r="F35" s="16">
        <f t="shared" ref="F35:F46" si="1">(C35*E35)</f>
        <v>65000</v>
      </c>
    </row>
    <row r="36" spans="1:6" ht="45" x14ac:dyDescent="0.25">
      <c r="A36" s="13">
        <v>2</v>
      </c>
      <c r="B36" s="14" t="s">
        <v>16</v>
      </c>
      <c r="C36" s="316">
        <v>3.65</v>
      </c>
      <c r="D36" s="15" t="s">
        <v>30</v>
      </c>
      <c r="E36" s="16">
        <v>45000</v>
      </c>
      <c r="F36" s="16">
        <f t="shared" si="1"/>
        <v>164250</v>
      </c>
    </row>
    <row r="37" spans="1:6" ht="30" x14ac:dyDescent="0.25">
      <c r="A37" s="13">
        <v>3</v>
      </c>
      <c r="B37" s="14" t="s">
        <v>17</v>
      </c>
      <c r="C37" s="316">
        <v>81</v>
      </c>
      <c r="D37" s="15" t="s">
        <v>31</v>
      </c>
      <c r="E37" s="16">
        <v>350</v>
      </c>
      <c r="F37" s="16">
        <f t="shared" si="1"/>
        <v>28350</v>
      </c>
    </row>
    <row r="38" spans="1:6" ht="60" x14ac:dyDescent="0.25">
      <c r="A38" s="13">
        <v>4</v>
      </c>
      <c r="B38" s="40" t="s">
        <v>34</v>
      </c>
      <c r="C38" s="316">
        <v>81</v>
      </c>
      <c r="D38" s="15" t="s">
        <v>32</v>
      </c>
      <c r="E38" s="16">
        <v>1800</v>
      </c>
      <c r="F38" s="16">
        <f t="shared" si="1"/>
        <v>145800</v>
      </c>
    </row>
    <row r="39" spans="1:6" ht="60" x14ac:dyDescent="0.25">
      <c r="A39" s="13">
        <v>5</v>
      </c>
      <c r="B39" s="14" t="s">
        <v>35</v>
      </c>
      <c r="C39" s="316">
        <v>45</v>
      </c>
      <c r="D39" s="15" t="s">
        <v>33</v>
      </c>
      <c r="E39" s="16">
        <v>1850</v>
      </c>
      <c r="F39" s="16">
        <f t="shared" si="1"/>
        <v>83250</v>
      </c>
    </row>
    <row r="40" spans="1:6" ht="60" x14ac:dyDescent="0.25">
      <c r="A40" s="13">
        <v>6</v>
      </c>
      <c r="B40" s="14" t="s">
        <v>36</v>
      </c>
      <c r="C40" s="316">
        <v>164</v>
      </c>
      <c r="D40" s="15" t="s">
        <v>33</v>
      </c>
      <c r="E40" s="16">
        <v>1650</v>
      </c>
      <c r="F40" s="16">
        <f t="shared" si="1"/>
        <v>270600</v>
      </c>
    </row>
    <row r="41" spans="1:6" ht="60" x14ac:dyDescent="0.25">
      <c r="A41" s="13">
        <v>7</v>
      </c>
      <c r="B41" s="14" t="s">
        <v>37</v>
      </c>
      <c r="C41" s="316">
        <v>90</v>
      </c>
      <c r="D41" s="15" t="s">
        <v>33</v>
      </c>
      <c r="E41" s="16">
        <v>1850</v>
      </c>
      <c r="F41" s="16">
        <f t="shared" si="1"/>
        <v>166500</v>
      </c>
    </row>
    <row r="42" spans="1:6" ht="60" x14ac:dyDescent="0.25">
      <c r="A42" s="13">
        <v>8</v>
      </c>
      <c r="B42" s="14" t="s">
        <v>38</v>
      </c>
      <c r="C42" s="316">
        <v>659</v>
      </c>
      <c r="D42" s="15" t="s">
        <v>33</v>
      </c>
      <c r="E42" s="16">
        <v>1450</v>
      </c>
      <c r="F42" s="16">
        <f t="shared" si="1"/>
        <v>955550</v>
      </c>
    </row>
    <row r="43" spans="1:6" ht="60" x14ac:dyDescent="0.25">
      <c r="A43" s="13">
        <v>9</v>
      </c>
      <c r="B43" s="14" t="s">
        <v>39</v>
      </c>
      <c r="C43" s="316">
        <v>152</v>
      </c>
      <c r="D43" s="15" t="s">
        <v>33</v>
      </c>
      <c r="E43" s="16">
        <v>1850</v>
      </c>
      <c r="F43" s="16">
        <f t="shared" si="1"/>
        <v>281200</v>
      </c>
    </row>
    <row r="44" spans="1:6" ht="30" x14ac:dyDescent="0.25">
      <c r="A44" s="13">
        <v>10</v>
      </c>
      <c r="B44" s="14" t="s">
        <v>40</v>
      </c>
      <c r="C44" s="316">
        <v>480.05</v>
      </c>
      <c r="D44" s="15" t="s">
        <v>33</v>
      </c>
      <c r="E44" s="16">
        <v>295</v>
      </c>
      <c r="F44" s="16">
        <f t="shared" si="1"/>
        <v>141614.75</v>
      </c>
    </row>
    <row r="45" spans="1:6" ht="30" x14ac:dyDescent="0.25">
      <c r="A45" s="13">
        <v>11</v>
      </c>
      <c r="B45" s="14" t="s">
        <v>41</v>
      </c>
      <c r="C45" s="316">
        <v>890.05</v>
      </c>
      <c r="D45" s="15" t="s">
        <v>33</v>
      </c>
      <c r="E45" s="16">
        <v>340</v>
      </c>
      <c r="F45" s="16">
        <f t="shared" si="1"/>
        <v>302617</v>
      </c>
    </row>
    <row r="46" spans="1:6" ht="45" x14ac:dyDescent="0.25">
      <c r="A46" s="13">
        <v>12</v>
      </c>
      <c r="B46" s="14" t="s">
        <v>42</v>
      </c>
      <c r="C46" s="316">
        <v>975</v>
      </c>
      <c r="D46" s="15" t="s">
        <v>31</v>
      </c>
      <c r="E46" s="16">
        <v>240</v>
      </c>
      <c r="F46" s="16">
        <f t="shared" si="1"/>
        <v>234000</v>
      </c>
    </row>
    <row r="48" spans="1:6" ht="15.75" x14ac:dyDescent="0.25">
      <c r="B48" s="35" t="s">
        <v>10</v>
      </c>
      <c r="C48" s="317"/>
      <c r="D48" s="36"/>
      <c r="E48" s="240"/>
      <c r="F48" s="240">
        <f>SUM(F35:F46)</f>
        <v>2838731.75</v>
      </c>
    </row>
    <row r="50" spans="1:6" x14ac:dyDescent="0.25">
      <c r="A50" s="41"/>
      <c r="B50" s="42"/>
      <c r="C50" s="319"/>
      <c r="D50" s="43"/>
      <c r="E50" s="242"/>
      <c r="F50" s="242">
        <f>(C50*E50)</f>
        <v>0</v>
      </c>
    </row>
    <row r="51" spans="1:6" x14ac:dyDescent="0.25">
      <c r="A51" s="30" t="s">
        <v>0</v>
      </c>
      <c r="B51" s="18" t="s">
        <v>1</v>
      </c>
      <c r="C51" s="31" t="s">
        <v>2</v>
      </c>
      <c r="D51" s="31" t="s">
        <v>3</v>
      </c>
      <c r="E51" s="239" t="s">
        <v>4</v>
      </c>
      <c r="F51" s="239" t="s">
        <v>5</v>
      </c>
    </row>
    <row r="54" spans="1:6" ht="45" x14ac:dyDescent="0.25">
      <c r="A54" s="13">
        <v>2</v>
      </c>
      <c r="B54" s="14" t="s">
        <v>16</v>
      </c>
      <c r="C54" s="316">
        <v>3.65</v>
      </c>
      <c r="D54" s="15" t="s">
        <v>30</v>
      </c>
      <c r="E54" s="16">
        <v>45000</v>
      </c>
      <c r="F54" s="16">
        <f t="shared" ref="F54:F65" si="2">(C54*E54)</f>
        <v>164250</v>
      </c>
    </row>
    <row r="55" spans="1:6" ht="30" x14ac:dyDescent="0.25">
      <c r="A55" s="13">
        <v>3</v>
      </c>
      <c r="B55" s="14" t="s">
        <v>17</v>
      </c>
      <c r="C55" s="316">
        <v>126</v>
      </c>
      <c r="D55" s="15" t="s">
        <v>31</v>
      </c>
      <c r="E55" s="16">
        <v>350</v>
      </c>
      <c r="F55" s="16">
        <f t="shared" si="2"/>
        <v>44100</v>
      </c>
    </row>
    <row r="56" spans="1:6" ht="60" x14ac:dyDescent="0.25">
      <c r="A56" s="13">
        <v>4</v>
      </c>
      <c r="B56" s="40" t="s">
        <v>34</v>
      </c>
      <c r="C56" s="316">
        <v>126</v>
      </c>
      <c r="D56" s="15" t="s">
        <v>30</v>
      </c>
      <c r="E56" s="16">
        <v>1800</v>
      </c>
      <c r="F56" s="16">
        <f t="shared" si="2"/>
        <v>226800</v>
      </c>
    </row>
    <row r="57" spans="1:6" ht="60" x14ac:dyDescent="0.25">
      <c r="A57" s="13">
        <v>5</v>
      </c>
      <c r="B57" s="14" t="s">
        <v>35</v>
      </c>
      <c r="C57" s="316">
        <v>56</v>
      </c>
      <c r="D57" s="15" t="s">
        <v>33</v>
      </c>
      <c r="E57" s="16">
        <v>1850</v>
      </c>
      <c r="F57" s="16">
        <f t="shared" si="2"/>
        <v>103600</v>
      </c>
    </row>
    <row r="58" spans="1:6" ht="60" x14ac:dyDescent="0.25">
      <c r="A58" s="13">
        <v>6</v>
      </c>
      <c r="B58" s="14" t="s">
        <v>36</v>
      </c>
      <c r="C58" s="316">
        <v>164</v>
      </c>
      <c r="D58" s="15" t="s">
        <v>33</v>
      </c>
      <c r="E58" s="16">
        <v>1650</v>
      </c>
      <c r="F58" s="16">
        <f t="shared" si="2"/>
        <v>270600</v>
      </c>
    </row>
    <row r="59" spans="1:6" ht="60" x14ac:dyDescent="0.25">
      <c r="A59" s="13">
        <v>7</v>
      </c>
      <c r="B59" s="14" t="s">
        <v>37</v>
      </c>
      <c r="C59" s="316">
        <v>140</v>
      </c>
      <c r="D59" s="15" t="s">
        <v>33</v>
      </c>
      <c r="E59" s="16">
        <v>1850</v>
      </c>
      <c r="F59" s="16">
        <f t="shared" si="2"/>
        <v>259000</v>
      </c>
    </row>
    <row r="60" spans="1:6" ht="60" x14ac:dyDescent="0.25">
      <c r="A60" s="13">
        <v>8</v>
      </c>
      <c r="B60" s="14" t="s">
        <v>38</v>
      </c>
      <c r="C60" s="316">
        <v>1110.05</v>
      </c>
      <c r="D60" s="15" t="s">
        <v>33</v>
      </c>
      <c r="E60" s="16">
        <v>1450</v>
      </c>
      <c r="F60" s="16">
        <f t="shared" si="2"/>
        <v>1609572.5</v>
      </c>
    </row>
    <row r="61" spans="1:6" ht="60" x14ac:dyDescent="0.25">
      <c r="A61" s="13">
        <v>9</v>
      </c>
      <c r="B61" s="14" t="s">
        <v>39</v>
      </c>
      <c r="C61" s="316">
        <v>212</v>
      </c>
      <c r="D61" s="15" t="s">
        <v>33</v>
      </c>
      <c r="E61" s="16">
        <v>1850</v>
      </c>
      <c r="F61" s="16">
        <f t="shared" si="2"/>
        <v>392200</v>
      </c>
    </row>
    <row r="62" spans="1:6" ht="30" x14ac:dyDescent="0.25">
      <c r="A62" s="13">
        <v>10</v>
      </c>
      <c r="B62" s="14" t="s">
        <v>40</v>
      </c>
      <c r="C62" s="316">
        <v>820</v>
      </c>
      <c r="D62" s="15" t="s">
        <v>33</v>
      </c>
      <c r="E62" s="16">
        <v>295</v>
      </c>
      <c r="F62" s="16">
        <f t="shared" si="2"/>
        <v>241900</v>
      </c>
    </row>
    <row r="63" spans="1:6" ht="30" x14ac:dyDescent="0.25">
      <c r="A63" s="13">
        <v>11</v>
      </c>
      <c r="B63" s="14" t="s">
        <v>41</v>
      </c>
      <c r="C63" s="316">
        <v>890.05</v>
      </c>
      <c r="D63" s="15" t="s">
        <v>33</v>
      </c>
      <c r="E63" s="16">
        <v>340</v>
      </c>
      <c r="F63" s="16">
        <f t="shared" si="2"/>
        <v>302617</v>
      </c>
    </row>
    <row r="64" spans="1:6" ht="45" x14ac:dyDescent="0.25">
      <c r="A64" s="13">
        <v>12</v>
      </c>
      <c r="B64" s="14" t="s">
        <v>42</v>
      </c>
      <c r="C64" s="316">
        <v>1700</v>
      </c>
      <c r="D64" s="15" t="s">
        <v>31</v>
      </c>
      <c r="E64" s="16">
        <v>240</v>
      </c>
      <c r="F64" s="16">
        <f t="shared" si="2"/>
        <v>408000</v>
      </c>
    </row>
    <row r="65" spans="1:6" ht="30" x14ac:dyDescent="0.25">
      <c r="A65" s="13">
        <v>12</v>
      </c>
      <c r="B65" s="14" t="s">
        <v>43</v>
      </c>
      <c r="C65" s="316">
        <v>780</v>
      </c>
      <c r="D65" s="15" t="s">
        <v>31</v>
      </c>
      <c r="E65" s="16">
        <v>180</v>
      </c>
      <c r="F65" s="16">
        <f t="shared" si="2"/>
        <v>140400</v>
      </c>
    </row>
    <row r="67" spans="1:6" ht="15.75" x14ac:dyDescent="0.25">
      <c r="B67" s="35" t="s">
        <v>10</v>
      </c>
      <c r="C67" s="317"/>
      <c r="D67" s="36"/>
      <c r="E67" s="240"/>
      <c r="F67" s="240">
        <f>SUM(F53:F65)</f>
        <v>4163039.5</v>
      </c>
    </row>
    <row r="69" spans="1:6" x14ac:dyDescent="0.25">
      <c r="A69" s="41"/>
      <c r="B69" s="42"/>
      <c r="C69" s="319"/>
      <c r="D69" s="43"/>
      <c r="E69" s="242"/>
      <c r="F69" s="242">
        <f>(C69*E69)</f>
        <v>0</v>
      </c>
    </row>
    <row r="70" spans="1:6" x14ac:dyDescent="0.25">
      <c r="A70" s="30" t="s">
        <v>0</v>
      </c>
      <c r="B70" s="18" t="s">
        <v>1</v>
      </c>
      <c r="C70" s="31" t="s">
        <v>2</v>
      </c>
      <c r="D70" s="31" t="s">
        <v>3</v>
      </c>
      <c r="E70" s="239" t="s">
        <v>4</v>
      </c>
      <c r="F70" s="239" t="s">
        <v>5</v>
      </c>
    </row>
    <row r="71" spans="1:6" x14ac:dyDescent="0.25">
      <c r="A71" s="621" t="s">
        <v>44</v>
      </c>
      <c r="B71" s="622"/>
    </row>
    <row r="72" spans="1:6" x14ac:dyDescent="0.25">
      <c r="B72" s="14" t="s">
        <v>45</v>
      </c>
    </row>
    <row r="73" spans="1:6" x14ac:dyDescent="0.25">
      <c r="B73" s="14" t="s">
        <v>46</v>
      </c>
    </row>
    <row r="74" spans="1:6" ht="30" x14ac:dyDescent="0.25">
      <c r="B74" s="14" t="s">
        <v>47</v>
      </c>
      <c r="D74" s="15" t="s">
        <v>48</v>
      </c>
    </row>
    <row r="75" spans="1:6" ht="75" x14ac:dyDescent="0.25">
      <c r="B75" s="14" t="s">
        <v>49</v>
      </c>
      <c r="D75" s="15" t="s">
        <v>48</v>
      </c>
    </row>
    <row r="76" spans="1:6" ht="90" x14ac:dyDescent="0.25">
      <c r="B76" s="14" t="s">
        <v>50</v>
      </c>
      <c r="D76" s="15" t="s">
        <v>48</v>
      </c>
    </row>
    <row r="77" spans="1:6" x14ac:dyDescent="0.25">
      <c r="A77" s="13">
        <v>1</v>
      </c>
      <c r="B77" s="14" t="s">
        <v>72</v>
      </c>
      <c r="C77" s="316">
        <v>1405</v>
      </c>
      <c r="D77" s="15" t="s">
        <v>62</v>
      </c>
      <c r="E77" s="16">
        <v>590</v>
      </c>
      <c r="F77" s="16">
        <f>(C77*E77)</f>
        <v>828950</v>
      </c>
    </row>
    <row r="78" spans="1:6" x14ac:dyDescent="0.25">
      <c r="A78" s="13">
        <v>2</v>
      </c>
      <c r="B78" s="14" t="s">
        <v>73</v>
      </c>
      <c r="C78" s="316">
        <v>1157</v>
      </c>
      <c r="D78" s="15" t="s">
        <v>62</v>
      </c>
      <c r="E78" s="16">
        <v>590</v>
      </c>
      <c r="F78" s="16">
        <f>(C78*E78)</f>
        <v>682630</v>
      </c>
    </row>
    <row r="79" spans="1:6" x14ac:dyDescent="0.25">
      <c r="A79" s="13">
        <v>3</v>
      </c>
      <c r="B79" s="14" t="s">
        <v>54</v>
      </c>
      <c r="C79" s="316">
        <v>1833</v>
      </c>
      <c r="D79" s="15" t="s">
        <v>62</v>
      </c>
      <c r="E79" s="16">
        <v>590</v>
      </c>
      <c r="F79" s="16">
        <f>(C79*E79)</f>
        <v>1081470</v>
      </c>
    </row>
    <row r="80" spans="1:6" x14ac:dyDescent="0.25">
      <c r="A80" s="621" t="s">
        <v>53</v>
      </c>
      <c r="B80" s="622"/>
    </row>
    <row r="81" spans="1:21" x14ac:dyDescent="0.25">
      <c r="B81" s="14" t="s">
        <v>45</v>
      </c>
    </row>
    <row r="82" spans="1:21" x14ac:dyDescent="0.25">
      <c r="B82" s="14" t="s">
        <v>55</v>
      </c>
    </row>
    <row r="83" spans="1:21" x14ac:dyDescent="0.25">
      <c r="B83" s="14" t="s">
        <v>56</v>
      </c>
    </row>
    <row r="84" spans="1:21" x14ac:dyDescent="0.25">
      <c r="B84" s="14" t="s">
        <v>57</v>
      </c>
      <c r="D84" s="15" t="s">
        <v>48</v>
      </c>
    </row>
    <row r="85" spans="1:21" ht="30" x14ac:dyDescent="0.25">
      <c r="B85" s="14" t="s">
        <v>58</v>
      </c>
      <c r="D85" s="15" t="s">
        <v>48</v>
      </c>
    </row>
    <row r="86" spans="1:21" ht="30" x14ac:dyDescent="0.25">
      <c r="B86" s="14" t="s">
        <v>59</v>
      </c>
      <c r="D86" s="15" t="s">
        <v>48</v>
      </c>
    </row>
    <row r="87" spans="1:21" ht="30" x14ac:dyDescent="0.25">
      <c r="B87" s="14" t="s">
        <v>74</v>
      </c>
      <c r="D87" s="15" t="s">
        <v>48</v>
      </c>
    </row>
    <row r="88" spans="1:21" ht="30" x14ac:dyDescent="0.25">
      <c r="B88" s="14" t="s">
        <v>60</v>
      </c>
      <c r="D88" s="15" t="s">
        <v>48</v>
      </c>
    </row>
    <row r="89" spans="1:21" x14ac:dyDescent="0.25">
      <c r="B89" s="14" t="s">
        <v>51</v>
      </c>
      <c r="C89" s="316">
        <v>4.8</v>
      </c>
      <c r="D89" s="15" t="s">
        <v>75</v>
      </c>
      <c r="E89" s="16">
        <v>145000</v>
      </c>
      <c r="F89" s="16">
        <f>(C89*E89)</f>
        <v>696000</v>
      </c>
      <c r="H89" s="44"/>
      <c r="J89" s="44"/>
      <c r="K89" s="45"/>
      <c r="L89" s="44"/>
      <c r="M89" s="216"/>
      <c r="N89" s="44"/>
      <c r="O89" s="45"/>
      <c r="P89" s="44"/>
      <c r="Q89" s="45"/>
      <c r="R89" s="44"/>
      <c r="S89" s="45"/>
      <c r="T89" s="44"/>
      <c r="U89" s="45"/>
    </row>
    <row r="90" spans="1:21" x14ac:dyDescent="0.25">
      <c r="B90" s="14" t="s">
        <v>52</v>
      </c>
      <c r="C90" s="316">
        <v>5.45</v>
      </c>
      <c r="D90" s="15" t="s">
        <v>75</v>
      </c>
      <c r="E90" s="16">
        <v>145000</v>
      </c>
      <c r="F90" s="16">
        <f>(C90*E90)</f>
        <v>790250</v>
      </c>
      <c r="H90" s="45"/>
      <c r="J90" s="45"/>
      <c r="K90" s="44"/>
      <c r="L90" s="45"/>
      <c r="M90" s="217"/>
      <c r="N90" s="45"/>
      <c r="O90" s="44"/>
      <c r="P90" s="45"/>
      <c r="Q90" s="44"/>
      <c r="R90" s="45"/>
      <c r="S90" s="44"/>
      <c r="T90" s="45"/>
      <c r="U90" s="44"/>
    </row>
    <row r="91" spans="1:21" x14ac:dyDescent="0.25">
      <c r="B91" s="14" t="s">
        <v>61</v>
      </c>
      <c r="C91" s="316">
        <v>8.8000000000000007</v>
      </c>
      <c r="D91" s="15" t="s">
        <v>75</v>
      </c>
      <c r="E91" s="16">
        <v>145000</v>
      </c>
      <c r="F91" s="16">
        <f>(C91*E91)</f>
        <v>1276000</v>
      </c>
      <c r="H91" s="44"/>
      <c r="J91" s="44"/>
      <c r="K91" s="45"/>
      <c r="L91" s="44"/>
      <c r="M91" s="216"/>
      <c r="N91" s="44"/>
      <c r="O91" s="45"/>
      <c r="P91" s="44"/>
      <c r="Q91" s="45"/>
      <c r="R91" s="44"/>
      <c r="S91" s="45"/>
      <c r="T91" s="44"/>
      <c r="U91" s="45"/>
    </row>
    <row r="92" spans="1:21" x14ac:dyDescent="0.25">
      <c r="A92" s="621" t="s">
        <v>63</v>
      </c>
      <c r="B92" s="622"/>
      <c r="H92" s="45"/>
      <c r="J92" s="45"/>
      <c r="K92" s="44"/>
      <c r="L92" s="45"/>
      <c r="M92" s="217"/>
      <c r="N92" s="45"/>
      <c r="O92" s="44"/>
      <c r="P92" s="45"/>
      <c r="Q92" s="44"/>
      <c r="R92" s="45"/>
      <c r="S92" s="44"/>
      <c r="T92" s="45"/>
      <c r="U92" s="44"/>
    </row>
    <row r="93" spans="1:21" x14ac:dyDescent="0.25">
      <c r="B93" s="14" t="s">
        <v>45</v>
      </c>
      <c r="H93" s="44"/>
      <c r="J93" s="44"/>
      <c r="K93" s="45"/>
      <c r="L93" s="44"/>
      <c r="M93" s="216"/>
      <c r="N93" s="44"/>
      <c r="O93" s="45"/>
      <c r="P93" s="44"/>
      <c r="Q93" s="45"/>
      <c r="R93" s="44"/>
      <c r="S93" s="45"/>
      <c r="T93" s="44"/>
      <c r="U93" s="45"/>
    </row>
    <row r="94" spans="1:21" ht="75" x14ac:dyDescent="0.25">
      <c r="B94" s="14" t="s">
        <v>64</v>
      </c>
      <c r="D94" s="15" t="s">
        <v>48</v>
      </c>
    </row>
    <row r="95" spans="1:21" ht="45" x14ac:dyDescent="0.25">
      <c r="B95" s="14" t="s">
        <v>65</v>
      </c>
    </row>
    <row r="96" spans="1:21" x14ac:dyDescent="0.25">
      <c r="B96" s="14" t="s">
        <v>66</v>
      </c>
      <c r="D96" s="15" t="s">
        <v>48</v>
      </c>
    </row>
    <row r="97" spans="1:6" ht="45" x14ac:dyDescent="0.25">
      <c r="B97" s="14" t="s">
        <v>67</v>
      </c>
    </row>
    <row r="98" spans="1:6" x14ac:dyDescent="0.25">
      <c r="B98" s="14" t="s">
        <v>68</v>
      </c>
      <c r="D98" s="15" t="s">
        <v>48</v>
      </c>
    </row>
    <row r="99" spans="1:6" x14ac:dyDescent="0.25">
      <c r="B99" s="14" t="s">
        <v>69</v>
      </c>
      <c r="C99" s="316">
        <v>4.2</v>
      </c>
      <c r="D99" s="15" t="s">
        <v>76</v>
      </c>
      <c r="E99" s="16">
        <v>38000</v>
      </c>
      <c r="F99" s="16">
        <f>(C99*E99)</f>
        <v>159600</v>
      </c>
    </row>
    <row r="100" spans="1:6" x14ac:dyDescent="0.25">
      <c r="B100" s="14" t="s">
        <v>70</v>
      </c>
      <c r="C100" s="316">
        <v>5.7</v>
      </c>
      <c r="D100" s="15" t="s">
        <v>76</v>
      </c>
      <c r="E100" s="16">
        <v>39500</v>
      </c>
      <c r="F100" s="16">
        <f>(C100*E100)</f>
        <v>225150</v>
      </c>
    </row>
    <row r="101" spans="1:6" x14ac:dyDescent="0.25">
      <c r="B101" s="14" t="s">
        <v>71</v>
      </c>
      <c r="C101" s="316">
        <v>27.4</v>
      </c>
      <c r="D101" s="15" t="s">
        <v>76</v>
      </c>
      <c r="E101" s="16">
        <v>38000</v>
      </c>
      <c r="F101" s="16">
        <f>(C101*E101)</f>
        <v>1041200</v>
      </c>
    </row>
    <row r="103" spans="1:6" ht="15.75" x14ac:dyDescent="0.25">
      <c r="B103" s="35" t="s">
        <v>10</v>
      </c>
      <c r="C103" s="317"/>
      <c r="D103" s="36"/>
      <c r="E103" s="240"/>
      <c r="F103" s="240">
        <f>SUM(F99:F101,F89:F91,F77:F79)</f>
        <v>6781250</v>
      </c>
    </row>
    <row r="104" spans="1:6" x14ac:dyDescent="0.25">
      <c r="B104" s="29"/>
      <c r="D104" s="29"/>
    </row>
    <row r="105" spans="1:6" x14ac:dyDescent="0.25">
      <c r="A105" s="30" t="s">
        <v>0</v>
      </c>
      <c r="B105" s="18" t="s">
        <v>1</v>
      </c>
      <c r="C105" s="31" t="s">
        <v>2</v>
      </c>
      <c r="D105" s="31" t="s">
        <v>3</v>
      </c>
      <c r="E105" s="239" t="s">
        <v>4</v>
      </c>
      <c r="F105" s="239" t="s">
        <v>5</v>
      </c>
    </row>
    <row r="106" spans="1:6" ht="60" x14ac:dyDescent="0.25">
      <c r="A106" s="13">
        <v>1</v>
      </c>
      <c r="B106" s="29" t="s">
        <v>77</v>
      </c>
      <c r="C106" s="316">
        <v>5550</v>
      </c>
      <c r="D106" s="29" t="s">
        <v>9</v>
      </c>
      <c r="E106" s="16">
        <v>140</v>
      </c>
      <c r="F106" s="16">
        <f t="shared" ref="F106:F113" si="3">(C106*E106)</f>
        <v>777000</v>
      </c>
    </row>
    <row r="107" spans="1:6" ht="45" x14ac:dyDescent="0.25">
      <c r="A107" s="13">
        <v>2</v>
      </c>
      <c r="B107" s="29" t="s">
        <v>78</v>
      </c>
      <c r="C107" s="316">
        <v>3080</v>
      </c>
      <c r="D107" s="29" t="s">
        <v>9</v>
      </c>
      <c r="E107" s="16">
        <v>140</v>
      </c>
      <c r="F107" s="16">
        <f t="shared" si="3"/>
        <v>431200</v>
      </c>
    </row>
    <row r="108" spans="1:6" ht="60" x14ac:dyDescent="0.25">
      <c r="A108" s="13">
        <v>3</v>
      </c>
      <c r="B108" s="14" t="s">
        <v>79</v>
      </c>
      <c r="C108" s="316">
        <v>5850</v>
      </c>
      <c r="D108" s="15" t="s">
        <v>9</v>
      </c>
      <c r="E108" s="16">
        <v>190</v>
      </c>
      <c r="F108" s="16">
        <f t="shared" si="3"/>
        <v>1111500</v>
      </c>
    </row>
    <row r="109" spans="1:6" ht="30" x14ac:dyDescent="0.25">
      <c r="A109" s="13">
        <v>4</v>
      </c>
      <c r="B109" s="14" t="s">
        <v>80</v>
      </c>
      <c r="C109" s="316">
        <v>3080</v>
      </c>
      <c r="D109" s="15" t="s">
        <v>9</v>
      </c>
      <c r="E109" s="16">
        <v>95</v>
      </c>
      <c r="F109" s="16">
        <f t="shared" si="3"/>
        <v>292600</v>
      </c>
    </row>
    <row r="110" spans="1:6" ht="45" x14ac:dyDescent="0.25">
      <c r="A110" s="13">
        <v>5</v>
      </c>
      <c r="B110" s="14" t="s">
        <v>81</v>
      </c>
      <c r="C110" s="316">
        <v>2720</v>
      </c>
      <c r="D110" s="15" t="s">
        <v>9</v>
      </c>
      <c r="E110" s="16">
        <v>145</v>
      </c>
      <c r="F110" s="16">
        <f t="shared" si="3"/>
        <v>394400</v>
      </c>
    </row>
    <row r="111" spans="1:6" ht="60" x14ac:dyDescent="0.25">
      <c r="A111" s="13">
        <v>6</v>
      </c>
      <c r="B111" s="14" t="s">
        <v>82</v>
      </c>
      <c r="C111" s="316">
        <v>2460</v>
      </c>
      <c r="D111" s="15" t="s">
        <v>9</v>
      </c>
      <c r="E111" s="16">
        <v>610</v>
      </c>
      <c r="F111" s="16">
        <f t="shared" si="3"/>
        <v>1500600</v>
      </c>
    </row>
    <row r="112" spans="1:6" ht="45" x14ac:dyDescent="0.25">
      <c r="A112" s="13">
        <v>7</v>
      </c>
      <c r="B112" s="14" t="s">
        <v>83</v>
      </c>
      <c r="C112" s="316">
        <v>448</v>
      </c>
      <c r="D112" s="15" t="s">
        <v>9</v>
      </c>
      <c r="E112" s="16">
        <v>575</v>
      </c>
      <c r="F112" s="16">
        <f t="shared" si="3"/>
        <v>257600</v>
      </c>
    </row>
    <row r="113" spans="1:6" ht="60" x14ac:dyDescent="0.25">
      <c r="A113" s="13">
        <v>8</v>
      </c>
      <c r="B113" s="14" t="s">
        <v>84</v>
      </c>
      <c r="C113" s="316">
        <v>2</v>
      </c>
      <c r="D113" s="15" t="s">
        <v>85</v>
      </c>
      <c r="E113" s="16">
        <v>210000</v>
      </c>
      <c r="F113" s="16">
        <f t="shared" si="3"/>
        <v>420000</v>
      </c>
    </row>
    <row r="115" spans="1:6" x14ac:dyDescent="0.25">
      <c r="B115" s="14" t="s">
        <v>10</v>
      </c>
      <c r="F115" s="16">
        <f>SUM(F106:F114)</f>
        <v>5184900</v>
      </c>
    </row>
    <row r="117" spans="1:6" x14ac:dyDescent="0.25">
      <c r="A117" s="30" t="s">
        <v>0</v>
      </c>
      <c r="B117" s="18" t="s">
        <v>1</v>
      </c>
      <c r="C117" s="31" t="s">
        <v>2</v>
      </c>
      <c r="D117" s="31" t="s">
        <v>3</v>
      </c>
      <c r="E117" s="239" t="s">
        <v>4</v>
      </c>
      <c r="F117" s="239" t="s">
        <v>5</v>
      </c>
    </row>
    <row r="118" spans="1:6" ht="60" x14ac:dyDescent="0.25">
      <c r="A118" s="13">
        <v>1</v>
      </c>
      <c r="B118" s="14" t="s">
        <v>86</v>
      </c>
      <c r="C118" s="316">
        <v>2780</v>
      </c>
      <c r="D118" s="15" t="s">
        <v>31</v>
      </c>
      <c r="E118" s="16">
        <v>320</v>
      </c>
      <c r="F118" s="16">
        <f t="shared" ref="F118:F125" si="4">(C118*E118)</f>
        <v>889600</v>
      </c>
    </row>
    <row r="119" spans="1:6" ht="45" x14ac:dyDescent="0.25">
      <c r="A119" s="13">
        <v>2</v>
      </c>
      <c r="B119" s="14" t="s">
        <v>93</v>
      </c>
      <c r="C119" s="316">
        <v>1485</v>
      </c>
      <c r="D119" s="15" t="s">
        <v>31</v>
      </c>
      <c r="E119" s="16">
        <v>160</v>
      </c>
      <c r="F119" s="16">
        <f t="shared" si="4"/>
        <v>237600</v>
      </c>
    </row>
    <row r="120" spans="1:6" ht="75" x14ac:dyDescent="0.25">
      <c r="A120" s="13">
        <v>3</v>
      </c>
      <c r="B120" s="14" t="s">
        <v>87</v>
      </c>
      <c r="C120" s="316">
        <v>1650</v>
      </c>
      <c r="D120" s="15" t="s">
        <v>31</v>
      </c>
      <c r="E120" s="16">
        <v>220</v>
      </c>
      <c r="F120" s="16">
        <f t="shared" si="4"/>
        <v>363000</v>
      </c>
    </row>
    <row r="121" spans="1:6" ht="30" x14ac:dyDescent="0.25">
      <c r="A121" s="13">
        <v>4</v>
      </c>
      <c r="B121" s="14" t="s">
        <v>88</v>
      </c>
      <c r="C121" s="316">
        <v>1</v>
      </c>
      <c r="D121" s="15" t="s">
        <v>11</v>
      </c>
      <c r="E121" s="16">
        <v>19500</v>
      </c>
      <c r="F121" s="16">
        <f t="shared" si="4"/>
        <v>19500</v>
      </c>
    </row>
    <row r="122" spans="1:6" ht="60" x14ac:dyDescent="0.25">
      <c r="A122" s="13">
        <v>5</v>
      </c>
      <c r="B122" s="14" t="s">
        <v>89</v>
      </c>
      <c r="C122" s="316">
        <v>1086</v>
      </c>
      <c r="D122" s="15" t="s">
        <v>31</v>
      </c>
      <c r="E122" s="16">
        <v>130</v>
      </c>
      <c r="F122" s="16">
        <f t="shared" si="4"/>
        <v>141180</v>
      </c>
    </row>
    <row r="123" spans="1:6" ht="75" x14ac:dyDescent="0.25">
      <c r="A123" s="13">
        <v>6</v>
      </c>
      <c r="B123" s="14" t="s">
        <v>90</v>
      </c>
      <c r="C123" s="316">
        <v>434</v>
      </c>
      <c r="D123" s="15" t="s">
        <v>31</v>
      </c>
      <c r="E123" s="16">
        <v>360</v>
      </c>
      <c r="F123" s="16">
        <f t="shared" si="4"/>
        <v>156240</v>
      </c>
    </row>
    <row r="124" spans="1:6" ht="30" x14ac:dyDescent="0.25">
      <c r="A124" s="13">
        <v>7</v>
      </c>
      <c r="B124" s="14" t="s">
        <v>91</v>
      </c>
      <c r="C124" s="316">
        <v>1</v>
      </c>
      <c r="D124" s="15" t="s">
        <v>11</v>
      </c>
      <c r="E124" s="16">
        <v>27500</v>
      </c>
      <c r="F124" s="16">
        <f t="shared" si="4"/>
        <v>27500</v>
      </c>
    </row>
    <row r="125" spans="1:6" ht="45" x14ac:dyDescent="0.25">
      <c r="A125" s="13">
        <v>8</v>
      </c>
      <c r="B125" s="14" t="s">
        <v>92</v>
      </c>
      <c r="C125" s="316">
        <v>396</v>
      </c>
      <c r="D125" s="15" t="s">
        <v>31</v>
      </c>
      <c r="E125" s="16">
        <v>410</v>
      </c>
      <c r="F125" s="16">
        <f t="shared" si="4"/>
        <v>162360</v>
      </c>
    </row>
    <row r="127" spans="1:6" x14ac:dyDescent="0.25">
      <c r="B127" s="14" t="s">
        <v>10</v>
      </c>
      <c r="F127" s="16">
        <f>SUM(F118:F125)</f>
        <v>1996980</v>
      </c>
    </row>
    <row r="129" spans="1:6" x14ac:dyDescent="0.25">
      <c r="A129" s="30" t="s">
        <v>0</v>
      </c>
      <c r="B129" s="18" t="s">
        <v>1</v>
      </c>
      <c r="C129" s="31" t="s">
        <v>2</v>
      </c>
      <c r="D129" s="31" t="s">
        <v>3</v>
      </c>
      <c r="E129" s="239" t="s">
        <v>4</v>
      </c>
      <c r="F129" s="239" t="s">
        <v>5</v>
      </c>
    </row>
    <row r="130" spans="1:6" ht="45" x14ac:dyDescent="0.25">
      <c r="A130" s="13">
        <v>1</v>
      </c>
      <c r="B130" s="14" t="s">
        <v>94</v>
      </c>
      <c r="C130" s="316">
        <v>2610</v>
      </c>
      <c r="D130" s="15" t="s">
        <v>9</v>
      </c>
      <c r="E130" s="16">
        <v>490</v>
      </c>
      <c r="F130" s="16">
        <f t="shared" ref="F130:F135" si="5">(C130*E130)</f>
        <v>1278900</v>
      </c>
    </row>
    <row r="131" spans="1:6" ht="45" x14ac:dyDescent="0.25">
      <c r="A131" s="13">
        <v>2</v>
      </c>
      <c r="B131" s="14" t="s">
        <v>95</v>
      </c>
      <c r="C131" s="316">
        <v>95</v>
      </c>
      <c r="D131" s="15" t="s">
        <v>33</v>
      </c>
      <c r="E131" s="16">
        <v>620</v>
      </c>
      <c r="F131" s="16">
        <f t="shared" si="5"/>
        <v>58900</v>
      </c>
    </row>
    <row r="132" spans="1:6" ht="45" x14ac:dyDescent="0.25">
      <c r="A132" s="13">
        <v>3</v>
      </c>
      <c r="B132" s="14" t="s">
        <v>96</v>
      </c>
      <c r="C132" s="316">
        <v>3930</v>
      </c>
      <c r="D132" s="15" t="s">
        <v>9</v>
      </c>
      <c r="E132" s="16">
        <v>330</v>
      </c>
      <c r="F132" s="16">
        <f t="shared" si="5"/>
        <v>1296900</v>
      </c>
    </row>
    <row r="133" spans="1:6" ht="45" x14ac:dyDescent="0.25">
      <c r="A133" s="13">
        <v>4</v>
      </c>
      <c r="B133" s="14" t="s">
        <v>97</v>
      </c>
      <c r="C133" s="316">
        <v>1720</v>
      </c>
      <c r="D133" s="15" t="s">
        <v>9</v>
      </c>
      <c r="E133" s="16">
        <v>230</v>
      </c>
      <c r="F133" s="16">
        <f t="shared" si="5"/>
        <v>395600</v>
      </c>
    </row>
    <row r="134" spans="1:6" ht="45" x14ac:dyDescent="0.25">
      <c r="A134" s="13">
        <v>5</v>
      </c>
      <c r="B134" s="14" t="s">
        <v>93</v>
      </c>
      <c r="C134" s="316">
        <v>1485</v>
      </c>
      <c r="D134" s="15" t="s">
        <v>31</v>
      </c>
      <c r="E134" s="16">
        <v>160</v>
      </c>
      <c r="F134" s="16">
        <f t="shared" si="5"/>
        <v>237600</v>
      </c>
    </row>
    <row r="135" spans="1:6" ht="30" x14ac:dyDescent="0.25">
      <c r="A135" s="13">
        <v>6</v>
      </c>
      <c r="B135" s="14" t="s">
        <v>98</v>
      </c>
      <c r="C135" s="316">
        <v>1572</v>
      </c>
      <c r="D135" s="15" t="s">
        <v>9</v>
      </c>
      <c r="E135" s="16">
        <v>140</v>
      </c>
      <c r="F135" s="16">
        <f t="shared" si="5"/>
        <v>220080</v>
      </c>
    </row>
    <row r="137" spans="1:6" x14ac:dyDescent="0.25">
      <c r="B137" s="14" t="s">
        <v>10</v>
      </c>
      <c r="F137" s="16">
        <f>SUM(F130:F136)</f>
        <v>3487980</v>
      </c>
    </row>
    <row r="139" spans="1:6" x14ac:dyDescent="0.25">
      <c r="A139" s="30" t="s">
        <v>0</v>
      </c>
      <c r="B139" s="18" t="s">
        <v>1</v>
      </c>
      <c r="C139" s="31" t="s">
        <v>2</v>
      </c>
      <c r="D139" s="31" t="s">
        <v>3</v>
      </c>
      <c r="E139" s="239" t="s">
        <v>4</v>
      </c>
      <c r="F139" s="239" t="s">
        <v>5</v>
      </c>
    </row>
    <row r="140" spans="1:6" ht="45" x14ac:dyDescent="0.25">
      <c r="A140" s="13">
        <v>1</v>
      </c>
      <c r="B140" s="14" t="s">
        <v>99</v>
      </c>
      <c r="C140" s="316">
        <v>1</v>
      </c>
      <c r="D140" s="15" t="s">
        <v>11</v>
      </c>
      <c r="E140" s="16">
        <v>54500</v>
      </c>
      <c r="F140" s="16">
        <f t="shared" ref="F140:F147" si="6">(C140*E140)</f>
        <v>54500</v>
      </c>
    </row>
    <row r="141" spans="1:6" ht="45" x14ac:dyDescent="0.25">
      <c r="A141" s="13">
        <v>2</v>
      </c>
      <c r="B141" s="14" t="s">
        <v>100</v>
      </c>
      <c r="C141" s="316">
        <v>2870</v>
      </c>
      <c r="D141" s="15" t="s">
        <v>9</v>
      </c>
      <c r="E141" s="16">
        <v>110</v>
      </c>
      <c r="F141" s="16">
        <f t="shared" si="6"/>
        <v>315700</v>
      </c>
    </row>
    <row r="142" spans="1:6" ht="30" x14ac:dyDescent="0.25">
      <c r="A142" s="13">
        <v>3</v>
      </c>
      <c r="B142" s="14" t="s">
        <v>101</v>
      </c>
      <c r="C142" s="316">
        <v>1</v>
      </c>
      <c r="D142" s="15" t="s">
        <v>11</v>
      </c>
      <c r="E142" s="16">
        <v>8500</v>
      </c>
      <c r="F142" s="16">
        <f t="shared" si="6"/>
        <v>8500</v>
      </c>
    </row>
    <row r="143" spans="1:6" ht="30" x14ac:dyDescent="0.25">
      <c r="A143" s="13">
        <v>4</v>
      </c>
      <c r="B143" s="14" t="s">
        <v>102</v>
      </c>
      <c r="C143" s="316">
        <v>1</v>
      </c>
      <c r="D143" s="15" t="s">
        <v>11</v>
      </c>
      <c r="E143" s="16">
        <v>12000</v>
      </c>
      <c r="F143" s="16">
        <f t="shared" si="6"/>
        <v>12000</v>
      </c>
    </row>
    <row r="144" spans="1:6" ht="30" x14ac:dyDescent="0.25">
      <c r="A144" s="13">
        <v>5</v>
      </c>
      <c r="B144" s="14" t="s">
        <v>103</v>
      </c>
      <c r="C144" s="316">
        <v>1</v>
      </c>
      <c r="D144" s="15" t="s">
        <v>11</v>
      </c>
      <c r="E144" s="16">
        <v>21500</v>
      </c>
      <c r="F144" s="16">
        <f t="shared" si="6"/>
        <v>21500</v>
      </c>
    </row>
    <row r="145" spans="1:6" ht="30" x14ac:dyDescent="0.25">
      <c r="A145" s="13">
        <v>6</v>
      </c>
      <c r="B145" s="14" t="s">
        <v>104</v>
      </c>
      <c r="C145" s="316">
        <v>1</v>
      </c>
      <c r="D145" s="15" t="s">
        <v>11</v>
      </c>
      <c r="E145" s="16">
        <v>14500</v>
      </c>
      <c r="F145" s="16">
        <f t="shared" si="6"/>
        <v>14500</v>
      </c>
    </row>
    <row r="146" spans="1:6" ht="30" x14ac:dyDescent="0.25">
      <c r="A146" s="13">
        <v>7</v>
      </c>
      <c r="B146" s="14" t="s">
        <v>105</v>
      </c>
      <c r="C146" s="316">
        <v>340</v>
      </c>
      <c r="D146" s="15" t="s">
        <v>9</v>
      </c>
      <c r="E146" s="16">
        <v>90</v>
      </c>
      <c r="F146" s="16">
        <f t="shared" si="6"/>
        <v>30600</v>
      </c>
    </row>
    <row r="147" spans="1:6" ht="45" x14ac:dyDescent="0.25">
      <c r="A147" s="13">
        <v>8</v>
      </c>
      <c r="B147" s="14" t="s">
        <v>106</v>
      </c>
      <c r="C147" s="316">
        <v>1</v>
      </c>
      <c r="D147" s="15" t="s">
        <v>11</v>
      </c>
      <c r="E147" s="16">
        <v>41500</v>
      </c>
      <c r="F147" s="16">
        <f t="shared" si="6"/>
        <v>41500</v>
      </c>
    </row>
    <row r="149" spans="1:6" x14ac:dyDescent="0.25">
      <c r="B149" s="14" t="s">
        <v>10</v>
      </c>
      <c r="F149" s="16">
        <f>SUM(F140:F147)</f>
        <v>498800</v>
      </c>
    </row>
    <row r="151" spans="1:6" x14ac:dyDescent="0.25">
      <c r="A151" s="30" t="s">
        <v>0</v>
      </c>
      <c r="B151" s="18" t="s">
        <v>1</v>
      </c>
      <c r="C151" s="31" t="s">
        <v>2</v>
      </c>
      <c r="D151" s="31" t="s">
        <v>3</v>
      </c>
      <c r="E151" s="239" t="s">
        <v>4</v>
      </c>
      <c r="F151" s="239" t="s">
        <v>5</v>
      </c>
    </row>
    <row r="152" spans="1:6" ht="75" x14ac:dyDescent="0.25">
      <c r="A152" s="13">
        <v>1</v>
      </c>
      <c r="B152" s="14" t="s">
        <v>107</v>
      </c>
      <c r="C152" s="316">
        <v>1</v>
      </c>
      <c r="D152" s="15" t="s">
        <v>11</v>
      </c>
      <c r="E152" s="16">
        <v>73000</v>
      </c>
      <c r="F152" s="16">
        <f>(C152*E152)</f>
        <v>73000</v>
      </c>
    </row>
    <row r="154" spans="1:6" x14ac:dyDescent="0.25">
      <c r="B154" s="14" t="s">
        <v>10</v>
      </c>
      <c r="F154" s="16">
        <v>73000</v>
      </c>
    </row>
    <row r="156" spans="1:6" x14ac:dyDescent="0.25">
      <c r="A156" s="30" t="s">
        <v>0</v>
      </c>
      <c r="B156" s="18" t="s">
        <v>1</v>
      </c>
      <c r="C156" s="31" t="s">
        <v>2</v>
      </c>
      <c r="D156" s="31" t="s">
        <v>3</v>
      </c>
      <c r="E156" s="239" t="s">
        <v>4</v>
      </c>
      <c r="F156" s="239" t="s">
        <v>5</v>
      </c>
    </row>
    <row r="157" spans="1:6" ht="30" x14ac:dyDescent="0.25">
      <c r="A157" s="13">
        <v>1</v>
      </c>
      <c r="B157" s="14" t="s">
        <v>108</v>
      </c>
      <c r="C157" s="316">
        <v>45</v>
      </c>
      <c r="D157" s="15" t="s">
        <v>9</v>
      </c>
      <c r="E157" s="16">
        <v>1450</v>
      </c>
      <c r="F157" s="16">
        <f>(C157*E157)</f>
        <v>65250</v>
      </c>
    </row>
    <row r="159" spans="1:6" x14ac:dyDescent="0.25">
      <c r="B159" s="14" t="s">
        <v>10</v>
      </c>
      <c r="F159" s="16">
        <v>65250</v>
      </c>
    </row>
    <row r="161" spans="1:6" x14ac:dyDescent="0.25">
      <c r="A161" s="30" t="s">
        <v>0</v>
      </c>
      <c r="B161" s="18" t="s">
        <v>1</v>
      </c>
      <c r="C161" s="31" t="s">
        <v>2</v>
      </c>
      <c r="D161" s="31" t="s">
        <v>3</v>
      </c>
      <c r="E161" s="239" t="s">
        <v>4</v>
      </c>
      <c r="F161" s="239" t="s">
        <v>5</v>
      </c>
    </row>
    <row r="162" spans="1:6" ht="30" x14ac:dyDescent="0.25">
      <c r="A162" s="13">
        <v>1</v>
      </c>
      <c r="B162" s="14" t="s">
        <v>109</v>
      </c>
      <c r="C162" s="316">
        <v>405</v>
      </c>
      <c r="D162" s="15" t="s">
        <v>9</v>
      </c>
      <c r="E162" s="16">
        <v>530</v>
      </c>
      <c r="F162" s="16">
        <f>(C162*E162)</f>
        <v>214650</v>
      </c>
    </row>
    <row r="163" spans="1:6" ht="30" x14ac:dyDescent="0.25">
      <c r="A163" s="13">
        <v>2</v>
      </c>
      <c r="B163" s="14" t="s">
        <v>110</v>
      </c>
      <c r="C163" s="316">
        <v>26</v>
      </c>
      <c r="D163" s="15" t="s">
        <v>33</v>
      </c>
      <c r="E163" s="16">
        <v>950</v>
      </c>
      <c r="F163" s="16">
        <f>(C163*E163)</f>
        <v>24700</v>
      </c>
    </row>
    <row r="164" spans="1:6" ht="45" x14ac:dyDescent="0.25">
      <c r="A164" s="13">
        <v>3</v>
      </c>
      <c r="B164" s="14" t="s">
        <v>111</v>
      </c>
      <c r="C164" s="316">
        <v>510</v>
      </c>
      <c r="D164" s="15" t="s">
        <v>9</v>
      </c>
      <c r="E164" s="16">
        <v>240</v>
      </c>
      <c r="F164" s="16">
        <f>(C164*E164)</f>
        <v>122400</v>
      </c>
    </row>
    <row r="165" spans="1:6" ht="60" x14ac:dyDescent="0.25">
      <c r="A165" s="13">
        <v>4</v>
      </c>
      <c r="B165" s="14" t="s">
        <v>112</v>
      </c>
      <c r="C165" s="316">
        <v>1</v>
      </c>
      <c r="D165" s="15" t="s">
        <v>11</v>
      </c>
      <c r="E165" s="16">
        <v>265000</v>
      </c>
      <c r="F165" s="16">
        <f>(C165*E165)</f>
        <v>265000</v>
      </c>
    </row>
    <row r="167" spans="1:6" x14ac:dyDescent="0.25">
      <c r="B167" s="14" t="s">
        <v>10</v>
      </c>
      <c r="F167" s="16">
        <f>SUM(F162:F165)</f>
        <v>626750</v>
      </c>
    </row>
    <row r="169" spans="1:6" x14ac:dyDescent="0.25">
      <c r="A169" s="30" t="s">
        <v>0</v>
      </c>
      <c r="B169" s="18" t="s">
        <v>1</v>
      </c>
      <c r="C169" s="31" t="s">
        <v>2</v>
      </c>
      <c r="D169" s="31" t="s">
        <v>3</v>
      </c>
      <c r="E169" s="239" t="s">
        <v>4</v>
      </c>
      <c r="F169" s="239" t="s">
        <v>5</v>
      </c>
    </row>
    <row r="170" spans="1:6" ht="60" x14ac:dyDescent="0.25">
      <c r="A170" s="13">
        <v>1</v>
      </c>
      <c r="B170" s="14" t="s">
        <v>113</v>
      </c>
      <c r="C170" s="316">
        <v>1</v>
      </c>
      <c r="D170" s="15" t="s">
        <v>11</v>
      </c>
      <c r="E170" s="16">
        <v>72000</v>
      </c>
      <c r="F170" s="16">
        <f>(C170*E170)</f>
        <v>72000</v>
      </c>
    </row>
    <row r="172" spans="1:6" x14ac:dyDescent="0.25">
      <c r="B172" s="14" t="s">
        <v>10</v>
      </c>
      <c r="F172" s="16">
        <v>72000</v>
      </c>
    </row>
    <row r="174" spans="1:6" x14ac:dyDescent="0.25">
      <c r="A174" s="30" t="s">
        <v>0</v>
      </c>
      <c r="B174" s="18" t="s">
        <v>1</v>
      </c>
      <c r="C174" s="31" t="s">
        <v>2</v>
      </c>
      <c r="D174" s="31" t="s">
        <v>3</v>
      </c>
      <c r="E174" s="239" t="s">
        <v>4</v>
      </c>
      <c r="F174" s="239" t="s">
        <v>5</v>
      </c>
    </row>
    <row r="175" spans="1:6" ht="30" x14ac:dyDescent="0.25">
      <c r="A175" s="13">
        <v>1</v>
      </c>
      <c r="B175" s="14" t="s">
        <v>114</v>
      </c>
      <c r="C175" s="316">
        <v>1</v>
      </c>
      <c r="D175" s="15" t="s">
        <v>11</v>
      </c>
      <c r="E175" s="16">
        <v>65000</v>
      </c>
      <c r="F175" s="16">
        <f>(C175*E175)</f>
        <v>65000</v>
      </c>
    </row>
    <row r="176" spans="1:6" ht="45" x14ac:dyDescent="0.25">
      <c r="A176" s="13">
        <v>2</v>
      </c>
      <c r="B176" s="14" t="s">
        <v>115</v>
      </c>
      <c r="C176" s="316">
        <v>7.74</v>
      </c>
      <c r="D176" s="15" t="s">
        <v>30</v>
      </c>
      <c r="E176" s="16">
        <v>15000</v>
      </c>
      <c r="F176" s="16">
        <f>(C176*E176)</f>
        <v>116100</v>
      </c>
    </row>
    <row r="177" spans="1:6" ht="30" x14ac:dyDescent="0.25">
      <c r="A177" s="13">
        <v>3</v>
      </c>
      <c r="B177" s="14" t="s">
        <v>116</v>
      </c>
      <c r="C177" s="316">
        <v>258</v>
      </c>
      <c r="D177" s="15" t="s">
        <v>31</v>
      </c>
      <c r="E177" s="16">
        <v>220</v>
      </c>
      <c r="F177" s="16">
        <f>(C177*E177)</f>
        <v>56760</v>
      </c>
    </row>
    <row r="178" spans="1:6" ht="45" x14ac:dyDescent="0.25">
      <c r="A178" s="13">
        <v>4</v>
      </c>
      <c r="B178" s="14" t="s">
        <v>117</v>
      </c>
      <c r="C178" s="316">
        <v>20</v>
      </c>
      <c r="D178" s="15" t="s">
        <v>127</v>
      </c>
      <c r="E178" s="16">
        <v>23000</v>
      </c>
      <c r="F178" s="16">
        <f>(C178*E178)</f>
        <v>460000</v>
      </c>
    </row>
    <row r="179" spans="1:6" ht="45" x14ac:dyDescent="0.25">
      <c r="A179" s="13">
        <v>5</v>
      </c>
      <c r="B179" s="14" t="s">
        <v>118</v>
      </c>
      <c r="C179" s="316">
        <v>290</v>
      </c>
      <c r="D179" s="15" t="s">
        <v>33</v>
      </c>
      <c r="E179" s="16">
        <v>1650</v>
      </c>
      <c r="F179" s="16">
        <f>(C179*E179)</f>
        <v>478500</v>
      </c>
    </row>
    <row r="180" spans="1:6" ht="45" x14ac:dyDescent="0.25">
      <c r="A180" s="13">
        <v>6</v>
      </c>
      <c r="B180" s="14" t="s">
        <v>119</v>
      </c>
      <c r="C180" s="316">
        <v>200</v>
      </c>
      <c r="D180" s="15" t="s">
        <v>33</v>
      </c>
      <c r="E180" s="16">
        <v>1650</v>
      </c>
      <c r="F180" s="16">
        <f t="shared" ref="F180:F185" si="7">(C180*E180)</f>
        <v>330000</v>
      </c>
    </row>
    <row r="181" spans="1:6" ht="30" x14ac:dyDescent="0.25">
      <c r="A181" s="13">
        <v>7</v>
      </c>
      <c r="B181" s="14" t="s">
        <v>120</v>
      </c>
      <c r="C181" s="316">
        <v>140</v>
      </c>
      <c r="D181" s="15" t="s">
        <v>31</v>
      </c>
      <c r="E181" s="16">
        <v>480</v>
      </c>
      <c r="F181" s="16">
        <f t="shared" si="7"/>
        <v>67200</v>
      </c>
    </row>
    <row r="182" spans="1:6" ht="45" x14ac:dyDescent="0.25">
      <c r="A182" s="13">
        <v>8</v>
      </c>
      <c r="B182" s="14" t="s">
        <v>121</v>
      </c>
      <c r="C182" s="316">
        <v>393</v>
      </c>
      <c r="D182" s="15" t="s">
        <v>33</v>
      </c>
      <c r="E182" s="16">
        <v>1750</v>
      </c>
      <c r="F182" s="16">
        <f t="shared" si="7"/>
        <v>687750</v>
      </c>
    </row>
    <row r="183" spans="1:6" ht="60" x14ac:dyDescent="0.25">
      <c r="A183" s="13">
        <v>9</v>
      </c>
      <c r="B183" s="14" t="s">
        <v>122</v>
      </c>
      <c r="C183" s="316">
        <v>1830</v>
      </c>
      <c r="D183" s="15" t="s">
        <v>31</v>
      </c>
      <c r="E183" s="16">
        <v>1400</v>
      </c>
      <c r="F183" s="16">
        <f t="shared" si="7"/>
        <v>2562000</v>
      </c>
    </row>
    <row r="184" spans="1:6" ht="45" x14ac:dyDescent="0.25">
      <c r="A184" s="13">
        <v>10</v>
      </c>
      <c r="B184" s="14" t="s">
        <v>123</v>
      </c>
      <c r="C184" s="316">
        <v>1</v>
      </c>
      <c r="D184" s="15" t="s">
        <v>11</v>
      </c>
      <c r="E184" s="16">
        <v>245000</v>
      </c>
      <c r="F184" s="16">
        <f t="shared" si="7"/>
        <v>245000</v>
      </c>
    </row>
    <row r="185" spans="1:6" ht="45" x14ac:dyDescent="0.25">
      <c r="A185" s="13">
        <v>11</v>
      </c>
      <c r="B185" s="14" t="s">
        <v>124</v>
      </c>
      <c r="C185" s="316">
        <v>695</v>
      </c>
      <c r="D185" s="15" t="s">
        <v>31</v>
      </c>
      <c r="E185" s="16">
        <v>440</v>
      </c>
      <c r="F185" s="16">
        <f t="shared" si="7"/>
        <v>305800</v>
      </c>
    </row>
    <row r="186" spans="1:6" ht="45" x14ac:dyDescent="0.25">
      <c r="A186" s="13">
        <v>12</v>
      </c>
      <c r="B186" s="14" t="s">
        <v>125</v>
      </c>
      <c r="C186" s="316">
        <v>600</v>
      </c>
      <c r="D186" s="15" t="s">
        <v>31</v>
      </c>
      <c r="E186" s="16">
        <v>280</v>
      </c>
      <c r="F186" s="16">
        <f>(C186*E186)</f>
        <v>168000</v>
      </c>
    </row>
    <row r="187" spans="1:6" ht="60" x14ac:dyDescent="0.25">
      <c r="A187" s="13">
        <v>13</v>
      </c>
      <c r="B187" s="14" t="s">
        <v>126</v>
      </c>
      <c r="C187" s="316">
        <v>1645</v>
      </c>
      <c r="D187" s="15" t="s">
        <v>31</v>
      </c>
      <c r="E187" s="16">
        <v>180</v>
      </c>
      <c r="F187" s="16">
        <f>(C187*E187)</f>
        <v>296100</v>
      </c>
    </row>
    <row r="189" spans="1:6" x14ac:dyDescent="0.25">
      <c r="B189" s="17" t="s">
        <v>10</v>
      </c>
      <c r="C189" s="31"/>
      <c r="D189" s="18"/>
      <c r="E189" s="239"/>
      <c r="F189" s="239">
        <f>SUM(F175:F187)</f>
        <v>5838210</v>
      </c>
    </row>
    <row r="191" spans="1:6" x14ac:dyDescent="0.25">
      <c r="A191" s="30" t="s">
        <v>0</v>
      </c>
      <c r="B191" s="18" t="s">
        <v>1</v>
      </c>
      <c r="C191" s="31" t="s">
        <v>2</v>
      </c>
      <c r="D191" s="31" t="s">
        <v>3</v>
      </c>
      <c r="E191" s="239" t="s">
        <v>4</v>
      </c>
      <c r="F191" s="239" t="s">
        <v>5</v>
      </c>
    </row>
    <row r="192" spans="1:6" ht="45" x14ac:dyDescent="0.25">
      <c r="A192" s="13">
        <v>1</v>
      </c>
      <c r="B192" s="14" t="s">
        <v>128</v>
      </c>
      <c r="C192" s="316">
        <v>480</v>
      </c>
      <c r="D192" s="15" t="s">
        <v>31</v>
      </c>
      <c r="E192" s="16">
        <v>620</v>
      </c>
      <c r="F192" s="16">
        <f>(C192*E192)</f>
        <v>297600</v>
      </c>
    </row>
    <row r="193" spans="1:6" ht="30" x14ac:dyDescent="0.25">
      <c r="A193" s="13">
        <v>2</v>
      </c>
      <c r="B193" s="14" t="s">
        <v>129</v>
      </c>
      <c r="C193" s="316">
        <v>265</v>
      </c>
      <c r="D193" s="15" t="s">
        <v>31</v>
      </c>
      <c r="E193" s="16">
        <v>490</v>
      </c>
      <c r="F193" s="16">
        <f>(C193*E193)</f>
        <v>129850</v>
      </c>
    </row>
    <row r="194" spans="1:6" ht="45" x14ac:dyDescent="0.25">
      <c r="A194" s="13">
        <v>3</v>
      </c>
      <c r="B194" s="14" t="s">
        <v>130</v>
      </c>
      <c r="C194" s="316">
        <v>40</v>
      </c>
      <c r="D194" s="15" t="s">
        <v>33</v>
      </c>
      <c r="E194" s="16">
        <v>1750</v>
      </c>
      <c r="F194" s="16">
        <f>(C194*E194)</f>
        <v>70000</v>
      </c>
    </row>
    <row r="195" spans="1:6" ht="45" x14ac:dyDescent="0.25">
      <c r="A195" s="13">
        <v>4</v>
      </c>
      <c r="B195" s="14" t="s">
        <v>131</v>
      </c>
      <c r="C195" s="316">
        <v>72</v>
      </c>
      <c r="D195" s="15" t="s">
        <v>33</v>
      </c>
      <c r="E195" s="16">
        <v>1850</v>
      </c>
      <c r="F195" s="16">
        <f>(C195*E195)</f>
        <v>133200</v>
      </c>
    </row>
    <row r="196" spans="1:6" ht="45" x14ac:dyDescent="0.25">
      <c r="A196" s="13">
        <v>5</v>
      </c>
      <c r="B196" s="14" t="s">
        <v>132</v>
      </c>
      <c r="C196" s="316">
        <v>48</v>
      </c>
      <c r="D196" s="15" t="s">
        <v>33</v>
      </c>
      <c r="E196" s="16">
        <v>800</v>
      </c>
      <c r="F196" s="16">
        <f t="shared" ref="F196:F256" si="8">(C196*E196)</f>
        <v>38400</v>
      </c>
    </row>
    <row r="197" spans="1:6" ht="60" x14ac:dyDescent="0.25">
      <c r="A197" s="13">
        <v>6</v>
      </c>
      <c r="B197" s="14" t="s">
        <v>133</v>
      </c>
      <c r="C197" s="316">
        <v>1960</v>
      </c>
      <c r="D197" s="15" t="s">
        <v>31</v>
      </c>
      <c r="E197" s="16">
        <v>325</v>
      </c>
      <c r="F197" s="16">
        <f t="shared" si="8"/>
        <v>637000</v>
      </c>
    </row>
    <row r="198" spans="1:6" ht="30" x14ac:dyDescent="0.25">
      <c r="A198" s="13">
        <v>7</v>
      </c>
      <c r="B198" s="14" t="s">
        <v>134</v>
      </c>
      <c r="C198" s="316">
        <v>595</v>
      </c>
      <c r="D198" s="15" t="s">
        <v>31</v>
      </c>
      <c r="E198" s="16">
        <v>280</v>
      </c>
      <c r="F198" s="16">
        <f t="shared" si="8"/>
        <v>166600</v>
      </c>
    </row>
    <row r="199" spans="1:6" ht="75" x14ac:dyDescent="0.25">
      <c r="A199" s="13">
        <v>8</v>
      </c>
      <c r="B199" s="14" t="s">
        <v>135</v>
      </c>
      <c r="C199" s="316">
        <v>886</v>
      </c>
      <c r="D199" s="15" t="s">
        <v>31</v>
      </c>
      <c r="E199" s="16">
        <v>1550</v>
      </c>
      <c r="F199" s="16">
        <f t="shared" si="8"/>
        <v>1373300</v>
      </c>
    </row>
    <row r="200" spans="1:6" x14ac:dyDescent="0.25">
      <c r="A200" s="13">
        <v>9</v>
      </c>
      <c r="B200" s="14" t="s">
        <v>136</v>
      </c>
      <c r="C200" s="316">
        <v>64</v>
      </c>
      <c r="D200" s="15" t="s">
        <v>33</v>
      </c>
      <c r="E200" s="16">
        <v>1200</v>
      </c>
      <c r="F200" s="16">
        <f t="shared" si="8"/>
        <v>76800</v>
      </c>
    </row>
    <row r="201" spans="1:6" x14ac:dyDescent="0.25">
      <c r="A201" s="13">
        <v>10</v>
      </c>
      <c r="B201" s="14" t="s">
        <v>137</v>
      </c>
      <c r="C201" s="316">
        <v>62</v>
      </c>
      <c r="D201" s="15" t="s">
        <v>33</v>
      </c>
      <c r="E201" s="16">
        <v>750</v>
      </c>
      <c r="F201" s="16">
        <f t="shared" si="8"/>
        <v>46500</v>
      </c>
    </row>
    <row r="202" spans="1:6" ht="30" x14ac:dyDescent="0.25">
      <c r="A202" s="13">
        <v>11</v>
      </c>
      <c r="B202" s="14" t="s">
        <v>138</v>
      </c>
      <c r="C202" s="316">
        <v>1240</v>
      </c>
      <c r="D202" s="15" t="s">
        <v>31</v>
      </c>
      <c r="E202" s="16">
        <v>400</v>
      </c>
      <c r="F202" s="16">
        <f t="shared" si="8"/>
        <v>496000</v>
      </c>
    </row>
    <row r="204" spans="1:6" ht="15.75" x14ac:dyDescent="0.25">
      <c r="B204" s="35" t="s">
        <v>10</v>
      </c>
      <c r="C204" s="317"/>
      <c r="D204" s="36"/>
      <c r="E204" s="240"/>
      <c r="F204" s="240">
        <f>SUM(F192:F202)</f>
        <v>3465250</v>
      </c>
    </row>
    <row r="206" spans="1:6" x14ac:dyDescent="0.25">
      <c r="A206" s="30" t="s">
        <v>0</v>
      </c>
      <c r="B206" s="18" t="s">
        <v>1</v>
      </c>
      <c r="C206" s="31" t="s">
        <v>2</v>
      </c>
      <c r="D206" s="31" t="s">
        <v>3</v>
      </c>
      <c r="E206" s="239" t="s">
        <v>4</v>
      </c>
      <c r="F206" s="239" t="s">
        <v>5</v>
      </c>
    </row>
    <row r="207" spans="1:6" ht="30" x14ac:dyDescent="0.25">
      <c r="A207" s="13">
        <v>1</v>
      </c>
      <c r="B207" s="14" t="s">
        <v>139</v>
      </c>
      <c r="C207" s="316">
        <v>320</v>
      </c>
      <c r="D207" s="15" t="s">
        <v>31</v>
      </c>
      <c r="E207" s="16">
        <v>620</v>
      </c>
      <c r="F207" s="16">
        <f t="shared" si="8"/>
        <v>198400</v>
      </c>
    </row>
    <row r="208" spans="1:6" ht="30" x14ac:dyDescent="0.25">
      <c r="A208" s="13">
        <v>2</v>
      </c>
      <c r="B208" s="14" t="s">
        <v>129</v>
      </c>
      <c r="C208" s="316">
        <v>920</v>
      </c>
      <c r="D208" s="15" t="s">
        <v>31</v>
      </c>
      <c r="E208" s="16">
        <v>490</v>
      </c>
      <c r="F208" s="16">
        <f t="shared" si="8"/>
        <v>450800</v>
      </c>
    </row>
    <row r="209" spans="1:6" ht="45" x14ac:dyDescent="0.25">
      <c r="A209" s="13">
        <v>3</v>
      </c>
      <c r="B209" s="14" t="s">
        <v>140</v>
      </c>
      <c r="C209" s="316">
        <v>10</v>
      </c>
      <c r="D209" s="15" t="s">
        <v>33</v>
      </c>
      <c r="E209" s="16">
        <v>1750</v>
      </c>
      <c r="F209" s="16">
        <f t="shared" si="8"/>
        <v>17500</v>
      </c>
    </row>
    <row r="210" spans="1:6" ht="30" x14ac:dyDescent="0.25">
      <c r="A210" s="13">
        <v>4</v>
      </c>
      <c r="B210" s="14" t="s">
        <v>141</v>
      </c>
      <c r="C210" s="316">
        <v>18</v>
      </c>
      <c r="D210" s="15" t="s">
        <v>33</v>
      </c>
      <c r="E210" s="16">
        <v>1850</v>
      </c>
      <c r="F210" s="16">
        <f t="shared" si="8"/>
        <v>33300</v>
      </c>
    </row>
    <row r="211" spans="1:6" ht="45" x14ac:dyDescent="0.25">
      <c r="A211" s="13">
        <v>5</v>
      </c>
      <c r="B211" s="14" t="s">
        <v>142</v>
      </c>
      <c r="C211" s="316">
        <v>80</v>
      </c>
      <c r="D211" s="15" t="s">
        <v>33</v>
      </c>
      <c r="E211" s="16">
        <v>800</v>
      </c>
      <c r="F211" s="16">
        <f t="shared" si="8"/>
        <v>64000</v>
      </c>
    </row>
    <row r="212" spans="1:6" ht="60" x14ac:dyDescent="0.25">
      <c r="A212" s="13">
        <v>6</v>
      </c>
      <c r="B212" s="14" t="s">
        <v>143</v>
      </c>
      <c r="C212" s="316">
        <v>1310</v>
      </c>
      <c r="D212" s="15" t="s">
        <v>31</v>
      </c>
      <c r="E212" s="16">
        <v>1550</v>
      </c>
      <c r="F212" s="16">
        <f t="shared" si="8"/>
        <v>2030500</v>
      </c>
    </row>
    <row r="213" spans="1:6" ht="30" x14ac:dyDescent="0.25">
      <c r="A213" s="13">
        <v>7</v>
      </c>
      <c r="B213" s="14" t="s">
        <v>144</v>
      </c>
      <c r="C213" s="316">
        <v>126</v>
      </c>
      <c r="D213" s="15" t="s">
        <v>33</v>
      </c>
      <c r="E213" s="16">
        <v>1200</v>
      </c>
      <c r="F213" s="16">
        <f t="shared" si="8"/>
        <v>151200</v>
      </c>
    </row>
    <row r="214" spans="1:6" ht="30" x14ac:dyDescent="0.25">
      <c r="A214" s="13">
        <v>8</v>
      </c>
      <c r="B214" s="14" t="s">
        <v>146</v>
      </c>
      <c r="C214" s="316">
        <v>95</v>
      </c>
      <c r="D214" s="15" t="s">
        <v>33</v>
      </c>
      <c r="E214" s="16">
        <v>750</v>
      </c>
      <c r="F214" s="16">
        <f t="shared" si="8"/>
        <v>71250</v>
      </c>
    </row>
    <row r="215" spans="1:6" ht="60" x14ac:dyDescent="0.25">
      <c r="A215" s="13">
        <v>9</v>
      </c>
      <c r="B215" s="14" t="s">
        <v>145</v>
      </c>
      <c r="C215" s="316">
        <v>2240</v>
      </c>
      <c r="D215" s="15" t="s">
        <v>31</v>
      </c>
      <c r="E215" s="16">
        <v>325</v>
      </c>
      <c r="F215" s="16">
        <f t="shared" si="8"/>
        <v>728000</v>
      </c>
    </row>
    <row r="216" spans="1:6" ht="30" x14ac:dyDescent="0.25">
      <c r="A216" s="13">
        <v>10</v>
      </c>
      <c r="B216" s="14" t="s">
        <v>147</v>
      </c>
      <c r="C216" s="316">
        <v>1375</v>
      </c>
      <c r="D216" s="15" t="s">
        <v>31</v>
      </c>
      <c r="E216" s="16">
        <v>110</v>
      </c>
      <c r="F216" s="16">
        <f t="shared" si="8"/>
        <v>151250</v>
      </c>
    </row>
    <row r="217" spans="1:6" ht="45" x14ac:dyDescent="0.25">
      <c r="A217" s="13">
        <v>11</v>
      </c>
      <c r="B217" s="14" t="s">
        <v>148</v>
      </c>
      <c r="C217" s="316">
        <v>1100</v>
      </c>
      <c r="D217" s="15" t="s">
        <v>31</v>
      </c>
      <c r="E217" s="16">
        <v>400</v>
      </c>
      <c r="F217" s="16">
        <f t="shared" si="8"/>
        <v>440000</v>
      </c>
    </row>
    <row r="219" spans="1:6" ht="15.75" x14ac:dyDescent="0.25">
      <c r="B219" s="35" t="s">
        <v>10</v>
      </c>
      <c r="C219" s="317"/>
      <c r="D219" s="36"/>
      <c r="E219" s="240"/>
      <c r="F219" s="240">
        <f>SUM(F207:F217)</f>
        <v>4336200</v>
      </c>
    </row>
    <row r="221" spans="1:6" x14ac:dyDescent="0.25">
      <c r="A221" s="30" t="s">
        <v>0</v>
      </c>
      <c r="B221" s="18" t="s">
        <v>1</v>
      </c>
      <c r="C221" s="31" t="s">
        <v>2</v>
      </c>
      <c r="D221" s="31" t="s">
        <v>3</v>
      </c>
      <c r="E221" s="239" t="s">
        <v>4</v>
      </c>
      <c r="F221" s="239" t="s">
        <v>5</v>
      </c>
    </row>
    <row r="222" spans="1:6" ht="30" x14ac:dyDescent="0.25">
      <c r="A222" s="13">
        <v>1</v>
      </c>
      <c r="B222" s="14" t="s">
        <v>139</v>
      </c>
      <c r="C222" s="316">
        <v>160</v>
      </c>
      <c r="D222" s="15" t="s">
        <v>31</v>
      </c>
      <c r="E222" s="16">
        <v>620</v>
      </c>
      <c r="F222" s="16">
        <f t="shared" si="8"/>
        <v>99200</v>
      </c>
    </row>
    <row r="223" spans="1:6" ht="30" x14ac:dyDescent="0.25">
      <c r="A223" s="13">
        <v>2</v>
      </c>
      <c r="B223" s="14" t="s">
        <v>129</v>
      </c>
      <c r="C223" s="316">
        <v>1050</v>
      </c>
      <c r="D223" s="15" t="s">
        <v>31</v>
      </c>
      <c r="E223" s="16">
        <v>490</v>
      </c>
      <c r="F223" s="16">
        <f t="shared" si="8"/>
        <v>514500</v>
      </c>
    </row>
    <row r="224" spans="1:6" ht="30" x14ac:dyDescent="0.25">
      <c r="A224" s="13">
        <v>3</v>
      </c>
      <c r="B224" s="14" t="s">
        <v>149</v>
      </c>
      <c r="C224" s="316">
        <v>18</v>
      </c>
      <c r="D224" s="15" t="s">
        <v>33</v>
      </c>
      <c r="E224" s="16">
        <v>1850</v>
      </c>
      <c r="F224" s="16">
        <f t="shared" si="8"/>
        <v>33300</v>
      </c>
    </row>
    <row r="225" spans="1:6" ht="30" x14ac:dyDescent="0.25">
      <c r="A225" s="13">
        <v>4</v>
      </c>
      <c r="B225" s="14" t="s">
        <v>150</v>
      </c>
      <c r="C225" s="316">
        <v>42</v>
      </c>
      <c r="D225" s="15" t="s">
        <v>33</v>
      </c>
      <c r="E225" s="16">
        <v>800</v>
      </c>
      <c r="F225" s="16">
        <f t="shared" si="8"/>
        <v>33600</v>
      </c>
    </row>
    <row r="226" spans="1:6" ht="60" x14ac:dyDescent="0.25">
      <c r="A226" s="13">
        <v>5</v>
      </c>
      <c r="B226" s="14" t="s">
        <v>151</v>
      </c>
      <c r="C226" s="316">
        <v>985</v>
      </c>
      <c r="D226" s="15" t="s">
        <v>31</v>
      </c>
      <c r="E226" s="16">
        <v>1550</v>
      </c>
      <c r="F226" s="16">
        <f t="shared" si="8"/>
        <v>1526750</v>
      </c>
    </row>
    <row r="227" spans="1:6" ht="30" x14ac:dyDescent="0.25">
      <c r="A227" s="13">
        <v>6</v>
      </c>
      <c r="B227" s="14" t="s">
        <v>152</v>
      </c>
      <c r="C227" s="316">
        <v>128</v>
      </c>
      <c r="D227" s="15" t="s">
        <v>33</v>
      </c>
      <c r="E227" s="16">
        <v>1200</v>
      </c>
      <c r="F227" s="16">
        <f t="shared" si="8"/>
        <v>153600</v>
      </c>
    </row>
    <row r="228" spans="1:6" x14ac:dyDescent="0.25">
      <c r="A228" s="13">
        <v>7</v>
      </c>
      <c r="B228" s="14" t="s">
        <v>153</v>
      </c>
      <c r="C228" s="316">
        <v>80</v>
      </c>
      <c r="D228" s="15" t="s">
        <v>33</v>
      </c>
      <c r="E228" s="16">
        <v>750</v>
      </c>
      <c r="F228" s="16">
        <f t="shared" si="8"/>
        <v>60000</v>
      </c>
    </row>
    <row r="229" spans="1:6" ht="45" x14ac:dyDescent="0.25">
      <c r="A229" s="13">
        <v>8</v>
      </c>
      <c r="B229" s="14" t="s">
        <v>154</v>
      </c>
      <c r="C229" s="316">
        <v>1680</v>
      </c>
      <c r="D229" s="15" t="s">
        <v>31</v>
      </c>
      <c r="E229" s="16">
        <v>325</v>
      </c>
      <c r="F229" s="16">
        <f t="shared" si="8"/>
        <v>546000</v>
      </c>
    </row>
    <row r="230" spans="1:6" ht="30" x14ac:dyDescent="0.25">
      <c r="A230" s="13">
        <v>9</v>
      </c>
      <c r="B230" s="14" t="s">
        <v>155</v>
      </c>
      <c r="C230" s="316">
        <v>1380</v>
      </c>
      <c r="D230" s="15" t="s">
        <v>31</v>
      </c>
      <c r="E230" s="16">
        <v>240</v>
      </c>
      <c r="F230" s="16">
        <f t="shared" si="8"/>
        <v>331200</v>
      </c>
    </row>
    <row r="232" spans="1:6" ht="15.75" x14ac:dyDescent="0.25">
      <c r="B232" s="35" t="s">
        <v>10</v>
      </c>
      <c r="C232" s="317"/>
      <c r="D232" s="36"/>
      <c r="E232" s="240"/>
      <c r="F232" s="240">
        <f>SUM(F222:F230)</f>
        <v>3298150</v>
      </c>
    </row>
    <row r="234" spans="1:6" x14ac:dyDescent="0.25">
      <c r="A234" s="30" t="s">
        <v>0</v>
      </c>
      <c r="B234" s="18" t="s">
        <v>1</v>
      </c>
      <c r="C234" s="31" t="s">
        <v>2</v>
      </c>
      <c r="D234" s="31" t="s">
        <v>3</v>
      </c>
      <c r="E234" s="239" t="s">
        <v>4</v>
      </c>
      <c r="F234" s="239" t="s">
        <v>5</v>
      </c>
    </row>
    <row r="235" spans="1:6" x14ac:dyDescent="0.25">
      <c r="A235" s="13">
        <v>1</v>
      </c>
      <c r="B235" s="14" t="s">
        <v>156</v>
      </c>
      <c r="C235" s="316">
        <v>54</v>
      </c>
      <c r="D235" s="15" t="s">
        <v>32</v>
      </c>
      <c r="E235" s="16">
        <v>250</v>
      </c>
      <c r="F235" s="16">
        <f t="shared" si="8"/>
        <v>13500</v>
      </c>
    </row>
    <row r="236" spans="1:6" ht="75" x14ac:dyDescent="0.25">
      <c r="A236" s="13">
        <v>2</v>
      </c>
      <c r="B236" s="14" t="s">
        <v>157</v>
      </c>
      <c r="C236" s="316">
        <v>1</v>
      </c>
      <c r="D236" s="15" t="s">
        <v>11</v>
      </c>
      <c r="E236" s="16">
        <v>6600</v>
      </c>
      <c r="F236" s="16">
        <f t="shared" si="8"/>
        <v>6600</v>
      </c>
    </row>
    <row r="237" spans="1:6" ht="30" x14ac:dyDescent="0.25">
      <c r="A237" s="13">
        <v>3</v>
      </c>
      <c r="B237" s="14" t="s">
        <v>158</v>
      </c>
      <c r="C237" s="316">
        <v>34</v>
      </c>
      <c r="D237" s="15" t="s">
        <v>33</v>
      </c>
      <c r="E237" s="16">
        <v>2400</v>
      </c>
      <c r="F237" s="16">
        <f t="shared" si="8"/>
        <v>81600</v>
      </c>
    </row>
    <row r="238" spans="1:6" ht="30" x14ac:dyDescent="0.25">
      <c r="A238" s="13">
        <v>4</v>
      </c>
      <c r="B238" s="14" t="s">
        <v>159</v>
      </c>
      <c r="C238" s="316">
        <v>80</v>
      </c>
      <c r="D238" s="15" t="s">
        <v>31</v>
      </c>
      <c r="E238" s="16">
        <v>1800</v>
      </c>
      <c r="F238" s="16">
        <f t="shared" si="8"/>
        <v>144000</v>
      </c>
    </row>
    <row r="239" spans="1:6" ht="30" x14ac:dyDescent="0.25">
      <c r="A239" s="13">
        <v>5</v>
      </c>
      <c r="B239" s="14" t="s">
        <v>160</v>
      </c>
      <c r="C239" s="316">
        <v>136</v>
      </c>
      <c r="D239" s="15" t="s">
        <v>33</v>
      </c>
      <c r="E239" s="16">
        <v>1650</v>
      </c>
      <c r="F239" s="16">
        <f t="shared" si="8"/>
        <v>224400</v>
      </c>
    </row>
    <row r="241" spans="1:6" x14ac:dyDescent="0.25">
      <c r="B241" s="17" t="s">
        <v>10</v>
      </c>
      <c r="C241" s="31"/>
      <c r="D241" s="18"/>
      <c r="E241" s="239"/>
      <c r="F241" s="239">
        <f>SUM(F235:F239)</f>
        <v>470100</v>
      </c>
    </row>
    <row r="243" spans="1:6" x14ac:dyDescent="0.25">
      <c r="A243" s="30" t="s">
        <v>0</v>
      </c>
      <c r="B243" s="18" t="s">
        <v>1</v>
      </c>
      <c r="C243" s="31" t="s">
        <v>2</v>
      </c>
      <c r="D243" s="31" t="s">
        <v>3</v>
      </c>
      <c r="E243" s="239" t="s">
        <v>4</v>
      </c>
      <c r="F243" s="239" t="s">
        <v>5</v>
      </c>
    </row>
    <row r="244" spans="1:6" ht="45" x14ac:dyDescent="0.25">
      <c r="A244" s="13">
        <v>1</v>
      </c>
      <c r="B244" s="14" t="s">
        <v>161</v>
      </c>
      <c r="C244" s="316">
        <v>1</v>
      </c>
      <c r="D244" s="15" t="s">
        <v>85</v>
      </c>
      <c r="E244" s="16">
        <v>7500</v>
      </c>
      <c r="F244" s="16">
        <f t="shared" si="8"/>
        <v>7500</v>
      </c>
    </row>
    <row r="245" spans="1:6" ht="30" x14ac:dyDescent="0.25">
      <c r="A245" s="13">
        <v>2</v>
      </c>
      <c r="B245" s="14" t="s">
        <v>162</v>
      </c>
      <c r="C245" s="316">
        <v>2.56</v>
      </c>
      <c r="D245" s="15" t="s">
        <v>30</v>
      </c>
      <c r="E245" s="16">
        <v>28000</v>
      </c>
      <c r="F245" s="16">
        <f t="shared" si="8"/>
        <v>71680</v>
      </c>
    </row>
    <row r="246" spans="1:6" x14ac:dyDescent="0.25">
      <c r="A246" s="13">
        <v>3</v>
      </c>
      <c r="B246" s="14" t="s">
        <v>164</v>
      </c>
      <c r="C246" s="316">
        <v>64</v>
      </c>
      <c r="D246" s="15" t="s">
        <v>31</v>
      </c>
      <c r="E246" s="16">
        <v>550</v>
      </c>
      <c r="F246" s="16">
        <f t="shared" si="8"/>
        <v>35200</v>
      </c>
    </row>
    <row r="247" spans="1:6" ht="45" x14ac:dyDescent="0.25">
      <c r="A247" s="13">
        <v>4</v>
      </c>
      <c r="B247" s="14" t="s">
        <v>163</v>
      </c>
      <c r="C247" s="316">
        <v>4</v>
      </c>
      <c r="D247" s="15" t="s">
        <v>85</v>
      </c>
      <c r="E247" s="16">
        <v>45000</v>
      </c>
      <c r="F247" s="16">
        <f t="shared" si="8"/>
        <v>180000</v>
      </c>
    </row>
    <row r="248" spans="1:6" ht="30" x14ac:dyDescent="0.25">
      <c r="A248" s="13">
        <v>5</v>
      </c>
      <c r="B248" s="14" t="s">
        <v>165</v>
      </c>
      <c r="C248" s="316">
        <v>42.6</v>
      </c>
      <c r="D248" s="15" t="s">
        <v>33</v>
      </c>
      <c r="E248" s="16">
        <v>2300</v>
      </c>
      <c r="F248" s="16">
        <f t="shared" si="8"/>
        <v>97980</v>
      </c>
    </row>
    <row r="249" spans="1:6" ht="45" x14ac:dyDescent="0.25">
      <c r="A249" s="13">
        <v>6</v>
      </c>
      <c r="B249" s="14" t="s">
        <v>166</v>
      </c>
      <c r="C249" s="316">
        <v>40</v>
      </c>
      <c r="D249" s="15" t="s">
        <v>33</v>
      </c>
      <c r="E249" s="16">
        <v>2400</v>
      </c>
      <c r="F249" s="16">
        <f t="shared" si="8"/>
        <v>96000</v>
      </c>
    </row>
    <row r="250" spans="1:6" ht="30" x14ac:dyDescent="0.25">
      <c r="A250" s="13">
        <v>7</v>
      </c>
      <c r="B250" s="14" t="s">
        <v>167</v>
      </c>
      <c r="C250" s="316">
        <v>53</v>
      </c>
      <c r="D250" s="15" t="s">
        <v>33</v>
      </c>
      <c r="E250" s="16">
        <v>2400</v>
      </c>
      <c r="F250" s="16">
        <f t="shared" si="8"/>
        <v>127200</v>
      </c>
    </row>
    <row r="251" spans="1:6" ht="60" x14ac:dyDescent="0.25">
      <c r="A251" s="13">
        <v>8</v>
      </c>
      <c r="B251" s="14" t="s">
        <v>168</v>
      </c>
      <c r="C251" s="316">
        <v>182</v>
      </c>
      <c r="D251" s="15" t="s">
        <v>31</v>
      </c>
      <c r="E251" s="16">
        <v>1800</v>
      </c>
      <c r="F251" s="16">
        <f t="shared" si="8"/>
        <v>327600</v>
      </c>
    </row>
    <row r="252" spans="1:6" ht="30" x14ac:dyDescent="0.25">
      <c r="A252" s="13">
        <v>9</v>
      </c>
      <c r="B252" s="14" t="s">
        <v>169</v>
      </c>
      <c r="C252" s="316">
        <v>428</v>
      </c>
      <c r="D252" s="15" t="s">
        <v>31</v>
      </c>
      <c r="E252" s="16">
        <v>420</v>
      </c>
      <c r="F252" s="16">
        <f t="shared" si="8"/>
        <v>179760</v>
      </c>
    </row>
    <row r="253" spans="1:6" ht="60" x14ac:dyDescent="0.25">
      <c r="A253" s="13">
        <v>10</v>
      </c>
      <c r="B253" s="14" t="s">
        <v>170</v>
      </c>
      <c r="C253" s="316">
        <v>645</v>
      </c>
      <c r="D253" s="15" t="s">
        <v>31</v>
      </c>
      <c r="E253" s="16">
        <v>380</v>
      </c>
      <c r="F253" s="16">
        <f t="shared" si="8"/>
        <v>245100</v>
      </c>
    </row>
    <row r="254" spans="1:6" ht="45" x14ac:dyDescent="0.25">
      <c r="A254" s="13">
        <v>11</v>
      </c>
      <c r="B254" s="14" t="s">
        <v>171</v>
      </c>
      <c r="C254" s="316">
        <v>440</v>
      </c>
      <c r="D254" s="15" t="s">
        <v>31</v>
      </c>
      <c r="E254" s="16">
        <v>295</v>
      </c>
      <c r="F254" s="16">
        <f t="shared" si="8"/>
        <v>129800</v>
      </c>
    </row>
    <row r="255" spans="1:6" ht="90" x14ac:dyDescent="0.25">
      <c r="A255" s="13">
        <v>12</v>
      </c>
      <c r="B255" s="14" t="s">
        <v>172</v>
      </c>
      <c r="C255" s="316">
        <v>323</v>
      </c>
      <c r="D255" s="15" t="s">
        <v>31</v>
      </c>
      <c r="E255" s="16">
        <v>1850</v>
      </c>
      <c r="F255" s="16">
        <f t="shared" si="8"/>
        <v>597550</v>
      </c>
    </row>
    <row r="256" spans="1:6" ht="30" x14ac:dyDescent="0.25">
      <c r="A256" s="13">
        <v>13</v>
      </c>
      <c r="B256" s="14" t="s">
        <v>173</v>
      </c>
      <c r="C256" s="316">
        <v>110</v>
      </c>
      <c r="D256" s="15" t="s">
        <v>31</v>
      </c>
      <c r="E256" s="16">
        <v>190</v>
      </c>
      <c r="F256" s="16">
        <f t="shared" si="8"/>
        <v>20900</v>
      </c>
    </row>
    <row r="258" spans="1:6" x14ac:dyDescent="0.25">
      <c r="B258" s="17" t="s">
        <v>10</v>
      </c>
      <c r="C258" s="31"/>
      <c r="D258" s="18"/>
      <c r="E258" s="239"/>
      <c r="F258" s="239">
        <f>SUM(F244:F256)</f>
        <v>2116270</v>
      </c>
    </row>
    <row r="260" spans="1:6" x14ac:dyDescent="0.25">
      <c r="A260" s="30" t="s">
        <v>0</v>
      </c>
      <c r="B260" s="18" t="s">
        <v>1</v>
      </c>
      <c r="C260" s="31" t="s">
        <v>2</v>
      </c>
      <c r="D260" s="31" t="s">
        <v>3</v>
      </c>
      <c r="E260" s="239" t="s">
        <v>4</v>
      </c>
      <c r="F260" s="239" t="s">
        <v>5</v>
      </c>
    </row>
    <row r="261" spans="1:6" ht="30" x14ac:dyDescent="0.25">
      <c r="A261" s="13">
        <v>1</v>
      </c>
      <c r="B261" s="14" t="s">
        <v>174</v>
      </c>
      <c r="C261" s="316">
        <v>2.38</v>
      </c>
      <c r="D261" s="15" t="s">
        <v>30</v>
      </c>
      <c r="E261" s="16">
        <v>28000</v>
      </c>
      <c r="F261" s="16">
        <f t="shared" ref="F261:F276" si="9">(C261*E261)</f>
        <v>66640</v>
      </c>
    </row>
    <row r="262" spans="1:6" x14ac:dyDescent="0.25">
      <c r="A262" s="13">
        <v>2</v>
      </c>
      <c r="B262" s="14" t="s">
        <v>164</v>
      </c>
      <c r="C262" s="316">
        <v>48</v>
      </c>
      <c r="D262" s="15" t="s">
        <v>31</v>
      </c>
      <c r="E262" s="16">
        <v>550</v>
      </c>
      <c r="F262" s="16">
        <f t="shared" si="9"/>
        <v>26400</v>
      </c>
    </row>
    <row r="263" spans="1:6" ht="75" x14ac:dyDescent="0.25">
      <c r="A263" s="13">
        <v>3</v>
      </c>
      <c r="B263" s="14" t="s">
        <v>175</v>
      </c>
      <c r="C263" s="316">
        <v>3</v>
      </c>
      <c r="D263" s="15" t="s">
        <v>180</v>
      </c>
      <c r="E263" s="16">
        <v>45000</v>
      </c>
      <c r="F263" s="16">
        <f t="shared" si="9"/>
        <v>135000</v>
      </c>
    </row>
    <row r="264" spans="1:6" ht="45" x14ac:dyDescent="0.25">
      <c r="A264" s="13">
        <v>4</v>
      </c>
      <c r="B264" s="14" t="s">
        <v>176</v>
      </c>
      <c r="C264" s="316">
        <v>46</v>
      </c>
      <c r="D264" s="15" t="s">
        <v>33</v>
      </c>
      <c r="E264" s="16">
        <v>2300</v>
      </c>
      <c r="F264" s="16">
        <f t="shared" si="9"/>
        <v>105800</v>
      </c>
    </row>
    <row r="265" spans="1:6" ht="60" x14ac:dyDescent="0.25">
      <c r="A265" s="13">
        <v>5</v>
      </c>
      <c r="B265" s="14" t="s">
        <v>177</v>
      </c>
      <c r="C265" s="316">
        <v>30</v>
      </c>
      <c r="D265" s="15" t="s">
        <v>33</v>
      </c>
      <c r="E265" s="16">
        <v>2400</v>
      </c>
      <c r="F265" s="16">
        <f t="shared" si="9"/>
        <v>72000</v>
      </c>
    </row>
    <row r="266" spans="1:6" ht="45" x14ac:dyDescent="0.25">
      <c r="A266" s="13">
        <v>6</v>
      </c>
      <c r="B266" s="14" t="s">
        <v>178</v>
      </c>
      <c r="C266" s="316">
        <v>52</v>
      </c>
      <c r="D266" s="15" t="s">
        <v>33</v>
      </c>
      <c r="E266" s="16">
        <v>2450</v>
      </c>
      <c r="F266" s="16">
        <f t="shared" si="9"/>
        <v>127400</v>
      </c>
    </row>
    <row r="267" spans="1:6" ht="60" x14ac:dyDescent="0.25">
      <c r="A267" s="13">
        <v>7</v>
      </c>
      <c r="B267" s="14" t="s">
        <v>179</v>
      </c>
      <c r="C267" s="316">
        <v>254.2</v>
      </c>
      <c r="D267" s="15" t="s">
        <v>31</v>
      </c>
      <c r="E267" s="16">
        <v>1800</v>
      </c>
      <c r="F267" s="16">
        <f t="shared" si="9"/>
        <v>457560</v>
      </c>
    </row>
    <row r="269" spans="1:6" x14ac:dyDescent="0.25">
      <c r="B269" s="17" t="s">
        <v>10</v>
      </c>
      <c r="C269" s="31"/>
      <c r="D269" s="18"/>
      <c r="E269" s="239"/>
      <c r="F269" s="239">
        <f>SUM(F261:F267)</f>
        <v>990800</v>
      </c>
    </row>
    <row r="271" spans="1:6" x14ac:dyDescent="0.25">
      <c r="A271" s="30" t="s">
        <v>0</v>
      </c>
      <c r="B271" s="18" t="s">
        <v>1</v>
      </c>
      <c r="C271" s="31" t="s">
        <v>2</v>
      </c>
      <c r="D271" s="31" t="s">
        <v>3</v>
      </c>
      <c r="E271" s="239" t="s">
        <v>4</v>
      </c>
      <c r="F271" s="239" t="s">
        <v>5</v>
      </c>
    </row>
    <row r="272" spans="1:6" ht="30" x14ac:dyDescent="0.25">
      <c r="A272" s="13">
        <v>1</v>
      </c>
      <c r="B272" s="14" t="s">
        <v>181</v>
      </c>
      <c r="C272" s="316">
        <v>620</v>
      </c>
      <c r="D272" s="15" t="s">
        <v>31</v>
      </c>
      <c r="E272" s="16">
        <v>390</v>
      </c>
      <c r="F272" s="16">
        <f t="shared" si="9"/>
        <v>241800</v>
      </c>
    </row>
    <row r="273" spans="1:6" ht="45.75" thickBot="1" x14ac:dyDescent="0.3">
      <c r="A273" s="13">
        <v>2</v>
      </c>
      <c r="B273" s="8" t="s">
        <v>182</v>
      </c>
      <c r="C273" s="316">
        <v>620</v>
      </c>
      <c r="D273" s="15" t="s">
        <v>31</v>
      </c>
      <c r="E273" s="16">
        <v>360</v>
      </c>
      <c r="F273" s="16">
        <f t="shared" si="9"/>
        <v>223200</v>
      </c>
    </row>
    <row r="274" spans="1:6" ht="30.75" thickBot="1" x14ac:dyDescent="0.3">
      <c r="A274" s="13">
        <v>3</v>
      </c>
      <c r="B274" s="8" t="s">
        <v>183</v>
      </c>
      <c r="C274" s="316">
        <v>620</v>
      </c>
      <c r="D274" s="15" t="s">
        <v>31</v>
      </c>
      <c r="E274" s="16">
        <v>240</v>
      </c>
      <c r="F274" s="16">
        <f t="shared" si="9"/>
        <v>148800</v>
      </c>
    </row>
    <row r="275" spans="1:6" ht="75" x14ac:dyDescent="0.25">
      <c r="A275" s="13">
        <v>4</v>
      </c>
      <c r="B275" s="14" t="s">
        <v>184</v>
      </c>
      <c r="C275" s="316">
        <v>370</v>
      </c>
      <c r="D275" s="15" t="s">
        <v>31</v>
      </c>
      <c r="E275" s="16">
        <v>1100</v>
      </c>
      <c r="F275" s="16">
        <f t="shared" si="9"/>
        <v>407000</v>
      </c>
    </row>
    <row r="276" spans="1:6" ht="60" x14ac:dyDescent="0.25">
      <c r="A276" s="13">
        <v>5</v>
      </c>
      <c r="B276" s="14" t="s">
        <v>185</v>
      </c>
      <c r="C276" s="316">
        <v>1</v>
      </c>
      <c r="D276" s="15" t="s">
        <v>11</v>
      </c>
      <c r="E276" s="16">
        <v>105000</v>
      </c>
      <c r="F276" s="16">
        <f t="shared" si="9"/>
        <v>105000</v>
      </c>
    </row>
    <row r="278" spans="1:6" x14ac:dyDescent="0.25">
      <c r="B278" s="14" t="s">
        <v>10</v>
      </c>
      <c r="F278" s="16">
        <f>SUM(F272:F276)</f>
        <v>1125800</v>
      </c>
    </row>
    <row r="280" spans="1:6" x14ac:dyDescent="0.25">
      <c r="A280" s="30" t="s">
        <v>0</v>
      </c>
      <c r="B280" s="18" t="s">
        <v>1</v>
      </c>
      <c r="C280" s="31" t="s">
        <v>2</v>
      </c>
      <c r="D280" s="31" t="s">
        <v>3</v>
      </c>
      <c r="E280" s="239" t="s">
        <v>4</v>
      </c>
      <c r="F280" s="239" t="s">
        <v>5</v>
      </c>
    </row>
    <row r="281" spans="1:6" ht="30" x14ac:dyDescent="0.25">
      <c r="A281" s="13">
        <v>1</v>
      </c>
      <c r="B281" s="14" t="s">
        <v>186</v>
      </c>
      <c r="C281" s="316">
        <v>620</v>
      </c>
      <c r="D281" s="15" t="s">
        <v>31</v>
      </c>
      <c r="E281" s="16">
        <v>490</v>
      </c>
      <c r="F281" s="16">
        <f>(C281*E281)</f>
        <v>303800</v>
      </c>
    </row>
    <row r="282" spans="1:6" ht="45.75" thickBot="1" x14ac:dyDescent="0.3">
      <c r="A282" s="13">
        <v>2</v>
      </c>
      <c r="B282" s="8" t="s">
        <v>182</v>
      </c>
      <c r="C282" s="316">
        <v>620</v>
      </c>
      <c r="D282" s="15" t="s">
        <v>31</v>
      </c>
      <c r="E282" s="16">
        <v>360</v>
      </c>
      <c r="F282" s="16">
        <f>(C282*E282)</f>
        <v>223200</v>
      </c>
    </row>
    <row r="283" spans="1:6" ht="30.75" thickBot="1" x14ac:dyDescent="0.3">
      <c r="A283" s="13">
        <v>3</v>
      </c>
      <c r="B283" s="8" t="s">
        <v>183</v>
      </c>
      <c r="C283" s="316">
        <v>620</v>
      </c>
      <c r="D283" s="15" t="s">
        <v>31</v>
      </c>
      <c r="E283" s="16">
        <v>240</v>
      </c>
      <c r="F283" s="16">
        <f>(C283*E283)</f>
        <v>148800</v>
      </c>
    </row>
    <row r="284" spans="1:6" ht="75" x14ac:dyDescent="0.25">
      <c r="A284" s="13">
        <v>4</v>
      </c>
      <c r="B284" s="14" t="s">
        <v>184</v>
      </c>
      <c r="C284" s="316">
        <v>370</v>
      </c>
      <c r="D284" s="15" t="s">
        <v>31</v>
      </c>
      <c r="E284" s="16">
        <v>1100</v>
      </c>
      <c r="F284" s="16">
        <f>(C284*E284)</f>
        <v>407000</v>
      </c>
    </row>
    <row r="285" spans="1:6" ht="60" x14ac:dyDescent="0.25">
      <c r="A285" s="13">
        <v>5</v>
      </c>
      <c r="B285" s="14" t="s">
        <v>185</v>
      </c>
      <c r="C285" s="316">
        <v>1</v>
      </c>
      <c r="D285" s="15" t="s">
        <v>11</v>
      </c>
      <c r="E285" s="16">
        <v>105000</v>
      </c>
      <c r="F285" s="16">
        <f>(C285*E285)</f>
        <v>105000</v>
      </c>
    </row>
    <row r="287" spans="1:6" x14ac:dyDescent="0.25">
      <c r="B287" s="14" t="s">
        <v>10</v>
      </c>
      <c r="F287" s="16">
        <f>SUM(F281:F285)</f>
        <v>1187800</v>
      </c>
    </row>
    <row r="288" spans="1:6" x14ac:dyDescent="0.25">
      <c r="A288" s="19"/>
      <c r="B288" s="20"/>
      <c r="C288" s="320"/>
      <c r="D288" s="21"/>
      <c r="E288" s="243"/>
      <c r="F288" s="243"/>
    </row>
    <row r="289" spans="1:6" x14ac:dyDescent="0.25">
      <c r="A289" s="46" t="s">
        <v>0</v>
      </c>
      <c r="B289" s="28" t="s">
        <v>1</v>
      </c>
      <c r="C289" s="321" t="s">
        <v>2</v>
      </c>
      <c r="D289" s="47" t="s">
        <v>3</v>
      </c>
      <c r="E289" s="244" t="s">
        <v>4</v>
      </c>
      <c r="F289" s="244" t="s">
        <v>5</v>
      </c>
    </row>
    <row r="290" spans="1:6" ht="30" x14ac:dyDescent="0.25">
      <c r="A290" s="48">
        <v>1</v>
      </c>
      <c r="B290" s="24" t="s">
        <v>187</v>
      </c>
      <c r="C290" s="327">
        <v>1.8</v>
      </c>
      <c r="D290" s="50" t="s">
        <v>188</v>
      </c>
      <c r="E290" s="245">
        <v>8500</v>
      </c>
      <c r="F290" s="245">
        <v>15300</v>
      </c>
    </row>
    <row r="291" spans="1:6" ht="45" x14ac:dyDescent="0.25">
      <c r="A291" s="48">
        <v>2</v>
      </c>
      <c r="B291" s="24" t="s">
        <v>189</v>
      </c>
      <c r="C291" s="327">
        <v>7</v>
      </c>
      <c r="D291" s="50" t="s">
        <v>180</v>
      </c>
      <c r="E291" s="245">
        <v>21500</v>
      </c>
      <c r="F291" s="245">
        <v>150500</v>
      </c>
    </row>
    <row r="292" spans="1:6" ht="60" x14ac:dyDescent="0.25">
      <c r="A292" s="48">
        <v>3</v>
      </c>
      <c r="B292" s="24" t="s">
        <v>190</v>
      </c>
      <c r="C292" s="327">
        <v>135</v>
      </c>
      <c r="D292" s="50" t="s">
        <v>33</v>
      </c>
      <c r="E292" s="245">
        <v>2200</v>
      </c>
      <c r="F292" s="245">
        <v>297000</v>
      </c>
    </row>
    <row r="293" spans="1:6" ht="45" x14ac:dyDescent="0.25">
      <c r="A293" s="48">
        <v>4</v>
      </c>
      <c r="B293" s="24" t="s">
        <v>191</v>
      </c>
      <c r="C293" s="327">
        <v>68</v>
      </c>
      <c r="D293" s="50" t="s">
        <v>33</v>
      </c>
      <c r="E293" s="245">
        <v>1800</v>
      </c>
      <c r="F293" s="245">
        <v>122400</v>
      </c>
    </row>
    <row r="294" spans="1:6" ht="45" x14ac:dyDescent="0.25">
      <c r="A294" s="48">
        <v>5</v>
      </c>
      <c r="B294" s="24" t="s">
        <v>192</v>
      </c>
      <c r="C294" s="327">
        <v>95</v>
      </c>
      <c r="D294" s="50" t="s">
        <v>33</v>
      </c>
      <c r="E294" s="245">
        <v>1900</v>
      </c>
      <c r="F294" s="245">
        <v>180500</v>
      </c>
    </row>
    <row r="295" spans="1:6" ht="60" x14ac:dyDescent="0.25">
      <c r="A295" s="48">
        <v>6</v>
      </c>
      <c r="B295" s="24" t="s">
        <v>193</v>
      </c>
      <c r="C295" s="327">
        <v>780</v>
      </c>
      <c r="D295" s="50" t="s">
        <v>31</v>
      </c>
      <c r="E295" s="245">
        <v>1400</v>
      </c>
      <c r="F295" s="245">
        <v>1092000</v>
      </c>
    </row>
    <row r="296" spans="1:6" ht="30" x14ac:dyDescent="0.25">
      <c r="A296" s="51">
        <v>7</v>
      </c>
      <c r="B296" s="24" t="s">
        <v>194</v>
      </c>
      <c r="C296" s="327">
        <v>520</v>
      </c>
      <c r="D296" s="50" t="s">
        <v>31</v>
      </c>
      <c r="E296" s="246">
        <v>390</v>
      </c>
      <c r="F296" s="245">
        <f>C296*E296</f>
        <v>202800</v>
      </c>
    </row>
    <row r="297" spans="1:6" ht="30" x14ac:dyDescent="0.25">
      <c r="A297" s="51">
        <v>8</v>
      </c>
      <c r="B297" s="24" t="s">
        <v>195</v>
      </c>
      <c r="C297" s="327">
        <v>1200</v>
      </c>
      <c r="D297" s="50" t="s">
        <v>31</v>
      </c>
      <c r="E297" s="246">
        <v>170</v>
      </c>
      <c r="F297" s="245">
        <f>C297*E297</f>
        <v>204000</v>
      </c>
    </row>
    <row r="298" spans="1:6" x14ac:dyDescent="0.25">
      <c r="A298" s="51"/>
      <c r="B298" s="24"/>
      <c r="C298" s="327"/>
      <c r="D298" s="50"/>
      <c r="E298" s="246"/>
    </row>
    <row r="299" spans="1:6" x14ac:dyDescent="0.25">
      <c r="B299" s="17" t="s">
        <v>10</v>
      </c>
      <c r="C299" s="31"/>
      <c r="D299" s="18"/>
      <c r="E299" s="239"/>
      <c r="F299" s="247">
        <f>SUM(F290:F297)</f>
        <v>2264500</v>
      </c>
    </row>
    <row r="300" spans="1:6" x14ac:dyDescent="0.25">
      <c r="A300" s="26"/>
      <c r="B300" s="52"/>
      <c r="C300" s="322"/>
      <c r="D300" s="53"/>
      <c r="E300" s="248"/>
      <c r="F300" s="248"/>
    </row>
    <row r="301" spans="1:6" x14ac:dyDescent="0.25">
      <c r="A301" s="46" t="s">
        <v>0</v>
      </c>
      <c r="B301" s="28" t="s">
        <v>1</v>
      </c>
      <c r="C301" s="321" t="s">
        <v>2</v>
      </c>
      <c r="D301" s="47" t="s">
        <v>3</v>
      </c>
      <c r="E301" s="244" t="s">
        <v>4</v>
      </c>
      <c r="F301" s="244" t="s">
        <v>5</v>
      </c>
    </row>
    <row r="302" spans="1:6" ht="45" x14ac:dyDescent="0.25">
      <c r="A302" s="13">
        <v>1</v>
      </c>
      <c r="B302" s="14" t="s">
        <v>196</v>
      </c>
      <c r="C302" s="316">
        <v>582</v>
      </c>
      <c r="D302" s="15" t="s">
        <v>31</v>
      </c>
      <c r="E302" s="16">
        <v>310</v>
      </c>
      <c r="F302" s="16">
        <f>(C302*E302)</f>
        <v>180420</v>
      </c>
    </row>
    <row r="303" spans="1:6" ht="45" x14ac:dyDescent="0.25">
      <c r="A303" s="13">
        <v>2</v>
      </c>
      <c r="B303" s="14" t="s">
        <v>197</v>
      </c>
      <c r="C303" s="316">
        <v>526</v>
      </c>
      <c r="D303" s="15" t="s">
        <v>31</v>
      </c>
      <c r="E303" s="16">
        <v>270</v>
      </c>
      <c r="F303" s="16">
        <f>(C303*E303)</f>
        <v>142020</v>
      </c>
    </row>
    <row r="304" spans="1:6" ht="45" x14ac:dyDescent="0.25">
      <c r="A304" s="13">
        <v>3</v>
      </c>
      <c r="B304" s="14" t="s">
        <v>198</v>
      </c>
      <c r="C304" s="316">
        <v>38</v>
      </c>
      <c r="D304" s="15" t="s">
        <v>31</v>
      </c>
      <c r="E304" s="16">
        <v>950</v>
      </c>
      <c r="F304" s="16">
        <f>(C304*E304)</f>
        <v>36100</v>
      </c>
    </row>
    <row r="305" spans="1:6" ht="30" x14ac:dyDescent="0.25">
      <c r="A305" s="13">
        <v>4</v>
      </c>
      <c r="B305" s="14" t="s">
        <v>199</v>
      </c>
      <c r="C305" s="316">
        <v>904</v>
      </c>
      <c r="D305" s="15" t="s">
        <v>31</v>
      </c>
      <c r="E305" s="16">
        <v>590</v>
      </c>
      <c r="F305" s="16">
        <f>(C305*E305)</f>
        <v>533360</v>
      </c>
    </row>
    <row r="306" spans="1:6" ht="30" x14ac:dyDescent="0.25">
      <c r="A306" s="13">
        <v>5</v>
      </c>
      <c r="B306" s="14" t="s">
        <v>200</v>
      </c>
      <c r="C306" s="316">
        <v>2801</v>
      </c>
      <c r="D306" s="15" t="s">
        <v>31</v>
      </c>
      <c r="E306" s="16">
        <v>145</v>
      </c>
      <c r="F306" s="16">
        <f>(C306*E306)</f>
        <v>406145</v>
      </c>
    </row>
    <row r="307" spans="1:6" x14ac:dyDescent="0.25">
      <c r="A307" s="13">
        <v>6</v>
      </c>
      <c r="B307" s="623" t="s">
        <v>201</v>
      </c>
      <c r="C307" s="624"/>
      <c r="D307" s="624"/>
      <c r="E307" s="624"/>
      <c r="F307" s="625"/>
    </row>
    <row r="308" spans="1:6" ht="45" x14ac:dyDescent="0.25">
      <c r="A308" s="13" t="s">
        <v>202</v>
      </c>
      <c r="B308" s="14" t="s">
        <v>203</v>
      </c>
      <c r="C308" s="316">
        <v>1</v>
      </c>
      <c r="D308" s="15" t="s">
        <v>85</v>
      </c>
      <c r="E308" s="16">
        <v>95000</v>
      </c>
      <c r="F308" s="16">
        <f t="shared" ref="F308:F314" si="10">(C308*E308)</f>
        <v>95000</v>
      </c>
    </row>
    <row r="309" spans="1:6" ht="45" x14ac:dyDescent="0.25">
      <c r="A309" s="13" t="s">
        <v>204</v>
      </c>
      <c r="B309" s="14" t="s">
        <v>205</v>
      </c>
      <c r="C309" s="316">
        <v>28</v>
      </c>
      <c r="D309" s="15" t="s">
        <v>33</v>
      </c>
      <c r="E309" s="16">
        <v>1750</v>
      </c>
      <c r="F309" s="16">
        <f t="shared" si="10"/>
        <v>49000</v>
      </c>
    </row>
    <row r="310" spans="1:6" ht="30" x14ac:dyDescent="0.25">
      <c r="A310" s="13" t="s">
        <v>206</v>
      </c>
      <c r="B310" s="14" t="s">
        <v>207</v>
      </c>
      <c r="C310" s="316">
        <v>180</v>
      </c>
      <c r="D310" s="15" t="s">
        <v>31</v>
      </c>
      <c r="E310" s="16">
        <v>1550</v>
      </c>
      <c r="F310" s="16">
        <f t="shared" si="10"/>
        <v>279000</v>
      </c>
    </row>
    <row r="311" spans="1:6" ht="30" x14ac:dyDescent="0.25">
      <c r="A311" s="13" t="s">
        <v>208</v>
      </c>
      <c r="B311" s="14" t="s">
        <v>209</v>
      </c>
      <c r="C311" s="316">
        <v>32</v>
      </c>
      <c r="D311" s="15" t="s">
        <v>33</v>
      </c>
      <c r="E311" s="16">
        <v>1850</v>
      </c>
      <c r="F311" s="16">
        <f t="shared" si="10"/>
        <v>59200</v>
      </c>
    </row>
    <row r="312" spans="1:6" ht="45" x14ac:dyDescent="0.25">
      <c r="A312" s="13">
        <v>7</v>
      </c>
      <c r="B312" s="14" t="s">
        <v>210</v>
      </c>
      <c r="C312" s="316">
        <v>40</v>
      </c>
      <c r="D312" s="15" t="s">
        <v>33</v>
      </c>
      <c r="E312" s="16">
        <v>1850</v>
      </c>
      <c r="F312" s="16">
        <f t="shared" si="10"/>
        <v>74000</v>
      </c>
    </row>
    <row r="313" spans="1:6" ht="45" x14ac:dyDescent="0.25">
      <c r="A313" s="13">
        <v>8</v>
      </c>
      <c r="B313" s="14" t="s">
        <v>211</v>
      </c>
      <c r="C313" s="316">
        <v>56</v>
      </c>
      <c r="D313" s="15" t="s">
        <v>33</v>
      </c>
      <c r="E313" s="16">
        <v>1850</v>
      </c>
      <c r="F313" s="16">
        <f t="shared" si="10"/>
        <v>103600</v>
      </c>
    </row>
    <row r="314" spans="1:6" ht="30" x14ac:dyDescent="0.25">
      <c r="A314" s="13">
        <v>9</v>
      </c>
      <c r="B314" s="14" t="s">
        <v>212</v>
      </c>
      <c r="C314" s="316">
        <v>144</v>
      </c>
      <c r="D314" s="15" t="s">
        <v>31</v>
      </c>
      <c r="E314" s="16">
        <v>1550</v>
      </c>
      <c r="F314" s="16">
        <f t="shared" si="10"/>
        <v>223200</v>
      </c>
    </row>
    <row r="316" spans="1:6" x14ac:dyDescent="0.25">
      <c r="A316" s="30"/>
      <c r="B316" s="17" t="s">
        <v>10</v>
      </c>
      <c r="C316" s="31"/>
      <c r="D316" s="18"/>
      <c r="E316" s="239"/>
      <c r="F316" s="239">
        <f>SUM(F308:F314,F302:F306)</f>
        <v>2181045</v>
      </c>
    </row>
    <row r="318" spans="1:6" x14ac:dyDescent="0.25">
      <c r="A318" s="46" t="s">
        <v>0</v>
      </c>
      <c r="B318" s="28" t="s">
        <v>1</v>
      </c>
      <c r="C318" s="321" t="s">
        <v>2</v>
      </c>
      <c r="D318" s="47" t="s">
        <v>3</v>
      </c>
      <c r="E318" s="244" t="s">
        <v>4</v>
      </c>
      <c r="F318" s="244" t="s">
        <v>5</v>
      </c>
    </row>
    <row r="319" spans="1:6" ht="30" x14ac:dyDescent="0.25">
      <c r="A319" s="13">
        <v>1</v>
      </c>
      <c r="B319" s="14" t="s">
        <v>213</v>
      </c>
      <c r="C319" s="316">
        <v>1.62</v>
      </c>
      <c r="D319" s="15" t="s">
        <v>30</v>
      </c>
      <c r="E319" s="16">
        <v>35000</v>
      </c>
      <c r="F319" s="16">
        <f>C319*E319</f>
        <v>56700.000000000007</v>
      </c>
    </row>
    <row r="320" spans="1:6" x14ac:dyDescent="0.25">
      <c r="A320" s="13">
        <v>2</v>
      </c>
      <c r="B320" s="14" t="s">
        <v>214</v>
      </c>
      <c r="C320" s="316">
        <v>54</v>
      </c>
      <c r="D320" s="15" t="s">
        <v>31</v>
      </c>
      <c r="E320" s="16">
        <v>450</v>
      </c>
      <c r="F320" s="16">
        <f t="shared" ref="F320:F329" si="11">C320*E320</f>
        <v>24300</v>
      </c>
    </row>
    <row r="321" spans="1:11" ht="30" x14ac:dyDescent="0.25">
      <c r="A321" s="13">
        <v>3</v>
      </c>
      <c r="B321" s="14" t="s">
        <v>215</v>
      </c>
      <c r="C321" s="316">
        <v>5</v>
      </c>
      <c r="D321" s="15" t="s">
        <v>85</v>
      </c>
      <c r="E321" s="16">
        <v>38000</v>
      </c>
      <c r="F321" s="16">
        <f t="shared" si="11"/>
        <v>190000</v>
      </c>
    </row>
    <row r="322" spans="1:11" ht="60" x14ac:dyDescent="0.25">
      <c r="A322" s="13">
        <v>4</v>
      </c>
      <c r="B322" s="14" t="s">
        <v>216</v>
      </c>
      <c r="C322" s="316">
        <v>84</v>
      </c>
      <c r="D322" s="15" t="s">
        <v>33</v>
      </c>
      <c r="E322" s="16">
        <v>1850</v>
      </c>
      <c r="F322" s="16">
        <f t="shared" si="11"/>
        <v>155400</v>
      </c>
    </row>
    <row r="323" spans="1:11" ht="30" x14ac:dyDescent="0.25">
      <c r="A323" s="13">
        <v>5</v>
      </c>
      <c r="B323" s="14" t="s">
        <v>218</v>
      </c>
      <c r="C323" s="316">
        <v>134</v>
      </c>
      <c r="D323" s="15" t="s">
        <v>33</v>
      </c>
      <c r="E323" s="16">
        <v>1750</v>
      </c>
      <c r="F323" s="16">
        <f t="shared" si="11"/>
        <v>234500</v>
      </c>
    </row>
    <row r="324" spans="1:11" ht="45" x14ac:dyDescent="0.25">
      <c r="A324" s="13">
        <v>6</v>
      </c>
      <c r="B324" s="14" t="s">
        <v>217</v>
      </c>
      <c r="C324" s="316">
        <v>145</v>
      </c>
      <c r="D324" s="15" t="s">
        <v>33</v>
      </c>
      <c r="E324" s="16">
        <v>1750</v>
      </c>
      <c r="F324" s="16">
        <f t="shared" si="11"/>
        <v>253750</v>
      </c>
    </row>
    <row r="325" spans="1:11" ht="60" x14ac:dyDescent="0.25">
      <c r="A325" s="13">
        <v>7</v>
      </c>
      <c r="B325" s="14" t="s">
        <v>219</v>
      </c>
      <c r="C325" s="316">
        <v>656</v>
      </c>
      <c r="D325" s="15" t="s">
        <v>31</v>
      </c>
      <c r="E325" s="16">
        <v>1550</v>
      </c>
      <c r="F325" s="16">
        <f t="shared" si="11"/>
        <v>1016800</v>
      </c>
    </row>
    <row r="326" spans="1:11" ht="45" x14ac:dyDescent="0.25">
      <c r="A326" s="13">
        <v>8</v>
      </c>
      <c r="B326" s="14" t="s">
        <v>220</v>
      </c>
      <c r="C326" s="316">
        <v>1</v>
      </c>
      <c r="D326" s="15" t="s">
        <v>85</v>
      </c>
      <c r="E326" s="16">
        <v>34000</v>
      </c>
      <c r="F326" s="16">
        <f t="shared" si="11"/>
        <v>34000</v>
      </c>
    </row>
    <row r="327" spans="1:11" ht="45" x14ac:dyDescent="0.25">
      <c r="A327" s="13">
        <v>9</v>
      </c>
      <c r="B327" s="14" t="s">
        <v>221</v>
      </c>
      <c r="C327" s="316">
        <v>1</v>
      </c>
      <c r="D327" s="15" t="s">
        <v>85</v>
      </c>
      <c r="E327" s="16">
        <v>110000</v>
      </c>
      <c r="F327" s="16">
        <f t="shared" si="11"/>
        <v>110000</v>
      </c>
    </row>
    <row r="328" spans="1:11" ht="45" x14ac:dyDescent="0.25">
      <c r="A328" s="13">
        <v>10</v>
      </c>
      <c r="B328" s="14" t="s">
        <v>222</v>
      </c>
      <c r="C328" s="316">
        <v>310</v>
      </c>
      <c r="D328" s="15" t="s">
        <v>31</v>
      </c>
      <c r="E328" s="16">
        <v>420</v>
      </c>
      <c r="F328" s="16">
        <f t="shared" si="11"/>
        <v>130200</v>
      </c>
    </row>
    <row r="329" spans="1:11" ht="30" x14ac:dyDescent="0.25">
      <c r="A329" s="13">
        <v>11</v>
      </c>
      <c r="B329" s="14" t="s">
        <v>223</v>
      </c>
      <c r="C329" s="316">
        <v>42</v>
      </c>
      <c r="D329" s="15" t="s">
        <v>33</v>
      </c>
      <c r="E329" s="16">
        <v>850</v>
      </c>
      <c r="F329" s="16">
        <f t="shared" si="11"/>
        <v>35700</v>
      </c>
    </row>
    <row r="331" spans="1:11" x14ac:dyDescent="0.25">
      <c r="B331" s="17" t="s">
        <v>224</v>
      </c>
      <c r="C331" s="31"/>
      <c r="D331" s="18"/>
      <c r="E331" s="239"/>
      <c r="F331" s="239">
        <f>SUM(F319:F330)</f>
        <v>2241350</v>
      </c>
    </row>
    <row r="333" spans="1:11" x14ac:dyDescent="0.25">
      <c r="A333" s="626" t="s">
        <v>225</v>
      </c>
      <c r="B333" s="627"/>
      <c r="C333" s="627"/>
      <c r="D333" s="627"/>
      <c r="E333" s="627"/>
      <c r="F333" s="628"/>
      <c r="K333" s="54">
        <v>2847780</v>
      </c>
    </row>
    <row r="334" spans="1:11" x14ac:dyDescent="0.25">
      <c r="A334" s="426" t="s">
        <v>227</v>
      </c>
      <c r="B334" s="427"/>
      <c r="C334" s="428"/>
      <c r="D334" s="615">
        <v>2847780</v>
      </c>
      <c r="E334" s="620"/>
      <c r="F334" s="616"/>
      <c r="K334" s="54">
        <v>2181045</v>
      </c>
    </row>
    <row r="335" spans="1:11" x14ac:dyDescent="0.25">
      <c r="A335" s="426" t="s">
        <v>226</v>
      </c>
      <c r="B335" s="427"/>
      <c r="C335" s="428"/>
      <c r="D335" s="615">
        <v>2181045</v>
      </c>
      <c r="E335" s="620"/>
      <c r="F335" s="616"/>
    </row>
    <row r="336" spans="1:11" x14ac:dyDescent="0.25">
      <c r="A336" s="426" t="s">
        <v>10</v>
      </c>
      <c r="B336" s="427"/>
      <c r="C336" s="428"/>
      <c r="D336" s="615">
        <f>SUM(D335,D334)</f>
        <v>5028825</v>
      </c>
      <c r="E336" s="620"/>
      <c r="F336" s="616"/>
    </row>
    <row r="337" spans="1:6" x14ac:dyDescent="0.25">
      <c r="A337" s="426" t="s">
        <v>228</v>
      </c>
      <c r="B337" s="427"/>
      <c r="C337" s="428"/>
      <c r="D337" s="615">
        <v>3200000</v>
      </c>
      <c r="E337" s="620"/>
      <c r="F337" s="616"/>
    </row>
    <row r="338" spans="1:6" x14ac:dyDescent="0.25">
      <c r="A338" s="426" t="s">
        <v>229</v>
      </c>
      <c r="B338" s="427"/>
      <c r="C338" s="428"/>
      <c r="D338" s="629">
        <f>D336-D337</f>
        <v>1828825</v>
      </c>
      <c r="E338" s="630"/>
      <c r="F338" s="631"/>
    </row>
    <row r="339" spans="1:6" x14ac:dyDescent="0.25">
      <c r="A339" s="426"/>
      <c r="B339" s="427"/>
      <c r="C339" s="428"/>
      <c r="D339" s="615"/>
      <c r="E339" s="620"/>
      <c r="F339" s="616"/>
    </row>
    <row r="340" spans="1:6" x14ac:dyDescent="0.25">
      <c r="A340" s="426" t="s">
        <v>230</v>
      </c>
      <c r="B340" s="427"/>
      <c r="C340" s="428"/>
      <c r="D340" s="615" t="s">
        <v>231</v>
      </c>
      <c r="E340" s="620"/>
      <c r="F340" s="616"/>
    </row>
    <row r="341" spans="1:6" x14ac:dyDescent="0.25">
      <c r="A341" s="606" t="s">
        <v>10</v>
      </c>
      <c r="B341" s="607"/>
      <c r="C341" s="608"/>
      <c r="D341" s="626">
        <v>14975600</v>
      </c>
      <c r="E341" s="627"/>
      <c r="F341" s="628"/>
    </row>
    <row r="342" spans="1:6" x14ac:dyDescent="0.25">
      <c r="A342" s="426" t="s">
        <v>232</v>
      </c>
      <c r="B342" s="427"/>
      <c r="C342" s="428"/>
      <c r="D342" s="615"/>
      <c r="E342" s="620"/>
      <c r="F342" s="616"/>
    </row>
    <row r="343" spans="1:6" x14ac:dyDescent="0.25">
      <c r="A343" s="606" t="s">
        <v>233</v>
      </c>
      <c r="B343" s="607"/>
      <c r="C343" s="608"/>
      <c r="D343" s="626">
        <v>8500000</v>
      </c>
      <c r="E343" s="627"/>
      <c r="F343" s="628"/>
    </row>
    <row r="344" spans="1:6" x14ac:dyDescent="0.25">
      <c r="A344" s="606" t="s">
        <v>234</v>
      </c>
      <c r="B344" s="607"/>
      <c r="C344" s="608"/>
      <c r="D344" s="626">
        <f>D341-D343</f>
        <v>6475600</v>
      </c>
      <c r="E344" s="627"/>
      <c r="F344" s="628"/>
    </row>
    <row r="345" spans="1:6" x14ac:dyDescent="0.25">
      <c r="A345" s="426"/>
      <c r="B345" s="427"/>
      <c r="C345" s="428"/>
      <c r="D345" s="615"/>
      <c r="E345" s="620"/>
      <c r="F345" s="616"/>
    </row>
    <row r="346" spans="1:6" ht="15.75" thickBot="1" x14ac:dyDescent="0.3">
      <c r="F346" s="16">
        <f>(C346*E346)</f>
        <v>0</v>
      </c>
    </row>
    <row r="347" spans="1:6" ht="15.75" thickBot="1" x14ac:dyDescent="0.3">
      <c r="A347" s="56" t="s">
        <v>0</v>
      </c>
      <c r="B347" s="6" t="s">
        <v>1</v>
      </c>
      <c r="C347" s="323" t="s">
        <v>2</v>
      </c>
      <c r="D347" s="57" t="s">
        <v>3</v>
      </c>
      <c r="E347" s="249" t="s">
        <v>4</v>
      </c>
      <c r="F347" s="249" t="s">
        <v>5</v>
      </c>
    </row>
    <row r="348" spans="1:6" ht="60.75" thickBot="1" x14ac:dyDescent="0.3">
      <c r="A348" s="58">
        <v>2</v>
      </c>
      <c r="B348" s="8" t="s">
        <v>235</v>
      </c>
      <c r="C348" s="352">
        <v>210</v>
      </c>
      <c r="D348" s="59" t="s">
        <v>33</v>
      </c>
      <c r="E348" s="250">
        <v>1750</v>
      </c>
      <c r="F348" s="250">
        <f t="shared" ref="F348:F354" si="12">E348*C348</f>
        <v>367500</v>
      </c>
    </row>
    <row r="349" spans="1:6" ht="30.75" thickBot="1" x14ac:dyDescent="0.3">
      <c r="A349" s="58">
        <v>3</v>
      </c>
      <c r="B349" s="8" t="s">
        <v>236</v>
      </c>
      <c r="C349" s="352">
        <v>530</v>
      </c>
      <c r="D349" s="59" t="s">
        <v>32</v>
      </c>
      <c r="E349" s="250">
        <v>95</v>
      </c>
      <c r="F349" s="250">
        <f t="shared" si="12"/>
        <v>50350</v>
      </c>
    </row>
    <row r="350" spans="1:6" ht="75.75" thickBot="1" x14ac:dyDescent="0.3">
      <c r="A350" s="58">
        <v>4</v>
      </c>
      <c r="B350" s="8" t="s">
        <v>237</v>
      </c>
      <c r="C350" s="352">
        <v>12</v>
      </c>
      <c r="D350" s="59" t="s">
        <v>180</v>
      </c>
      <c r="E350" s="250">
        <v>19500</v>
      </c>
      <c r="F350" s="250">
        <f t="shared" si="12"/>
        <v>234000</v>
      </c>
    </row>
    <row r="351" spans="1:6" ht="45.75" thickBot="1" x14ac:dyDescent="0.3">
      <c r="A351" s="58">
        <v>5</v>
      </c>
      <c r="B351" s="8" t="s">
        <v>238</v>
      </c>
      <c r="C351" s="352">
        <v>175</v>
      </c>
      <c r="D351" s="59" t="s">
        <v>33</v>
      </c>
      <c r="E351" s="250">
        <v>1650</v>
      </c>
      <c r="F351" s="250">
        <f t="shared" si="12"/>
        <v>288750</v>
      </c>
    </row>
    <row r="352" spans="1:6" ht="75.75" thickBot="1" x14ac:dyDescent="0.3">
      <c r="A352" s="58">
        <v>6</v>
      </c>
      <c r="B352" s="8" t="s">
        <v>239</v>
      </c>
      <c r="C352" s="352">
        <v>970</v>
      </c>
      <c r="D352" s="59" t="s">
        <v>31</v>
      </c>
      <c r="E352" s="250">
        <v>1550</v>
      </c>
      <c r="F352" s="250">
        <f t="shared" si="12"/>
        <v>1503500</v>
      </c>
    </row>
    <row r="353" spans="1:6" ht="45.75" thickBot="1" x14ac:dyDescent="0.3">
      <c r="A353" s="58">
        <v>7</v>
      </c>
      <c r="B353" s="8" t="s">
        <v>240</v>
      </c>
      <c r="C353" s="352">
        <v>250</v>
      </c>
      <c r="D353" s="59" t="s">
        <v>33</v>
      </c>
      <c r="E353" s="250">
        <v>1650</v>
      </c>
      <c r="F353" s="250">
        <f t="shared" si="12"/>
        <v>412500</v>
      </c>
    </row>
    <row r="354" spans="1:6" ht="30.75" thickBot="1" x14ac:dyDescent="0.3">
      <c r="A354" s="58">
        <v>8</v>
      </c>
      <c r="B354" s="8" t="s">
        <v>241</v>
      </c>
      <c r="C354" s="352">
        <v>1</v>
      </c>
      <c r="D354" s="59" t="s">
        <v>11</v>
      </c>
      <c r="E354" s="250">
        <v>255000</v>
      </c>
      <c r="F354" s="250">
        <f t="shared" si="12"/>
        <v>255000</v>
      </c>
    </row>
    <row r="355" spans="1:6" ht="15.75" thickBot="1" x14ac:dyDescent="0.3">
      <c r="A355" s="60"/>
      <c r="B355" s="8"/>
      <c r="C355" s="352"/>
      <c r="D355" s="59"/>
      <c r="E355" s="251"/>
      <c r="F355" s="251"/>
    </row>
    <row r="356" spans="1:6" ht="15.75" thickBot="1" x14ac:dyDescent="0.3">
      <c r="A356" s="60"/>
      <c r="B356" s="11" t="s">
        <v>10</v>
      </c>
      <c r="C356" s="353"/>
      <c r="D356" s="61"/>
      <c r="E356" s="252"/>
      <c r="F356" s="253">
        <f>SUM(F348,F349,F350,F351,F352,F353,F354)</f>
        <v>3111600</v>
      </c>
    </row>
    <row r="357" spans="1:6" ht="15.75" thickBot="1" x14ac:dyDescent="0.3">
      <c r="A357" s="60"/>
      <c r="B357" s="8"/>
      <c r="C357" s="352"/>
      <c r="D357" s="59"/>
      <c r="E357" s="251"/>
      <c r="F357" s="251"/>
    </row>
    <row r="358" spans="1:6" ht="15.75" thickBot="1" x14ac:dyDescent="0.3">
      <c r="F358" s="16">
        <f t="shared" ref="F358:F409" si="13">(C358*E358)</f>
        <v>0</v>
      </c>
    </row>
    <row r="359" spans="1:6" ht="15.75" thickBot="1" x14ac:dyDescent="0.3">
      <c r="A359" s="56" t="s">
        <v>0</v>
      </c>
      <c r="B359" s="6" t="s">
        <v>1</v>
      </c>
      <c r="C359" s="323" t="s">
        <v>2</v>
      </c>
      <c r="D359" s="57" t="s">
        <v>3</v>
      </c>
      <c r="E359" s="249" t="s">
        <v>4</v>
      </c>
      <c r="F359" s="249" t="s">
        <v>5</v>
      </c>
    </row>
    <row r="360" spans="1:6" ht="60" x14ac:dyDescent="0.25">
      <c r="A360" s="13">
        <v>1</v>
      </c>
      <c r="B360" s="14" t="s">
        <v>145</v>
      </c>
      <c r="C360" s="316">
        <v>800</v>
      </c>
      <c r="D360" s="15" t="s">
        <v>31</v>
      </c>
      <c r="E360" s="16">
        <v>325</v>
      </c>
      <c r="F360" s="16">
        <f>(C360*E360)</f>
        <v>260000</v>
      </c>
    </row>
    <row r="361" spans="1:6" ht="30" x14ac:dyDescent="0.25">
      <c r="A361" s="13">
        <v>2</v>
      </c>
      <c r="B361" s="14" t="s">
        <v>147</v>
      </c>
      <c r="C361" s="316">
        <v>800</v>
      </c>
      <c r="D361" s="15" t="s">
        <v>31</v>
      </c>
      <c r="E361" s="16">
        <v>110</v>
      </c>
      <c r="F361" s="16">
        <f t="shared" si="13"/>
        <v>88000</v>
      </c>
    </row>
    <row r="362" spans="1:6" ht="45" x14ac:dyDescent="0.25">
      <c r="A362" s="13">
        <v>3</v>
      </c>
      <c r="B362" s="14" t="s">
        <v>148</v>
      </c>
      <c r="C362" s="316">
        <v>144</v>
      </c>
      <c r="D362" s="15" t="s">
        <v>31</v>
      </c>
      <c r="E362" s="16">
        <v>400</v>
      </c>
      <c r="F362" s="16">
        <f t="shared" si="13"/>
        <v>57600</v>
      </c>
    </row>
    <row r="364" spans="1:6" x14ac:dyDescent="0.25">
      <c r="B364" s="17" t="s">
        <v>10</v>
      </c>
      <c r="C364" s="31"/>
      <c r="D364" s="18"/>
      <c r="E364" s="239"/>
      <c r="F364" s="239">
        <f>SUM(F360:F362)</f>
        <v>405600</v>
      </c>
    </row>
    <row r="365" spans="1:6" ht="15.75" thickBot="1" x14ac:dyDescent="0.3"/>
    <row r="366" spans="1:6" ht="15.75" thickBot="1" x14ac:dyDescent="0.3">
      <c r="A366" s="56" t="s">
        <v>0</v>
      </c>
      <c r="B366" s="6" t="s">
        <v>1</v>
      </c>
      <c r="C366" s="323" t="s">
        <v>2</v>
      </c>
      <c r="D366" s="57" t="s">
        <v>3</v>
      </c>
      <c r="E366" s="249" t="s">
        <v>4</v>
      </c>
      <c r="F366" s="249" t="s">
        <v>5</v>
      </c>
    </row>
    <row r="367" spans="1:6" ht="60" x14ac:dyDescent="0.25">
      <c r="A367" s="13">
        <v>1</v>
      </c>
      <c r="B367" s="14" t="s">
        <v>242</v>
      </c>
      <c r="C367" s="316">
        <v>6110</v>
      </c>
      <c r="D367" s="15" t="s">
        <v>9</v>
      </c>
      <c r="E367" s="16">
        <v>45</v>
      </c>
      <c r="F367" s="16">
        <f t="shared" si="13"/>
        <v>274950</v>
      </c>
    </row>
    <row r="368" spans="1:6" ht="30" x14ac:dyDescent="0.25">
      <c r="A368" s="13">
        <v>2</v>
      </c>
      <c r="B368" s="14" t="s">
        <v>243</v>
      </c>
      <c r="C368" s="316">
        <v>1455</v>
      </c>
      <c r="D368" s="15" t="s">
        <v>9</v>
      </c>
      <c r="E368" s="16">
        <v>48</v>
      </c>
      <c r="F368" s="16">
        <f t="shared" si="13"/>
        <v>69840</v>
      </c>
    </row>
    <row r="369" spans="1:11" ht="30" x14ac:dyDescent="0.25">
      <c r="A369" s="13">
        <v>3</v>
      </c>
      <c r="B369" s="14" t="s">
        <v>244</v>
      </c>
      <c r="C369" s="316">
        <v>438</v>
      </c>
      <c r="D369" s="15" t="s">
        <v>9</v>
      </c>
      <c r="E369" s="16">
        <v>55</v>
      </c>
      <c r="F369" s="16">
        <f t="shared" si="13"/>
        <v>24090</v>
      </c>
    </row>
    <row r="370" spans="1:11" ht="30" x14ac:dyDescent="0.25">
      <c r="A370" s="13">
        <v>4</v>
      </c>
      <c r="B370" s="14" t="s">
        <v>245</v>
      </c>
      <c r="C370" s="316">
        <v>595</v>
      </c>
      <c r="D370" s="15" t="s">
        <v>9</v>
      </c>
      <c r="E370" s="16">
        <v>110</v>
      </c>
      <c r="F370" s="16">
        <f t="shared" si="13"/>
        <v>65450</v>
      </c>
    </row>
    <row r="371" spans="1:11" ht="45" x14ac:dyDescent="0.25">
      <c r="A371" s="13">
        <v>5</v>
      </c>
      <c r="B371" s="14" t="s">
        <v>246</v>
      </c>
      <c r="C371" s="316">
        <v>1052</v>
      </c>
      <c r="D371" s="15" t="s">
        <v>9</v>
      </c>
      <c r="E371" s="16">
        <v>95</v>
      </c>
      <c r="F371" s="16">
        <f t="shared" si="13"/>
        <v>99940</v>
      </c>
    </row>
    <row r="372" spans="1:11" ht="30" x14ac:dyDescent="0.25">
      <c r="A372" s="13">
        <v>6</v>
      </c>
      <c r="B372" s="14" t="s">
        <v>247</v>
      </c>
      <c r="C372" s="316">
        <v>382</v>
      </c>
      <c r="D372" s="15" t="s">
        <v>9</v>
      </c>
      <c r="E372" s="16">
        <v>55</v>
      </c>
      <c r="F372" s="16">
        <f t="shared" si="13"/>
        <v>21010</v>
      </c>
    </row>
    <row r="374" spans="1:11" x14ac:dyDescent="0.25">
      <c r="A374" s="426" t="s">
        <v>248</v>
      </c>
      <c r="B374" s="427"/>
      <c r="C374" s="427"/>
      <c r="D374" s="428"/>
      <c r="E374" s="239"/>
    </row>
    <row r="375" spans="1:11" ht="45" x14ac:dyDescent="0.25">
      <c r="A375" s="13">
        <v>1</v>
      </c>
      <c r="B375" s="29" t="s">
        <v>278</v>
      </c>
      <c r="C375" s="316">
        <v>1</v>
      </c>
      <c r="D375" s="29" t="s">
        <v>11</v>
      </c>
      <c r="E375" s="254">
        <v>32000</v>
      </c>
      <c r="F375" s="16">
        <f>(C375*E375)</f>
        <v>32000</v>
      </c>
    </row>
    <row r="376" spans="1:11" ht="75" x14ac:dyDescent="0.25">
      <c r="A376" s="13">
        <v>2</v>
      </c>
      <c r="B376" s="29" t="s">
        <v>263</v>
      </c>
      <c r="C376" s="316">
        <v>1</v>
      </c>
      <c r="D376" s="29" t="s">
        <v>11</v>
      </c>
      <c r="E376" s="254">
        <v>27500</v>
      </c>
      <c r="F376" s="16">
        <f t="shared" si="13"/>
        <v>27500</v>
      </c>
    </row>
    <row r="377" spans="1:11" ht="60" x14ac:dyDescent="0.25">
      <c r="A377" s="13">
        <v>3</v>
      </c>
      <c r="B377" s="29" t="s">
        <v>249</v>
      </c>
      <c r="C377" s="316">
        <v>1</v>
      </c>
      <c r="D377" s="29" t="s">
        <v>11</v>
      </c>
      <c r="E377" s="254">
        <v>14500</v>
      </c>
      <c r="F377" s="16">
        <f t="shared" si="13"/>
        <v>14500</v>
      </c>
    </row>
    <row r="378" spans="1:11" ht="30" x14ac:dyDescent="0.25">
      <c r="A378" s="13">
        <v>4</v>
      </c>
      <c r="B378" s="29" t="s">
        <v>250</v>
      </c>
      <c r="C378" s="316">
        <v>1</v>
      </c>
      <c r="D378" s="29" t="s">
        <v>11</v>
      </c>
      <c r="E378" s="254">
        <v>24500</v>
      </c>
      <c r="F378" s="16">
        <f t="shared" si="13"/>
        <v>24500</v>
      </c>
    </row>
    <row r="379" spans="1:11" ht="45" x14ac:dyDescent="0.25">
      <c r="A379" s="13">
        <v>5</v>
      </c>
      <c r="B379" s="29" t="s">
        <v>251</v>
      </c>
      <c r="C379" s="316">
        <v>1</v>
      </c>
      <c r="D379" s="29" t="s">
        <v>11</v>
      </c>
      <c r="E379" s="254">
        <v>24500</v>
      </c>
      <c r="F379" s="16">
        <f t="shared" si="13"/>
        <v>24500</v>
      </c>
    </row>
    <row r="380" spans="1:11" ht="45" x14ac:dyDescent="0.25">
      <c r="A380" s="13">
        <v>6</v>
      </c>
      <c r="B380" s="29" t="s">
        <v>252</v>
      </c>
      <c r="C380" s="316">
        <v>1</v>
      </c>
      <c r="D380" s="29" t="s">
        <v>11</v>
      </c>
      <c r="E380" s="254" t="s">
        <v>277</v>
      </c>
      <c r="F380" s="16">
        <v>0</v>
      </c>
    </row>
    <row r="381" spans="1:11" ht="45" x14ac:dyDescent="0.25">
      <c r="A381" s="13">
        <v>7</v>
      </c>
      <c r="B381" s="29" t="s">
        <v>264</v>
      </c>
      <c r="C381" s="316">
        <v>1</v>
      </c>
      <c r="D381" s="29" t="s">
        <v>11</v>
      </c>
      <c r="E381" s="254">
        <v>23040</v>
      </c>
      <c r="F381" s="16">
        <f t="shared" si="13"/>
        <v>23040</v>
      </c>
      <c r="H381" s="637" t="s">
        <v>259</v>
      </c>
      <c r="I381" s="637"/>
      <c r="J381" s="637"/>
      <c r="K381" s="637"/>
    </row>
    <row r="382" spans="1:11" ht="45" x14ac:dyDescent="0.25">
      <c r="A382" s="13">
        <v>8</v>
      </c>
      <c r="B382" s="29" t="s">
        <v>253</v>
      </c>
      <c r="C382" s="316">
        <v>1</v>
      </c>
      <c r="D382" s="29" t="s">
        <v>11</v>
      </c>
      <c r="E382" s="254" t="s">
        <v>277</v>
      </c>
      <c r="F382" s="16">
        <v>0</v>
      </c>
    </row>
    <row r="383" spans="1:11" ht="60" x14ac:dyDescent="0.25">
      <c r="A383" s="13">
        <v>9</v>
      </c>
      <c r="B383" s="29" t="s">
        <v>254</v>
      </c>
      <c r="C383" s="316">
        <v>1</v>
      </c>
      <c r="D383" s="29" t="s">
        <v>11</v>
      </c>
      <c r="E383" s="254">
        <v>12500</v>
      </c>
      <c r="F383" s="16">
        <f t="shared" si="13"/>
        <v>12500</v>
      </c>
    </row>
    <row r="384" spans="1:11" ht="60" x14ac:dyDescent="0.25">
      <c r="A384" s="13">
        <v>10</v>
      </c>
      <c r="B384" s="29" t="s">
        <v>255</v>
      </c>
      <c r="C384" s="316">
        <v>1</v>
      </c>
      <c r="D384" s="29" t="s">
        <v>11</v>
      </c>
      <c r="E384" s="254" t="s">
        <v>277</v>
      </c>
      <c r="F384" s="16">
        <v>0</v>
      </c>
    </row>
    <row r="385" spans="1:6" ht="60" x14ac:dyDescent="0.25">
      <c r="A385" s="13">
        <v>11</v>
      </c>
      <c r="B385" s="29" t="s">
        <v>256</v>
      </c>
      <c r="C385" s="316">
        <v>1</v>
      </c>
      <c r="D385" s="29" t="s">
        <v>11</v>
      </c>
      <c r="E385" s="254" t="s">
        <v>277</v>
      </c>
      <c r="F385" s="16">
        <v>0</v>
      </c>
    </row>
    <row r="386" spans="1:6" ht="45" x14ac:dyDescent="0.25">
      <c r="A386" s="13">
        <v>12</v>
      </c>
      <c r="B386" s="29" t="s">
        <v>257</v>
      </c>
      <c r="C386" s="316">
        <v>1</v>
      </c>
      <c r="D386" s="29" t="s">
        <v>11</v>
      </c>
      <c r="E386" s="254" t="s">
        <v>277</v>
      </c>
      <c r="F386" s="16">
        <v>0</v>
      </c>
    </row>
    <row r="387" spans="1:6" ht="30" x14ac:dyDescent="0.25">
      <c r="A387" s="13">
        <v>13</v>
      </c>
      <c r="B387" s="29" t="s">
        <v>258</v>
      </c>
      <c r="C387" s="316">
        <v>1</v>
      </c>
      <c r="D387" s="29" t="s">
        <v>11</v>
      </c>
      <c r="E387" s="254" t="s">
        <v>277</v>
      </c>
      <c r="F387" s="16">
        <v>0</v>
      </c>
    </row>
    <row r="388" spans="1:6" ht="30" x14ac:dyDescent="0.25">
      <c r="A388" s="13">
        <v>14</v>
      </c>
      <c r="B388" s="29" t="s">
        <v>260</v>
      </c>
      <c r="C388" s="316">
        <v>1</v>
      </c>
      <c r="D388" s="29" t="s">
        <v>11</v>
      </c>
      <c r="E388" s="254">
        <v>3500</v>
      </c>
      <c r="F388" s="16">
        <f t="shared" si="13"/>
        <v>3500</v>
      </c>
    </row>
    <row r="389" spans="1:6" ht="30" x14ac:dyDescent="0.25">
      <c r="A389" s="13">
        <v>15</v>
      </c>
      <c r="B389" s="29" t="s">
        <v>261</v>
      </c>
      <c r="C389" s="316">
        <v>1</v>
      </c>
      <c r="D389" s="29" t="s">
        <v>11</v>
      </c>
      <c r="E389" s="254">
        <v>8500</v>
      </c>
      <c r="F389" s="16">
        <f t="shared" si="13"/>
        <v>8500</v>
      </c>
    </row>
    <row r="390" spans="1:6" ht="30" x14ac:dyDescent="0.25">
      <c r="A390" s="13">
        <v>16</v>
      </c>
      <c r="B390" s="29" t="s">
        <v>262</v>
      </c>
      <c r="C390" s="316">
        <v>1</v>
      </c>
      <c r="D390" s="29" t="s">
        <v>11</v>
      </c>
      <c r="E390" s="254">
        <v>12500</v>
      </c>
      <c r="F390" s="16">
        <f t="shared" si="13"/>
        <v>12500</v>
      </c>
    </row>
    <row r="391" spans="1:6" x14ac:dyDescent="0.25">
      <c r="A391" s="426" t="s">
        <v>267</v>
      </c>
      <c r="B391" s="427"/>
      <c r="C391" s="427"/>
      <c r="D391" s="428"/>
      <c r="E391" s="254"/>
    </row>
    <row r="392" spans="1:6" x14ac:dyDescent="0.25">
      <c r="A392" s="426" t="s">
        <v>283</v>
      </c>
      <c r="B392" s="427"/>
      <c r="C392" s="427"/>
      <c r="D392" s="428"/>
      <c r="E392" s="254"/>
    </row>
    <row r="393" spans="1:6" x14ac:dyDescent="0.25">
      <c r="A393" s="13">
        <v>1</v>
      </c>
      <c r="B393" s="29" t="s">
        <v>265</v>
      </c>
      <c r="C393" s="316">
        <v>1</v>
      </c>
      <c r="D393" s="29" t="s">
        <v>11</v>
      </c>
      <c r="E393" s="254">
        <v>5500</v>
      </c>
      <c r="F393" s="16">
        <f t="shared" si="13"/>
        <v>5500</v>
      </c>
    </row>
    <row r="394" spans="1:6" x14ac:dyDescent="0.25">
      <c r="A394" s="13">
        <v>2</v>
      </c>
      <c r="B394" s="29" t="s">
        <v>279</v>
      </c>
      <c r="C394" s="316">
        <v>1</v>
      </c>
      <c r="D394" s="29" t="s">
        <v>11</v>
      </c>
      <c r="E394" s="254">
        <v>2500</v>
      </c>
      <c r="F394" s="16">
        <f t="shared" si="13"/>
        <v>2500</v>
      </c>
    </row>
    <row r="395" spans="1:6" x14ac:dyDescent="0.25">
      <c r="A395" s="13">
        <v>3</v>
      </c>
      <c r="B395" s="29" t="s">
        <v>266</v>
      </c>
      <c r="C395" s="316">
        <v>1</v>
      </c>
      <c r="D395" s="29" t="s">
        <v>11</v>
      </c>
      <c r="E395" s="254">
        <v>7500</v>
      </c>
      <c r="F395" s="16">
        <f t="shared" si="13"/>
        <v>7500</v>
      </c>
    </row>
    <row r="396" spans="1:6" x14ac:dyDescent="0.25">
      <c r="A396" s="426" t="s">
        <v>284</v>
      </c>
      <c r="B396" s="427"/>
      <c r="C396" s="427"/>
      <c r="D396" s="428"/>
      <c r="E396" s="254"/>
    </row>
    <row r="397" spans="1:6" x14ac:dyDescent="0.25">
      <c r="A397" s="13">
        <v>1</v>
      </c>
      <c r="B397" s="29" t="s">
        <v>268</v>
      </c>
      <c r="C397" s="316">
        <v>1</v>
      </c>
      <c r="D397" s="29" t="s">
        <v>11</v>
      </c>
      <c r="E397" s="254">
        <v>2950</v>
      </c>
      <c r="F397" s="16">
        <f t="shared" si="13"/>
        <v>2950</v>
      </c>
    </row>
    <row r="398" spans="1:6" x14ac:dyDescent="0.25">
      <c r="A398" s="13">
        <v>2</v>
      </c>
      <c r="B398" s="29" t="s">
        <v>269</v>
      </c>
      <c r="C398" s="316">
        <v>1</v>
      </c>
      <c r="D398" s="29" t="s">
        <v>11</v>
      </c>
      <c r="E398" s="254">
        <v>2200</v>
      </c>
      <c r="F398" s="16">
        <f t="shared" si="13"/>
        <v>2200</v>
      </c>
    </row>
    <row r="399" spans="1:6" x14ac:dyDescent="0.25">
      <c r="A399" s="13">
        <v>3</v>
      </c>
      <c r="B399" s="29" t="s">
        <v>270</v>
      </c>
      <c r="C399" s="316">
        <v>1</v>
      </c>
      <c r="D399" s="29" t="s">
        <v>11</v>
      </c>
      <c r="E399" s="254">
        <v>3500</v>
      </c>
      <c r="F399" s="16">
        <f t="shared" si="13"/>
        <v>3500</v>
      </c>
    </row>
    <row r="400" spans="1:6" x14ac:dyDescent="0.25">
      <c r="A400" s="13">
        <v>4</v>
      </c>
      <c r="B400" s="29" t="s">
        <v>271</v>
      </c>
      <c r="C400" s="316">
        <v>1</v>
      </c>
      <c r="D400" s="29" t="s">
        <v>11</v>
      </c>
      <c r="E400" s="254">
        <v>1800</v>
      </c>
      <c r="F400" s="16">
        <f t="shared" si="13"/>
        <v>1800</v>
      </c>
    </row>
    <row r="401" spans="1:6" x14ac:dyDescent="0.25">
      <c r="A401" s="13">
        <v>5</v>
      </c>
      <c r="B401" s="29" t="s">
        <v>272</v>
      </c>
      <c r="C401" s="316">
        <v>1</v>
      </c>
      <c r="D401" s="29" t="s">
        <v>11</v>
      </c>
      <c r="E401" s="254">
        <v>850</v>
      </c>
      <c r="F401" s="16">
        <f t="shared" si="13"/>
        <v>850</v>
      </c>
    </row>
    <row r="402" spans="1:6" ht="30" x14ac:dyDescent="0.25">
      <c r="A402" s="13">
        <v>6</v>
      </c>
      <c r="B402" s="29" t="s">
        <v>280</v>
      </c>
      <c r="C402" s="316">
        <v>1</v>
      </c>
      <c r="D402" s="29" t="s">
        <v>11</v>
      </c>
      <c r="E402" s="254">
        <v>5500</v>
      </c>
      <c r="F402" s="16">
        <f t="shared" si="13"/>
        <v>5500</v>
      </c>
    </row>
    <row r="403" spans="1:6" x14ac:dyDescent="0.25">
      <c r="A403" s="13">
        <v>7</v>
      </c>
      <c r="B403" s="29" t="s">
        <v>273</v>
      </c>
      <c r="C403" s="316">
        <v>1</v>
      </c>
      <c r="D403" s="29" t="s">
        <v>11</v>
      </c>
      <c r="E403" s="254" t="s">
        <v>277</v>
      </c>
      <c r="F403" s="16">
        <v>0</v>
      </c>
    </row>
    <row r="404" spans="1:6" x14ac:dyDescent="0.25">
      <c r="A404" s="426" t="s">
        <v>285</v>
      </c>
      <c r="B404" s="427"/>
      <c r="C404" s="427"/>
      <c r="D404" s="428"/>
      <c r="E404" s="254"/>
    </row>
    <row r="405" spans="1:6" x14ac:dyDescent="0.25">
      <c r="A405" s="13">
        <v>1</v>
      </c>
      <c r="B405" s="29" t="s">
        <v>274</v>
      </c>
      <c r="C405" s="316">
        <v>1</v>
      </c>
      <c r="D405" s="29" t="s">
        <v>11</v>
      </c>
      <c r="E405" s="254">
        <v>2200</v>
      </c>
      <c r="F405" s="16">
        <f t="shared" si="13"/>
        <v>2200</v>
      </c>
    </row>
    <row r="406" spans="1:6" x14ac:dyDescent="0.25">
      <c r="A406" s="13">
        <v>2</v>
      </c>
      <c r="B406" s="29" t="s">
        <v>281</v>
      </c>
      <c r="C406" s="316">
        <v>1</v>
      </c>
      <c r="D406" s="29" t="s">
        <v>11</v>
      </c>
      <c r="E406" s="254">
        <v>1500</v>
      </c>
      <c r="F406" s="16">
        <f t="shared" si="13"/>
        <v>1500</v>
      </c>
    </row>
    <row r="407" spans="1:6" x14ac:dyDescent="0.25">
      <c r="A407" s="13">
        <v>3</v>
      </c>
      <c r="B407" s="29" t="s">
        <v>275</v>
      </c>
      <c r="C407" s="316">
        <v>1</v>
      </c>
      <c r="D407" s="29" t="s">
        <v>11</v>
      </c>
      <c r="E407" s="254" t="s">
        <v>277</v>
      </c>
      <c r="F407" s="16">
        <v>0</v>
      </c>
    </row>
    <row r="408" spans="1:6" ht="30" x14ac:dyDescent="0.25">
      <c r="A408" s="13">
        <v>4</v>
      </c>
      <c r="B408" s="29" t="s">
        <v>282</v>
      </c>
      <c r="C408" s="316">
        <v>1</v>
      </c>
      <c r="D408" s="29" t="s">
        <v>11</v>
      </c>
      <c r="E408" s="254">
        <v>4500</v>
      </c>
      <c r="F408" s="16">
        <f t="shared" si="13"/>
        <v>4500</v>
      </c>
    </row>
    <row r="409" spans="1:6" ht="30" x14ac:dyDescent="0.25">
      <c r="A409" s="13">
        <v>5</v>
      </c>
      <c r="B409" s="29" t="s">
        <v>276</v>
      </c>
      <c r="C409" s="316">
        <v>1</v>
      </c>
      <c r="D409" s="29" t="s">
        <v>11</v>
      </c>
      <c r="E409" s="254">
        <v>3500</v>
      </c>
      <c r="F409" s="16">
        <f t="shared" si="13"/>
        <v>3500</v>
      </c>
    </row>
    <row r="411" spans="1:6" x14ac:dyDescent="0.25">
      <c r="B411" s="17" t="s">
        <v>10</v>
      </c>
      <c r="C411" s="31"/>
      <c r="D411" s="18"/>
      <c r="E411" s="239"/>
      <c r="F411" s="239">
        <f>SUM(F375:F409,F367:F372)</f>
        <v>782320</v>
      </c>
    </row>
    <row r="413" spans="1:6" ht="15.75" thickBot="1" x14ac:dyDescent="0.3">
      <c r="F413" s="16">
        <f>(C413*E413)</f>
        <v>0</v>
      </c>
    </row>
    <row r="414" spans="1:6" ht="15.75" thickBot="1" x14ac:dyDescent="0.3">
      <c r="A414" s="56"/>
      <c r="B414" s="6"/>
      <c r="C414" s="323"/>
      <c r="D414" s="57"/>
      <c r="E414" s="249"/>
      <c r="F414" s="249"/>
    </row>
    <row r="415" spans="1:6" ht="15.75" thickBot="1" x14ac:dyDescent="0.3">
      <c r="A415" s="56" t="s">
        <v>0</v>
      </c>
      <c r="B415" s="6" t="s">
        <v>1</v>
      </c>
      <c r="C415" s="323" t="s">
        <v>2</v>
      </c>
      <c r="D415" s="57" t="s">
        <v>3</v>
      </c>
      <c r="E415" s="249" t="s">
        <v>4</v>
      </c>
      <c r="F415" s="249" t="s">
        <v>5</v>
      </c>
    </row>
    <row r="416" spans="1:6" ht="15.75" thickBot="1" x14ac:dyDescent="0.3">
      <c r="A416" s="62"/>
      <c r="B416" s="8"/>
      <c r="C416" s="324"/>
      <c r="D416" s="9"/>
      <c r="E416" s="237"/>
      <c r="F416" s="237"/>
    </row>
    <row r="417" spans="1:6" ht="15.75" thickBot="1" x14ac:dyDescent="0.3">
      <c r="A417" s="62"/>
      <c r="B417" s="8"/>
      <c r="C417" s="324"/>
      <c r="D417" s="9"/>
      <c r="E417" s="237"/>
      <c r="F417" s="237"/>
    </row>
    <row r="418" spans="1:6" ht="15.75" thickBot="1" x14ac:dyDescent="0.3">
      <c r="A418" s="62"/>
      <c r="B418" s="8"/>
      <c r="C418" s="324"/>
      <c r="D418" s="9"/>
      <c r="E418" s="237"/>
      <c r="F418" s="237"/>
    </row>
    <row r="419" spans="1:6" ht="15.75" thickBot="1" x14ac:dyDescent="0.3">
      <c r="A419" s="62"/>
      <c r="B419" s="8"/>
      <c r="C419" s="324"/>
      <c r="D419" s="9"/>
      <c r="E419" s="237"/>
      <c r="F419" s="237"/>
    </row>
    <row r="420" spans="1:6" ht="15.75" thickBot="1" x14ac:dyDescent="0.3">
      <c r="A420" s="62"/>
      <c r="B420" s="8"/>
      <c r="C420" s="324"/>
      <c r="D420" s="9"/>
      <c r="E420" s="237"/>
      <c r="F420" s="237"/>
    </row>
    <row r="421" spans="1:6" ht="15.75" thickBot="1" x14ac:dyDescent="0.3">
      <c r="A421" s="62"/>
      <c r="B421" s="8"/>
      <c r="C421" s="324"/>
      <c r="D421" s="9"/>
      <c r="E421" s="237"/>
      <c r="F421" s="237"/>
    </row>
    <row r="422" spans="1:6" ht="15.75" thickBot="1" x14ac:dyDescent="0.3">
      <c r="A422" s="641"/>
      <c r="B422" s="642"/>
      <c r="C422" s="642"/>
      <c r="D422" s="643"/>
      <c r="E422" s="238"/>
      <c r="F422" s="237"/>
    </row>
    <row r="423" spans="1:6" ht="15.75" thickBot="1" x14ac:dyDescent="0.3">
      <c r="A423" s="62"/>
      <c r="B423" s="8"/>
      <c r="C423" s="324"/>
      <c r="D423" s="8"/>
      <c r="E423" s="255"/>
      <c r="F423" s="256"/>
    </row>
    <row r="424" spans="1:6" ht="15.75" thickBot="1" x14ac:dyDescent="0.3">
      <c r="A424" s="62"/>
      <c r="B424" s="8"/>
      <c r="C424" s="324"/>
      <c r="D424" s="8"/>
      <c r="E424" s="255"/>
      <c r="F424" s="256"/>
    </row>
    <row r="425" spans="1:6" ht="15.75" thickBot="1" x14ac:dyDescent="0.3">
      <c r="A425" s="62"/>
      <c r="B425" s="8"/>
      <c r="C425" s="324"/>
      <c r="D425" s="8"/>
      <c r="E425" s="255"/>
      <c r="F425" s="256"/>
    </row>
    <row r="426" spans="1:6" ht="15.75" thickBot="1" x14ac:dyDescent="0.3">
      <c r="A426" s="62"/>
      <c r="B426" s="8"/>
      <c r="C426" s="324"/>
      <c r="D426" s="8"/>
      <c r="E426" s="255"/>
      <c r="F426" s="256"/>
    </row>
    <row r="427" spans="1:6" ht="15.75" thickBot="1" x14ac:dyDescent="0.3">
      <c r="A427" s="62"/>
      <c r="B427" s="8"/>
      <c r="C427" s="324"/>
      <c r="D427" s="8"/>
      <c r="E427" s="255"/>
      <c r="F427" s="256"/>
    </row>
    <row r="428" spans="1:6" ht="15.75" thickBot="1" x14ac:dyDescent="0.3">
      <c r="A428" s="62"/>
      <c r="B428" s="8"/>
      <c r="C428" s="324"/>
      <c r="D428" s="8"/>
      <c r="E428" s="257"/>
      <c r="F428" s="256"/>
    </row>
    <row r="429" spans="1:6" ht="15.75" thickBot="1" x14ac:dyDescent="0.3">
      <c r="A429" s="62"/>
      <c r="B429" s="8"/>
      <c r="C429" s="324"/>
      <c r="D429" s="8"/>
      <c r="E429" s="255"/>
      <c r="F429" s="256"/>
    </row>
    <row r="430" spans="1:6" ht="15.75" thickBot="1" x14ac:dyDescent="0.3">
      <c r="A430" s="62"/>
      <c r="B430" s="8"/>
      <c r="C430" s="324"/>
      <c r="D430" s="8"/>
      <c r="E430" s="257"/>
      <c r="F430" s="256"/>
    </row>
    <row r="431" spans="1:6" ht="15.75" thickBot="1" x14ac:dyDescent="0.3">
      <c r="A431" s="62"/>
      <c r="B431" s="8"/>
      <c r="C431" s="324"/>
      <c r="D431" s="8"/>
      <c r="E431" s="255"/>
      <c r="F431" s="256"/>
    </row>
    <row r="432" spans="1:6" ht="15.75" thickBot="1" x14ac:dyDescent="0.3">
      <c r="A432" s="62"/>
      <c r="B432" s="8"/>
      <c r="C432" s="324"/>
      <c r="D432" s="8"/>
      <c r="E432" s="257"/>
      <c r="F432" s="256"/>
    </row>
    <row r="433" spans="1:6" x14ac:dyDescent="0.25">
      <c r="A433" s="646"/>
      <c r="B433" s="10"/>
      <c r="C433" s="569"/>
      <c r="D433" s="650"/>
      <c r="E433" s="653"/>
      <c r="F433" s="572"/>
    </row>
    <row r="434" spans="1:6" x14ac:dyDescent="0.25">
      <c r="A434" s="647"/>
      <c r="B434" s="10"/>
      <c r="C434" s="570"/>
      <c r="D434" s="651"/>
      <c r="E434" s="654"/>
      <c r="F434" s="573"/>
    </row>
    <row r="435" spans="1:6" ht="15.75" thickBot="1" x14ac:dyDescent="0.3">
      <c r="A435" s="648"/>
      <c r="B435" s="8"/>
      <c r="C435" s="649"/>
      <c r="D435" s="652"/>
      <c r="E435" s="655"/>
      <c r="F435" s="640"/>
    </row>
    <row r="436" spans="1:6" ht="15.75" thickBot="1" x14ac:dyDescent="0.3">
      <c r="A436" s="62"/>
      <c r="B436" s="8"/>
      <c r="C436" s="324"/>
      <c r="D436" s="8"/>
      <c r="E436" s="257"/>
      <c r="F436" s="256"/>
    </row>
    <row r="437" spans="1:6" ht="15.75" thickBot="1" x14ac:dyDescent="0.3">
      <c r="A437" s="62"/>
      <c r="B437" s="8"/>
      <c r="C437" s="324"/>
      <c r="D437" s="8"/>
      <c r="E437" s="257"/>
      <c r="F437" s="256"/>
    </row>
    <row r="438" spans="1:6" ht="15.75" thickBot="1" x14ac:dyDescent="0.3">
      <c r="A438" s="62"/>
      <c r="B438" s="8"/>
      <c r="C438" s="324"/>
      <c r="D438" s="8"/>
      <c r="E438" s="255"/>
      <c r="F438" s="256"/>
    </row>
    <row r="439" spans="1:6" ht="15.75" thickBot="1" x14ac:dyDescent="0.3">
      <c r="A439" s="62"/>
      <c r="B439" s="8"/>
      <c r="C439" s="324"/>
      <c r="D439" s="8"/>
      <c r="E439" s="255"/>
      <c r="F439" s="256"/>
    </row>
    <row r="440" spans="1:6" ht="15.75" thickBot="1" x14ac:dyDescent="0.3">
      <c r="A440" s="62"/>
      <c r="B440" s="8"/>
      <c r="C440" s="324"/>
      <c r="D440" s="8"/>
      <c r="E440" s="255"/>
      <c r="F440" s="256"/>
    </row>
    <row r="441" spans="1:6" ht="15.75" thickBot="1" x14ac:dyDescent="0.3">
      <c r="A441" s="62"/>
      <c r="B441" s="8"/>
      <c r="C441" s="324"/>
      <c r="D441" s="8"/>
      <c r="E441" s="257"/>
      <c r="F441" s="256"/>
    </row>
    <row r="442" spans="1:6" ht="15.75" thickBot="1" x14ac:dyDescent="0.3">
      <c r="A442" s="62"/>
      <c r="B442" s="8"/>
      <c r="C442" s="324"/>
      <c r="D442" s="8"/>
      <c r="E442" s="257"/>
      <c r="F442" s="256"/>
    </row>
    <row r="443" spans="1:6" ht="15.75" thickBot="1" x14ac:dyDescent="0.3">
      <c r="A443" s="62"/>
      <c r="B443" s="8"/>
      <c r="C443" s="324"/>
      <c r="D443" s="8"/>
      <c r="E443" s="255"/>
      <c r="F443" s="256"/>
    </row>
    <row r="444" spans="1:6" ht="15.75" thickBot="1" x14ac:dyDescent="0.3">
      <c r="A444" s="62"/>
      <c r="B444" s="8"/>
      <c r="C444" s="324"/>
      <c r="D444" s="8"/>
      <c r="E444" s="255"/>
      <c r="F444" s="256"/>
    </row>
    <row r="445" spans="1:6" ht="15.75" thickBot="1" x14ac:dyDescent="0.3">
      <c r="A445" s="62"/>
      <c r="B445" s="8"/>
      <c r="C445" s="324"/>
      <c r="D445" s="8"/>
      <c r="E445" s="255"/>
      <c r="F445" s="256"/>
    </row>
    <row r="446" spans="1:6" ht="15.75" thickBot="1" x14ac:dyDescent="0.3">
      <c r="A446" s="62"/>
      <c r="B446" s="8"/>
      <c r="C446" s="324"/>
      <c r="D446" s="8"/>
      <c r="E446" s="257"/>
      <c r="F446" s="256"/>
    </row>
    <row r="447" spans="1:6" ht="15.75" thickBot="1" x14ac:dyDescent="0.3">
      <c r="A447" s="62"/>
      <c r="B447" s="8"/>
      <c r="C447" s="324"/>
      <c r="D447" s="8"/>
      <c r="E447" s="255"/>
      <c r="F447" s="256"/>
    </row>
    <row r="448" spans="1:6" ht="15.75" thickBot="1" x14ac:dyDescent="0.3">
      <c r="A448" s="62"/>
      <c r="B448" s="8"/>
      <c r="C448" s="324"/>
      <c r="D448" s="8"/>
      <c r="E448" s="255"/>
      <c r="F448" s="256"/>
    </row>
    <row r="449" spans="1:6" ht="15.75" thickBot="1" x14ac:dyDescent="0.3">
      <c r="A449" s="62"/>
      <c r="B449" s="8"/>
      <c r="C449" s="324"/>
      <c r="D449" s="8"/>
      <c r="E449" s="255"/>
      <c r="F449" s="256"/>
    </row>
    <row r="450" spans="1:6" ht="15.75" thickBot="1" x14ac:dyDescent="0.3">
      <c r="A450" s="62"/>
      <c r="B450" s="8"/>
      <c r="C450" s="324"/>
      <c r="D450" s="8"/>
      <c r="E450" s="255"/>
      <c r="F450" s="256"/>
    </row>
    <row r="451" spans="1:6" ht="15.75" thickBot="1" x14ac:dyDescent="0.3">
      <c r="A451" s="62"/>
      <c r="B451" s="8"/>
      <c r="C451" s="324"/>
      <c r="D451" s="8"/>
      <c r="E451" s="255"/>
      <c r="F451" s="256"/>
    </row>
    <row r="452" spans="1:6" ht="15.75" thickBot="1" x14ac:dyDescent="0.3">
      <c r="A452" s="62"/>
      <c r="B452" s="8"/>
      <c r="C452" s="324"/>
      <c r="D452" s="8"/>
      <c r="E452" s="255"/>
      <c r="F452" s="256"/>
    </row>
    <row r="453" spans="1:6" ht="15.75" thickBot="1" x14ac:dyDescent="0.3">
      <c r="A453" s="62"/>
      <c r="B453" s="8"/>
      <c r="C453" s="324"/>
      <c r="D453" s="8"/>
      <c r="E453" s="257"/>
      <c r="F453" s="256"/>
    </row>
    <row r="454" spans="1:6" ht="15.75" thickBot="1" x14ac:dyDescent="0.3">
      <c r="A454" s="62"/>
      <c r="B454" s="8"/>
      <c r="C454" s="324"/>
      <c r="D454" s="8"/>
      <c r="E454" s="257"/>
      <c r="F454" s="256"/>
    </row>
    <row r="455" spans="1:6" ht="15.75" thickBot="1" x14ac:dyDescent="0.3">
      <c r="A455" s="62"/>
      <c r="B455" s="8"/>
      <c r="C455" s="324"/>
      <c r="D455" s="8"/>
      <c r="E455" s="255"/>
      <c r="F455" s="256"/>
    </row>
    <row r="456" spans="1:6" ht="15.75" thickBot="1" x14ac:dyDescent="0.3">
      <c r="A456" s="62"/>
      <c r="B456" s="8"/>
      <c r="C456" s="324"/>
      <c r="D456" s="8"/>
      <c r="E456" s="255"/>
      <c r="F456" s="256"/>
    </row>
    <row r="457" spans="1:6" ht="15.75" thickBot="1" x14ac:dyDescent="0.3">
      <c r="A457" s="62"/>
      <c r="B457" s="8"/>
      <c r="C457" s="324"/>
      <c r="D457" s="8"/>
      <c r="E457" s="257"/>
      <c r="F457" s="256"/>
    </row>
    <row r="458" spans="1:6" ht="15.75" thickBot="1" x14ac:dyDescent="0.3">
      <c r="A458" s="62"/>
      <c r="B458" s="8"/>
      <c r="C458" s="324"/>
      <c r="D458" s="8"/>
      <c r="E458" s="255"/>
      <c r="F458" s="256"/>
    </row>
    <row r="459" spans="1:6" ht="15.75" thickBot="1" x14ac:dyDescent="0.3">
      <c r="A459" s="62"/>
      <c r="B459" s="8"/>
      <c r="C459" s="324"/>
      <c r="D459" s="8"/>
      <c r="E459" s="255"/>
      <c r="F459" s="256"/>
    </row>
    <row r="460" spans="1:6" ht="15.75" thickBot="1" x14ac:dyDescent="0.3">
      <c r="A460" s="62"/>
      <c r="B460" s="8"/>
      <c r="C460" s="324"/>
      <c r="D460" s="9"/>
      <c r="E460" s="237"/>
      <c r="F460" s="237"/>
    </row>
    <row r="461" spans="1:6" ht="15.75" thickBot="1" x14ac:dyDescent="0.3">
      <c r="A461" s="62"/>
      <c r="B461" s="11"/>
      <c r="C461" s="325"/>
      <c r="D461" s="12"/>
      <c r="E461" s="238"/>
      <c r="F461" s="238"/>
    </row>
    <row r="462" spans="1:6" ht="15.75" thickBot="1" x14ac:dyDescent="0.3">
      <c r="A462" s="62"/>
      <c r="B462" s="8"/>
      <c r="C462" s="324"/>
      <c r="D462" s="9"/>
      <c r="E462" s="237"/>
      <c r="F462" s="237"/>
    </row>
    <row r="463" spans="1:6" x14ac:dyDescent="0.25">
      <c r="B463" s="656"/>
      <c r="C463" s="657"/>
      <c r="D463" s="658"/>
      <c r="E463" s="638"/>
      <c r="F463" s="639"/>
    </row>
    <row r="464" spans="1:6" x14ac:dyDescent="0.25">
      <c r="B464" s="426"/>
      <c r="C464" s="427"/>
      <c r="D464" s="428"/>
      <c r="E464" s="615"/>
      <c r="F464" s="616"/>
    </row>
    <row r="465" spans="2:6" x14ac:dyDescent="0.25">
      <c r="B465" s="426"/>
      <c r="C465" s="427"/>
      <c r="D465" s="428"/>
      <c r="E465" s="615"/>
      <c r="F465" s="616"/>
    </row>
    <row r="466" spans="2:6" x14ac:dyDescent="0.25">
      <c r="B466" s="426"/>
      <c r="C466" s="427"/>
      <c r="D466" s="428"/>
      <c r="E466" s="615"/>
      <c r="F466" s="616"/>
    </row>
    <row r="467" spans="2:6" x14ac:dyDescent="0.25">
      <c r="B467" s="426"/>
      <c r="C467" s="427"/>
      <c r="D467" s="428"/>
      <c r="E467" s="615"/>
      <c r="F467" s="616"/>
    </row>
    <row r="468" spans="2:6" x14ac:dyDescent="0.25">
      <c r="B468" s="426"/>
      <c r="C468" s="427"/>
      <c r="D468" s="428"/>
      <c r="E468" s="615"/>
      <c r="F468" s="616"/>
    </row>
    <row r="469" spans="2:6" x14ac:dyDescent="0.25">
      <c r="B469" s="426"/>
      <c r="C469" s="427"/>
      <c r="D469" s="428"/>
      <c r="E469" s="615"/>
      <c r="F469" s="616"/>
    </row>
    <row r="470" spans="2:6" x14ac:dyDescent="0.25">
      <c r="B470" s="426"/>
      <c r="C470" s="427"/>
      <c r="D470" s="428"/>
      <c r="E470" s="615"/>
      <c r="F470" s="616"/>
    </row>
    <row r="471" spans="2:6" x14ac:dyDescent="0.25">
      <c r="B471" s="426"/>
      <c r="C471" s="427"/>
      <c r="D471" s="428"/>
      <c r="E471" s="615"/>
      <c r="F471" s="616"/>
    </row>
    <row r="472" spans="2:6" x14ac:dyDescent="0.25">
      <c r="B472" s="426"/>
      <c r="C472" s="427"/>
      <c r="D472" s="428"/>
      <c r="E472" s="615"/>
      <c r="F472" s="616"/>
    </row>
    <row r="473" spans="2:6" x14ac:dyDescent="0.25">
      <c r="B473" s="426"/>
      <c r="C473" s="427"/>
      <c r="D473" s="428"/>
      <c r="E473" s="615"/>
      <c r="F473" s="616"/>
    </row>
    <row r="474" spans="2:6" x14ac:dyDescent="0.25">
      <c r="B474" s="426"/>
      <c r="C474" s="427"/>
      <c r="D474" s="428"/>
      <c r="E474" s="615"/>
      <c r="F474" s="616"/>
    </row>
    <row r="475" spans="2:6" x14ac:dyDescent="0.25">
      <c r="B475" s="426"/>
      <c r="C475" s="427"/>
      <c r="D475" s="428"/>
      <c r="E475" s="615"/>
      <c r="F475" s="616"/>
    </row>
    <row r="476" spans="2:6" x14ac:dyDescent="0.25">
      <c r="B476" s="426"/>
      <c r="C476" s="427"/>
      <c r="D476" s="428"/>
      <c r="E476" s="615"/>
      <c r="F476" s="616"/>
    </row>
    <row r="477" spans="2:6" x14ac:dyDescent="0.25">
      <c r="B477" s="426"/>
      <c r="C477" s="427"/>
      <c r="D477" s="428"/>
      <c r="E477" s="615"/>
      <c r="F477" s="616"/>
    </row>
    <row r="478" spans="2:6" x14ac:dyDescent="0.25">
      <c r="B478" s="426"/>
      <c r="C478" s="427"/>
      <c r="D478" s="428"/>
      <c r="E478" s="615"/>
      <c r="F478" s="616"/>
    </row>
    <row r="479" spans="2:6" x14ac:dyDescent="0.25">
      <c r="B479" s="426"/>
      <c r="C479" s="427"/>
      <c r="D479" s="428"/>
      <c r="E479" s="615"/>
      <c r="F479" s="616"/>
    </row>
    <row r="480" spans="2:6" ht="15.75" thickBot="1" x14ac:dyDescent="0.3">
      <c r="B480" s="632"/>
      <c r="C480" s="633"/>
      <c r="D480" s="634"/>
      <c r="E480" s="644"/>
      <c r="F480" s="645"/>
    </row>
    <row r="481" spans="1:6" ht="15.75" thickBot="1" x14ac:dyDescent="0.3">
      <c r="A481" s="56" t="s">
        <v>0</v>
      </c>
      <c r="B481" s="6" t="s">
        <v>1</v>
      </c>
      <c r="C481" s="323" t="s">
        <v>2</v>
      </c>
      <c r="D481" s="57" t="s">
        <v>3</v>
      </c>
      <c r="E481" s="249" t="s">
        <v>4</v>
      </c>
      <c r="F481" s="249" t="s">
        <v>5</v>
      </c>
    </row>
    <row r="482" spans="1:6" ht="75" x14ac:dyDescent="0.25">
      <c r="A482" s="13">
        <v>1</v>
      </c>
      <c r="B482" s="14" t="s">
        <v>286</v>
      </c>
      <c r="C482" s="316">
        <v>2780</v>
      </c>
      <c r="D482" s="15" t="s">
        <v>31</v>
      </c>
      <c r="E482" s="16">
        <v>165</v>
      </c>
      <c r="F482" s="16">
        <f t="shared" ref="F482:F487" si="14">(C482*E482)</f>
        <v>458700</v>
      </c>
    </row>
    <row r="483" spans="1:6" ht="75" x14ac:dyDescent="0.25">
      <c r="A483" s="13">
        <v>2</v>
      </c>
      <c r="B483" s="14" t="s">
        <v>287</v>
      </c>
      <c r="C483" s="316">
        <v>1240</v>
      </c>
      <c r="D483" s="15" t="s">
        <v>31</v>
      </c>
      <c r="E483" s="16">
        <v>175</v>
      </c>
      <c r="F483" s="16">
        <f t="shared" si="14"/>
        <v>217000</v>
      </c>
    </row>
    <row r="484" spans="1:6" ht="30" x14ac:dyDescent="0.25">
      <c r="A484" s="13">
        <v>3</v>
      </c>
      <c r="B484" s="14" t="s">
        <v>288</v>
      </c>
      <c r="C484" s="316">
        <v>88</v>
      </c>
      <c r="D484" s="15" t="s">
        <v>31</v>
      </c>
      <c r="E484" s="16">
        <v>185</v>
      </c>
      <c r="F484" s="16">
        <f t="shared" si="14"/>
        <v>16280</v>
      </c>
    </row>
    <row r="485" spans="1:6" ht="45" x14ac:dyDescent="0.25">
      <c r="A485" s="13">
        <v>4</v>
      </c>
      <c r="B485" s="14" t="s">
        <v>289</v>
      </c>
      <c r="C485" s="316">
        <v>1526</v>
      </c>
      <c r="D485" s="15" t="s">
        <v>31</v>
      </c>
      <c r="E485" s="16">
        <v>145</v>
      </c>
      <c r="F485" s="16">
        <f t="shared" si="14"/>
        <v>221270</v>
      </c>
    </row>
    <row r="486" spans="1:6" ht="45" x14ac:dyDescent="0.25">
      <c r="A486" s="13">
        <v>5</v>
      </c>
      <c r="B486" s="14" t="s">
        <v>290</v>
      </c>
      <c r="C486" s="316">
        <v>1526</v>
      </c>
      <c r="D486" s="15" t="s">
        <v>31</v>
      </c>
      <c r="E486" s="16">
        <v>165</v>
      </c>
      <c r="F486" s="16">
        <f t="shared" si="14"/>
        <v>251790</v>
      </c>
    </row>
    <row r="487" spans="1:6" ht="45" x14ac:dyDescent="0.25">
      <c r="A487" s="13">
        <v>6</v>
      </c>
      <c r="B487" s="14" t="s">
        <v>291</v>
      </c>
      <c r="C487" s="316">
        <v>315</v>
      </c>
      <c r="D487" s="15" t="s">
        <v>31</v>
      </c>
      <c r="E487" s="16">
        <v>215</v>
      </c>
      <c r="F487" s="16">
        <f t="shared" si="14"/>
        <v>67725</v>
      </c>
    </row>
    <row r="488" spans="1:6" ht="60" x14ac:dyDescent="0.25">
      <c r="A488" s="13">
        <v>7</v>
      </c>
      <c r="B488" s="14" t="s">
        <v>292</v>
      </c>
    </row>
    <row r="489" spans="1:6" x14ac:dyDescent="0.25">
      <c r="A489" s="13" t="s">
        <v>202</v>
      </c>
      <c r="B489" s="14" t="s">
        <v>293</v>
      </c>
      <c r="C489" s="316">
        <v>1</v>
      </c>
      <c r="D489" s="15" t="s">
        <v>11</v>
      </c>
      <c r="E489" s="16">
        <v>6500</v>
      </c>
    </row>
    <row r="490" spans="1:6" x14ac:dyDescent="0.25">
      <c r="A490" s="13" t="s">
        <v>204</v>
      </c>
      <c r="B490" s="14" t="s">
        <v>294</v>
      </c>
      <c r="C490" s="316">
        <v>1</v>
      </c>
      <c r="D490" s="15" t="s">
        <v>11</v>
      </c>
      <c r="E490" s="16">
        <v>6900</v>
      </c>
    </row>
    <row r="491" spans="1:6" x14ac:dyDescent="0.25">
      <c r="A491" s="13" t="s">
        <v>206</v>
      </c>
      <c r="B491" s="14" t="s">
        <v>295</v>
      </c>
      <c r="C491" s="316">
        <v>1</v>
      </c>
      <c r="D491" s="15" t="s">
        <v>11</v>
      </c>
      <c r="E491" s="16">
        <v>7300</v>
      </c>
    </row>
    <row r="492" spans="1:6" ht="45" x14ac:dyDescent="0.25">
      <c r="A492" s="13" t="s">
        <v>208</v>
      </c>
      <c r="B492" s="14" t="s">
        <v>296</v>
      </c>
      <c r="C492" s="316">
        <v>1</v>
      </c>
      <c r="D492" s="15" t="s">
        <v>11</v>
      </c>
      <c r="E492" s="16">
        <v>45000</v>
      </c>
    </row>
    <row r="493" spans="1:6" ht="45" x14ac:dyDescent="0.25">
      <c r="A493" s="13" t="s">
        <v>297</v>
      </c>
      <c r="B493" s="14" t="s">
        <v>298</v>
      </c>
      <c r="C493" s="316">
        <v>1</v>
      </c>
      <c r="D493" s="15" t="s">
        <v>11</v>
      </c>
      <c r="E493" s="16">
        <v>7000</v>
      </c>
    </row>
    <row r="495" spans="1:6" x14ac:dyDescent="0.25">
      <c r="B495" s="14" t="s">
        <v>10</v>
      </c>
      <c r="F495" s="16">
        <f>SUM(F482:F487,)</f>
        <v>1232765</v>
      </c>
    </row>
    <row r="496" spans="1:6" x14ac:dyDescent="0.25">
      <c r="A496" s="19"/>
      <c r="B496" s="20"/>
      <c r="C496" s="320"/>
      <c r="D496" s="21"/>
      <c r="E496" s="243"/>
      <c r="F496" s="243"/>
    </row>
    <row r="497" spans="1:6" x14ac:dyDescent="0.25">
      <c r="A497" s="46" t="s">
        <v>0</v>
      </c>
      <c r="B497" s="28" t="s">
        <v>1</v>
      </c>
      <c r="C497" s="321" t="s">
        <v>2</v>
      </c>
      <c r="D497" s="47" t="s">
        <v>3</v>
      </c>
      <c r="E497" s="244" t="s">
        <v>4</v>
      </c>
      <c r="F497" s="244" t="s">
        <v>5</v>
      </c>
    </row>
    <row r="498" spans="1:6" ht="45" x14ac:dyDescent="0.25">
      <c r="A498" s="13">
        <v>1</v>
      </c>
      <c r="B498" s="40" t="s">
        <v>299</v>
      </c>
      <c r="C498" s="316">
        <v>745</v>
      </c>
      <c r="D498" s="15" t="s">
        <v>31</v>
      </c>
      <c r="E498" s="16">
        <v>390</v>
      </c>
      <c r="F498" s="16">
        <f>(C498*E498)</f>
        <v>290550</v>
      </c>
    </row>
    <row r="499" spans="1:6" ht="45" x14ac:dyDescent="0.25">
      <c r="A499" s="13">
        <v>3</v>
      </c>
      <c r="B499" s="24" t="s">
        <v>130</v>
      </c>
      <c r="C499" s="326">
        <v>40</v>
      </c>
      <c r="D499" s="25" t="s">
        <v>33</v>
      </c>
      <c r="E499" s="259">
        <v>1750</v>
      </c>
      <c r="F499" s="16">
        <f>(C499*E499)</f>
        <v>70000</v>
      </c>
    </row>
    <row r="500" spans="1:6" ht="45" x14ac:dyDescent="0.25">
      <c r="A500" s="13">
        <v>4</v>
      </c>
      <c r="B500" s="24" t="s">
        <v>131</v>
      </c>
      <c r="C500" s="326">
        <v>36</v>
      </c>
      <c r="D500" s="25" t="s">
        <v>33</v>
      </c>
      <c r="E500" s="259">
        <v>1850</v>
      </c>
      <c r="F500" s="16">
        <f>(C500*E500)</f>
        <v>66600</v>
      </c>
    </row>
    <row r="501" spans="1:6" ht="45" x14ac:dyDescent="0.25">
      <c r="A501" s="13">
        <v>5</v>
      </c>
      <c r="B501" s="24" t="s">
        <v>300</v>
      </c>
      <c r="C501" s="326">
        <v>160</v>
      </c>
      <c r="D501" s="25" t="s">
        <v>31</v>
      </c>
      <c r="E501" s="259">
        <v>800</v>
      </c>
      <c r="F501" s="16">
        <f>(C501*E501)</f>
        <v>128000</v>
      </c>
    </row>
    <row r="502" spans="1:6" ht="60" x14ac:dyDescent="0.25">
      <c r="A502" s="13">
        <v>6</v>
      </c>
      <c r="B502" s="40" t="s">
        <v>301</v>
      </c>
      <c r="C502" s="327">
        <v>2196</v>
      </c>
      <c r="D502" s="15" t="s">
        <v>31</v>
      </c>
      <c r="E502" s="260">
        <v>1550</v>
      </c>
      <c r="F502" s="16">
        <f>(E502*C502)</f>
        <v>3403800</v>
      </c>
    </row>
    <row r="503" spans="1:6" x14ac:dyDescent="0.25">
      <c r="A503" s="13">
        <v>7</v>
      </c>
      <c r="B503" s="24" t="s">
        <v>136</v>
      </c>
      <c r="C503" s="316">
        <v>190</v>
      </c>
      <c r="D503" s="15" t="s">
        <v>33</v>
      </c>
      <c r="E503" s="259">
        <v>1200</v>
      </c>
      <c r="F503" s="16">
        <f>(E503*C503)</f>
        <v>228000</v>
      </c>
    </row>
    <row r="504" spans="1:6" x14ac:dyDescent="0.25">
      <c r="A504" s="13">
        <v>8</v>
      </c>
      <c r="B504" s="24" t="s">
        <v>137</v>
      </c>
      <c r="C504" s="316">
        <v>157</v>
      </c>
      <c r="D504" s="15" t="s">
        <v>33</v>
      </c>
      <c r="E504" s="259">
        <v>750</v>
      </c>
      <c r="F504" s="16">
        <f>(E504*C504)</f>
        <v>117750</v>
      </c>
    </row>
    <row r="506" spans="1:6" x14ac:dyDescent="0.25">
      <c r="B506" s="14" t="s">
        <v>10</v>
      </c>
      <c r="F506" s="16">
        <f>SUM(F498:F504)</f>
        <v>4304700</v>
      </c>
    </row>
    <row r="508" spans="1:6" x14ac:dyDescent="0.25">
      <c r="A508" s="46" t="s">
        <v>0</v>
      </c>
      <c r="B508" s="28" t="s">
        <v>1</v>
      </c>
      <c r="C508" s="321" t="s">
        <v>2</v>
      </c>
      <c r="D508" s="47" t="s">
        <v>3</v>
      </c>
      <c r="E508" s="244" t="s">
        <v>4</v>
      </c>
      <c r="F508" s="244" t="s">
        <v>5</v>
      </c>
    </row>
    <row r="509" spans="1:6" ht="105" x14ac:dyDescent="0.25">
      <c r="A509" s="13">
        <v>1</v>
      </c>
      <c r="B509" s="14" t="s">
        <v>302</v>
      </c>
      <c r="C509" s="316">
        <v>18</v>
      </c>
      <c r="D509" s="15" t="s">
        <v>180</v>
      </c>
      <c r="E509" s="16">
        <v>475000</v>
      </c>
      <c r="F509" s="16">
        <f>(C509*E509)</f>
        <v>8550000</v>
      </c>
    </row>
    <row r="510" spans="1:6" ht="45" x14ac:dyDescent="0.25">
      <c r="A510" s="13">
        <v>2</v>
      </c>
      <c r="B510" s="14" t="s">
        <v>303</v>
      </c>
      <c r="C510" s="316">
        <v>180</v>
      </c>
      <c r="D510" s="15" t="s">
        <v>33</v>
      </c>
      <c r="E510" s="16">
        <v>15500</v>
      </c>
      <c r="F510" s="16">
        <f>(C510*E510)</f>
        <v>2790000</v>
      </c>
    </row>
    <row r="511" spans="1:6" ht="30" x14ac:dyDescent="0.25">
      <c r="A511" s="13">
        <v>3</v>
      </c>
      <c r="B511" s="14" t="s">
        <v>304</v>
      </c>
      <c r="C511" s="316">
        <v>180</v>
      </c>
      <c r="D511" s="15" t="s">
        <v>33</v>
      </c>
      <c r="E511" s="16">
        <v>18500</v>
      </c>
      <c r="F511" s="16">
        <f>(C511*E511)</f>
        <v>3330000</v>
      </c>
    </row>
    <row r="512" spans="1:6" ht="45" x14ac:dyDescent="0.25">
      <c r="A512" s="13">
        <v>4</v>
      </c>
      <c r="B512" s="14" t="s">
        <v>305</v>
      </c>
      <c r="C512" s="316">
        <v>1350</v>
      </c>
      <c r="D512" s="15" t="s">
        <v>31</v>
      </c>
      <c r="E512" s="16">
        <v>3500</v>
      </c>
      <c r="F512" s="16">
        <f>(C512*E512)</f>
        <v>4725000</v>
      </c>
    </row>
    <row r="514" spans="1:6" x14ac:dyDescent="0.25">
      <c r="F514" s="16">
        <f>SUM(F509:F512)</f>
        <v>19395000</v>
      </c>
    </row>
    <row r="516" spans="1:6" x14ac:dyDescent="0.25">
      <c r="A516" s="46" t="s">
        <v>0</v>
      </c>
      <c r="B516" s="28" t="s">
        <v>1</v>
      </c>
      <c r="C516" s="321" t="s">
        <v>2</v>
      </c>
      <c r="D516" s="47" t="s">
        <v>3</v>
      </c>
      <c r="E516" s="244" t="s">
        <v>4</v>
      </c>
      <c r="F516" s="244" t="s">
        <v>5</v>
      </c>
    </row>
    <row r="517" spans="1:6" ht="75" x14ac:dyDescent="0.25">
      <c r="A517" s="13">
        <v>1</v>
      </c>
      <c r="B517" s="14" t="s">
        <v>306</v>
      </c>
      <c r="C517" s="316">
        <v>9636</v>
      </c>
      <c r="D517" s="15" t="s">
        <v>31</v>
      </c>
      <c r="E517" s="16">
        <v>390</v>
      </c>
      <c r="F517" s="16">
        <f t="shared" ref="F517:F529" si="15">(C517*E517)</f>
        <v>3758040</v>
      </c>
    </row>
    <row r="518" spans="1:6" ht="45" x14ac:dyDescent="0.25">
      <c r="A518" s="13">
        <v>2</v>
      </c>
      <c r="B518" s="14" t="s">
        <v>323</v>
      </c>
      <c r="C518" s="316">
        <v>445</v>
      </c>
      <c r="D518" s="15" t="s">
        <v>33</v>
      </c>
      <c r="E518" s="16">
        <v>620</v>
      </c>
      <c r="F518" s="16">
        <f t="shared" si="15"/>
        <v>275900</v>
      </c>
    </row>
    <row r="519" spans="1:6" ht="60" x14ac:dyDescent="0.25">
      <c r="A519" s="13">
        <v>3</v>
      </c>
      <c r="B519" s="14" t="s">
        <v>307</v>
      </c>
      <c r="C519" s="316">
        <v>17864</v>
      </c>
      <c r="D519" s="15" t="s">
        <v>33</v>
      </c>
      <c r="E519" s="16">
        <v>145</v>
      </c>
      <c r="F519" s="16">
        <f t="shared" si="15"/>
        <v>2590280</v>
      </c>
    </row>
    <row r="520" spans="1:6" ht="60" x14ac:dyDescent="0.25">
      <c r="A520" s="13">
        <v>4</v>
      </c>
      <c r="B520" s="14" t="s">
        <v>324</v>
      </c>
      <c r="C520" s="316">
        <v>6420</v>
      </c>
      <c r="D520" s="15" t="s">
        <v>33</v>
      </c>
      <c r="E520" s="16">
        <v>180</v>
      </c>
      <c r="F520" s="16">
        <f t="shared" si="15"/>
        <v>1155600</v>
      </c>
    </row>
    <row r="521" spans="1:6" ht="45" x14ac:dyDescent="0.25">
      <c r="A521" s="13">
        <v>5</v>
      </c>
      <c r="B521" s="14" t="s">
        <v>308</v>
      </c>
      <c r="C521" s="316">
        <v>2980</v>
      </c>
      <c r="D521" s="15" t="s">
        <v>31</v>
      </c>
      <c r="E521" s="16">
        <v>210</v>
      </c>
      <c r="F521" s="16">
        <f t="shared" si="15"/>
        <v>625800</v>
      </c>
    </row>
    <row r="522" spans="1:6" ht="90" x14ac:dyDescent="0.25">
      <c r="A522" s="13">
        <v>6</v>
      </c>
      <c r="B522" s="14" t="s">
        <v>328</v>
      </c>
      <c r="C522" s="316">
        <v>4236</v>
      </c>
      <c r="D522" s="15" t="s">
        <v>31</v>
      </c>
      <c r="E522" s="16">
        <v>645</v>
      </c>
      <c r="F522" s="16">
        <f t="shared" si="15"/>
        <v>2732220</v>
      </c>
    </row>
    <row r="523" spans="1:6" ht="90" x14ac:dyDescent="0.25">
      <c r="A523" s="13">
        <v>7</v>
      </c>
      <c r="B523" s="14" t="s">
        <v>329</v>
      </c>
      <c r="C523" s="316">
        <v>4</v>
      </c>
      <c r="D523" s="15" t="s">
        <v>330</v>
      </c>
      <c r="E523" s="16">
        <v>548750</v>
      </c>
      <c r="F523" s="16">
        <f t="shared" si="15"/>
        <v>2195000</v>
      </c>
    </row>
    <row r="524" spans="1:6" ht="135" x14ac:dyDescent="0.25">
      <c r="A524" s="13">
        <v>8</v>
      </c>
      <c r="B524" s="14" t="s">
        <v>325</v>
      </c>
      <c r="C524" s="316">
        <v>1932</v>
      </c>
      <c r="D524" s="15" t="s">
        <v>31</v>
      </c>
      <c r="E524" s="16">
        <v>1350</v>
      </c>
      <c r="F524" s="16">
        <f t="shared" si="15"/>
        <v>2608200</v>
      </c>
    </row>
    <row r="525" spans="1:6" ht="60" x14ac:dyDescent="0.25">
      <c r="A525" s="13">
        <v>9</v>
      </c>
      <c r="B525" s="14" t="s">
        <v>317</v>
      </c>
      <c r="C525" s="316">
        <v>168</v>
      </c>
      <c r="D525" s="15" t="s">
        <v>33</v>
      </c>
      <c r="E525" s="16">
        <v>980</v>
      </c>
      <c r="F525" s="16">
        <f t="shared" si="15"/>
        <v>164640</v>
      </c>
    </row>
    <row r="526" spans="1:6" ht="60" x14ac:dyDescent="0.25">
      <c r="A526" s="13">
        <v>10</v>
      </c>
      <c r="B526" s="14" t="s">
        <v>318</v>
      </c>
      <c r="C526" s="316">
        <v>210</v>
      </c>
      <c r="D526" s="15" t="s">
        <v>33</v>
      </c>
      <c r="E526" s="16">
        <v>980</v>
      </c>
      <c r="F526" s="16">
        <f t="shared" si="15"/>
        <v>205800</v>
      </c>
    </row>
    <row r="527" spans="1:6" ht="75" x14ac:dyDescent="0.25">
      <c r="A527" s="13">
        <v>11</v>
      </c>
      <c r="B527" s="14" t="s">
        <v>319</v>
      </c>
      <c r="C527" s="316">
        <v>20844</v>
      </c>
      <c r="D527" s="15" t="s">
        <v>31</v>
      </c>
      <c r="E527" s="16">
        <v>160</v>
      </c>
      <c r="F527" s="16">
        <f t="shared" si="15"/>
        <v>3335040</v>
      </c>
    </row>
    <row r="528" spans="1:6" ht="30" x14ac:dyDescent="0.25">
      <c r="A528" s="13">
        <v>12</v>
      </c>
      <c r="B528" s="14" t="s">
        <v>320</v>
      </c>
      <c r="C528" s="316">
        <v>6420</v>
      </c>
      <c r="D528" s="15" t="s">
        <v>31</v>
      </c>
      <c r="E528" s="16">
        <v>95</v>
      </c>
      <c r="F528" s="16">
        <f t="shared" si="15"/>
        <v>609900</v>
      </c>
    </row>
    <row r="529" spans="1:9" ht="75" x14ac:dyDescent="0.25">
      <c r="A529" s="13">
        <v>13</v>
      </c>
      <c r="B529" s="14" t="s">
        <v>321</v>
      </c>
      <c r="C529" s="316">
        <v>220</v>
      </c>
      <c r="D529" s="15" t="s">
        <v>33</v>
      </c>
      <c r="E529" s="16">
        <v>4800</v>
      </c>
      <c r="F529" s="16">
        <f t="shared" si="15"/>
        <v>1056000</v>
      </c>
    </row>
    <row r="530" spans="1:9" ht="135" x14ac:dyDescent="0.25">
      <c r="A530" s="13">
        <v>14</v>
      </c>
      <c r="B530" s="14" t="s">
        <v>326</v>
      </c>
      <c r="I530" s="34" t="s">
        <v>327</v>
      </c>
    </row>
    <row r="531" spans="1:9" x14ac:dyDescent="0.25">
      <c r="B531" s="14" t="s">
        <v>309</v>
      </c>
      <c r="C531" s="316">
        <v>110</v>
      </c>
      <c r="D531" s="15" t="s">
        <v>11</v>
      </c>
      <c r="E531" s="16">
        <v>6900</v>
      </c>
      <c r="F531" s="16">
        <f>E531*C531</f>
        <v>759000</v>
      </c>
    </row>
    <row r="532" spans="1:9" x14ac:dyDescent="0.25">
      <c r="B532" s="14" t="s">
        <v>310</v>
      </c>
      <c r="C532" s="316">
        <v>24</v>
      </c>
      <c r="D532" s="15" t="s">
        <v>11</v>
      </c>
      <c r="E532" s="16">
        <v>7100</v>
      </c>
      <c r="F532" s="16">
        <f t="shared" ref="F532:F538" si="16">E532*C532</f>
        <v>170400</v>
      </c>
    </row>
    <row r="533" spans="1:9" x14ac:dyDescent="0.25">
      <c r="B533" s="14" t="s">
        <v>311</v>
      </c>
      <c r="C533" s="316">
        <v>45</v>
      </c>
      <c r="D533" s="15" t="s">
        <v>11</v>
      </c>
      <c r="E533" s="16">
        <v>6900</v>
      </c>
      <c r="F533" s="16">
        <f t="shared" si="16"/>
        <v>310500</v>
      </c>
    </row>
    <row r="534" spans="1:9" x14ac:dyDescent="0.25">
      <c r="B534" s="14" t="s">
        <v>312</v>
      </c>
      <c r="C534" s="316">
        <v>85</v>
      </c>
      <c r="D534" s="15" t="s">
        <v>11</v>
      </c>
      <c r="E534" s="16">
        <v>7700</v>
      </c>
      <c r="F534" s="16">
        <f t="shared" si="16"/>
        <v>654500</v>
      </c>
    </row>
    <row r="535" spans="1:9" x14ac:dyDescent="0.25">
      <c r="B535" s="14" t="s">
        <v>313</v>
      </c>
      <c r="C535" s="316">
        <v>14</v>
      </c>
      <c r="D535" s="15" t="s">
        <v>11</v>
      </c>
      <c r="E535" s="16">
        <v>8200</v>
      </c>
      <c r="F535" s="16">
        <f t="shared" si="16"/>
        <v>114800</v>
      </c>
    </row>
    <row r="536" spans="1:9" x14ac:dyDescent="0.25">
      <c r="B536" s="14" t="s">
        <v>314</v>
      </c>
      <c r="C536" s="316">
        <v>4</v>
      </c>
      <c r="D536" s="15" t="s">
        <v>11</v>
      </c>
      <c r="E536" s="16">
        <v>48000</v>
      </c>
      <c r="F536" s="16">
        <f t="shared" si="16"/>
        <v>192000</v>
      </c>
    </row>
    <row r="537" spans="1:9" x14ac:dyDescent="0.25">
      <c r="B537" s="14" t="s">
        <v>315</v>
      </c>
      <c r="C537" s="316">
        <v>4</v>
      </c>
      <c r="D537" s="15" t="s">
        <v>11</v>
      </c>
      <c r="E537" s="16">
        <v>6900</v>
      </c>
      <c r="F537" s="16">
        <f t="shared" si="16"/>
        <v>27600</v>
      </c>
    </row>
    <row r="538" spans="1:9" x14ac:dyDescent="0.25">
      <c r="B538" s="14" t="s">
        <v>316</v>
      </c>
      <c r="C538" s="316">
        <v>26</v>
      </c>
      <c r="D538" s="15" t="s">
        <v>11</v>
      </c>
      <c r="E538" s="16">
        <v>7600</v>
      </c>
      <c r="F538" s="16">
        <f t="shared" si="16"/>
        <v>197600</v>
      </c>
    </row>
    <row r="539" spans="1:9" x14ac:dyDescent="0.25">
      <c r="B539" s="426" t="s">
        <v>322</v>
      </c>
      <c r="C539" s="428"/>
    </row>
    <row r="541" spans="1:9" x14ac:dyDescent="0.25">
      <c r="B541" s="17" t="s">
        <v>10</v>
      </c>
      <c r="C541" s="31"/>
      <c r="D541" s="18"/>
      <c r="E541" s="239"/>
      <c r="F541" s="239">
        <f>SUM(F517:F529,F531:F538)</f>
        <v>23738820</v>
      </c>
    </row>
    <row r="543" spans="1:9" x14ac:dyDescent="0.25">
      <c r="A543" s="606" t="s">
        <v>331</v>
      </c>
      <c r="B543" s="607"/>
      <c r="C543" s="608"/>
      <c r="D543" s="626" t="s">
        <v>332</v>
      </c>
      <c r="E543" s="627"/>
      <c r="F543" s="628"/>
    </row>
    <row r="544" spans="1:9" x14ac:dyDescent="0.25">
      <c r="A544" s="605">
        <v>45405</v>
      </c>
      <c r="B544" s="427"/>
      <c r="C544" s="428"/>
      <c r="D544" s="615">
        <v>2000000</v>
      </c>
      <c r="E544" s="620"/>
      <c r="F544" s="616"/>
    </row>
    <row r="545" spans="1:6" x14ac:dyDescent="0.25">
      <c r="A545" s="605">
        <v>45409</v>
      </c>
      <c r="B545" s="427"/>
      <c r="C545" s="428"/>
      <c r="D545" s="615">
        <v>500000</v>
      </c>
      <c r="E545" s="620"/>
      <c r="F545" s="616"/>
    </row>
    <row r="546" spans="1:6" x14ac:dyDescent="0.25">
      <c r="A546" s="605">
        <v>45423</v>
      </c>
      <c r="B546" s="427"/>
      <c r="C546" s="428"/>
      <c r="D546" s="615">
        <v>2000000</v>
      </c>
      <c r="E546" s="620"/>
      <c r="F546" s="616"/>
    </row>
    <row r="547" spans="1:6" x14ac:dyDescent="0.25">
      <c r="A547" s="605">
        <v>45456</v>
      </c>
      <c r="B547" s="427"/>
      <c r="C547" s="428"/>
      <c r="D547" s="615">
        <v>2000000</v>
      </c>
      <c r="E547" s="620"/>
      <c r="F547" s="616"/>
    </row>
    <row r="548" spans="1:6" x14ac:dyDescent="0.25">
      <c r="A548" s="605">
        <v>45500</v>
      </c>
      <c r="B548" s="427"/>
      <c r="C548" s="428"/>
      <c r="D548" s="615">
        <v>2000000</v>
      </c>
      <c r="E548" s="620"/>
      <c r="F548" s="616"/>
    </row>
    <row r="549" spans="1:6" x14ac:dyDescent="0.25">
      <c r="A549" s="605">
        <v>45528</v>
      </c>
      <c r="B549" s="427"/>
      <c r="C549" s="428"/>
      <c r="D549" s="615">
        <v>2000000</v>
      </c>
      <c r="E549" s="620"/>
      <c r="F549" s="616"/>
    </row>
    <row r="550" spans="1:6" x14ac:dyDescent="0.25">
      <c r="A550" s="605">
        <v>45535</v>
      </c>
      <c r="B550" s="427"/>
      <c r="C550" s="428"/>
      <c r="D550" s="615">
        <v>1000000</v>
      </c>
      <c r="E550" s="620"/>
      <c r="F550" s="616"/>
    </row>
    <row r="551" spans="1:6" x14ac:dyDescent="0.25">
      <c r="F551" s="16">
        <f>(C551*E551)</f>
        <v>0</v>
      </c>
    </row>
    <row r="552" spans="1:6" x14ac:dyDescent="0.25">
      <c r="A552" s="46" t="s">
        <v>0</v>
      </c>
      <c r="B552" s="28" t="s">
        <v>1</v>
      </c>
      <c r="C552" s="321" t="s">
        <v>2</v>
      </c>
      <c r="D552" s="47" t="s">
        <v>3</v>
      </c>
      <c r="E552" s="244" t="s">
        <v>4</v>
      </c>
      <c r="F552" s="244" t="s">
        <v>5</v>
      </c>
    </row>
    <row r="553" spans="1:6" ht="60" x14ac:dyDescent="0.25">
      <c r="A553" s="13">
        <v>1</v>
      </c>
      <c r="B553" s="14" t="s">
        <v>333</v>
      </c>
      <c r="C553" s="316">
        <v>1</v>
      </c>
      <c r="D553" s="15" t="s">
        <v>11</v>
      </c>
      <c r="E553" s="16">
        <v>78000</v>
      </c>
      <c r="F553" s="16">
        <f t="shared" ref="F553:F558" si="17">(C553*E553)</f>
        <v>78000</v>
      </c>
    </row>
    <row r="554" spans="1:6" ht="45" x14ac:dyDescent="0.25">
      <c r="A554" s="13">
        <v>2</v>
      </c>
      <c r="B554" s="14" t="s">
        <v>334</v>
      </c>
      <c r="C554" s="316">
        <v>1</v>
      </c>
      <c r="D554" s="15" t="s">
        <v>11</v>
      </c>
      <c r="E554" s="16">
        <v>29250</v>
      </c>
      <c r="F554" s="16">
        <f t="shared" si="17"/>
        <v>29250</v>
      </c>
    </row>
    <row r="555" spans="1:6" ht="45" x14ac:dyDescent="0.25">
      <c r="A555" s="13">
        <v>3</v>
      </c>
      <c r="B555" s="14" t="s">
        <v>335</v>
      </c>
      <c r="C555" s="316">
        <v>1</v>
      </c>
      <c r="D555" s="15" t="s">
        <v>11</v>
      </c>
      <c r="E555" s="16">
        <v>38500</v>
      </c>
      <c r="F555" s="16">
        <f t="shared" si="17"/>
        <v>38500</v>
      </c>
    </row>
    <row r="556" spans="1:6" ht="75" x14ac:dyDescent="0.25">
      <c r="A556" s="13">
        <v>4</v>
      </c>
      <c r="B556" s="14" t="s">
        <v>338</v>
      </c>
      <c r="C556" s="316">
        <v>1</v>
      </c>
      <c r="D556" s="15" t="s">
        <v>11</v>
      </c>
      <c r="E556" s="16">
        <v>550000</v>
      </c>
      <c r="F556" s="16">
        <f t="shared" si="17"/>
        <v>550000</v>
      </c>
    </row>
    <row r="557" spans="1:6" ht="60" x14ac:dyDescent="0.25">
      <c r="A557" s="13">
        <v>5</v>
      </c>
      <c r="B557" s="14" t="s">
        <v>336</v>
      </c>
      <c r="C557" s="316">
        <v>1</v>
      </c>
      <c r="D557" s="15" t="s">
        <v>11</v>
      </c>
      <c r="E557" s="16">
        <v>325000</v>
      </c>
      <c r="F557" s="16">
        <f t="shared" si="17"/>
        <v>325000</v>
      </c>
    </row>
    <row r="558" spans="1:6" ht="30" x14ac:dyDescent="0.25">
      <c r="A558" s="13">
        <v>6</v>
      </c>
      <c r="B558" s="14" t="s">
        <v>337</v>
      </c>
      <c r="C558" s="316">
        <v>1</v>
      </c>
      <c r="D558" s="15" t="s">
        <v>11</v>
      </c>
      <c r="E558" s="16">
        <v>28000</v>
      </c>
      <c r="F558" s="16">
        <f t="shared" si="17"/>
        <v>28000</v>
      </c>
    </row>
    <row r="560" spans="1:6" x14ac:dyDescent="0.25">
      <c r="B560" s="17" t="s">
        <v>10</v>
      </c>
      <c r="C560" s="31"/>
      <c r="D560" s="18"/>
      <c r="E560" s="239"/>
      <c r="F560" s="239">
        <f>SUM(F553:F558)</f>
        <v>1048750</v>
      </c>
    </row>
    <row r="562" spans="1:6" x14ac:dyDescent="0.25">
      <c r="A562" s="46" t="s">
        <v>0</v>
      </c>
      <c r="B562" s="28" t="s">
        <v>1</v>
      </c>
      <c r="C562" s="321" t="s">
        <v>2</v>
      </c>
      <c r="D562" s="47" t="s">
        <v>3</v>
      </c>
      <c r="E562" s="244" t="s">
        <v>4</v>
      </c>
      <c r="F562" s="244" t="s">
        <v>5</v>
      </c>
    </row>
    <row r="563" spans="1:6" ht="60" x14ac:dyDescent="0.25">
      <c r="A563" s="13">
        <v>1</v>
      </c>
      <c r="B563" s="14" t="s">
        <v>339</v>
      </c>
      <c r="C563" s="316">
        <v>6200</v>
      </c>
      <c r="D563" s="15" t="s">
        <v>9</v>
      </c>
      <c r="E563" s="16">
        <v>145</v>
      </c>
      <c r="F563" s="16">
        <f t="shared" ref="F563:F571" si="18">(C563*E563)</f>
        <v>899000</v>
      </c>
    </row>
    <row r="564" spans="1:6" ht="45" x14ac:dyDescent="0.25">
      <c r="A564" s="13">
        <v>2</v>
      </c>
      <c r="B564" s="14" t="s">
        <v>340</v>
      </c>
      <c r="C564" s="316">
        <v>3780</v>
      </c>
      <c r="D564" s="15" t="s">
        <v>9</v>
      </c>
      <c r="E564" s="16">
        <v>160</v>
      </c>
      <c r="F564" s="16">
        <f t="shared" si="18"/>
        <v>604800</v>
      </c>
    </row>
    <row r="565" spans="1:6" ht="45" x14ac:dyDescent="0.25">
      <c r="A565" s="13">
        <v>3</v>
      </c>
      <c r="B565" s="14" t="s">
        <v>341</v>
      </c>
      <c r="C565" s="316">
        <v>1201</v>
      </c>
      <c r="D565" s="15" t="s">
        <v>9</v>
      </c>
      <c r="E565" s="16">
        <v>145</v>
      </c>
      <c r="F565" s="16">
        <f t="shared" si="18"/>
        <v>174145</v>
      </c>
    </row>
    <row r="566" spans="1:6" ht="45" x14ac:dyDescent="0.25">
      <c r="A566" s="13">
        <v>4</v>
      </c>
      <c r="B566" s="14" t="s">
        <v>342</v>
      </c>
      <c r="C566" s="316">
        <v>1224</v>
      </c>
      <c r="D566" s="15" t="s">
        <v>9</v>
      </c>
      <c r="E566" s="16">
        <v>685</v>
      </c>
      <c r="F566" s="16">
        <f t="shared" si="18"/>
        <v>838440</v>
      </c>
    </row>
    <row r="567" spans="1:6" ht="60" x14ac:dyDescent="0.25">
      <c r="A567" s="13">
        <v>5</v>
      </c>
      <c r="B567" s="14" t="s">
        <v>343</v>
      </c>
      <c r="C567" s="316">
        <v>1</v>
      </c>
      <c r="D567" s="15" t="s">
        <v>11</v>
      </c>
      <c r="E567" s="16">
        <v>485000</v>
      </c>
      <c r="F567" s="16">
        <f t="shared" si="18"/>
        <v>485000</v>
      </c>
    </row>
    <row r="568" spans="1:6" ht="60" x14ac:dyDescent="0.25">
      <c r="A568" s="13">
        <v>6</v>
      </c>
      <c r="B568" s="14" t="s">
        <v>344</v>
      </c>
      <c r="C568" s="316">
        <v>6200</v>
      </c>
      <c r="D568" s="15" t="s">
        <v>9</v>
      </c>
      <c r="E568" s="16">
        <v>165</v>
      </c>
      <c r="F568" s="16">
        <f t="shared" si="18"/>
        <v>1023000</v>
      </c>
    </row>
    <row r="569" spans="1:6" ht="30" x14ac:dyDescent="0.25">
      <c r="A569" s="13">
        <v>7</v>
      </c>
      <c r="B569" s="14" t="s">
        <v>345</v>
      </c>
      <c r="C569" s="316">
        <v>3780</v>
      </c>
      <c r="D569" s="15" t="s">
        <v>9</v>
      </c>
      <c r="E569" s="16">
        <v>95</v>
      </c>
      <c r="F569" s="16">
        <f t="shared" si="18"/>
        <v>359100</v>
      </c>
    </row>
    <row r="570" spans="1:6" ht="75" x14ac:dyDescent="0.25">
      <c r="A570" s="13">
        <v>8</v>
      </c>
      <c r="B570" s="14" t="s">
        <v>346</v>
      </c>
      <c r="C570" s="316">
        <v>9</v>
      </c>
      <c r="D570" s="15" t="s">
        <v>180</v>
      </c>
      <c r="E570" s="16">
        <v>82500</v>
      </c>
      <c r="F570" s="16">
        <f t="shared" si="18"/>
        <v>742500</v>
      </c>
    </row>
    <row r="571" spans="1:6" ht="60" x14ac:dyDescent="0.25">
      <c r="A571" s="13">
        <v>9</v>
      </c>
      <c r="B571" s="14" t="s">
        <v>347</v>
      </c>
      <c r="C571" s="316">
        <v>6</v>
      </c>
      <c r="D571" s="15" t="s">
        <v>180</v>
      </c>
      <c r="E571" s="16">
        <v>68500</v>
      </c>
      <c r="F571" s="16">
        <f t="shared" si="18"/>
        <v>411000</v>
      </c>
    </row>
    <row r="573" spans="1:6" ht="15.75" x14ac:dyDescent="0.25">
      <c r="B573" s="35" t="s">
        <v>10</v>
      </c>
      <c r="C573" s="317"/>
      <c r="D573" s="36"/>
      <c r="E573" s="240"/>
      <c r="F573" s="240">
        <f>SUM(F563:F571)</f>
        <v>5536985</v>
      </c>
    </row>
    <row r="575" spans="1:6" x14ac:dyDescent="0.25">
      <c r="A575" s="46" t="s">
        <v>0</v>
      </c>
      <c r="B575" s="28" t="s">
        <v>1</v>
      </c>
      <c r="C575" s="321" t="s">
        <v>2</v>
      </c>
      <c r="D575" s="47" t="s">
        <v>3</v>
      </c>
      <c r="E575" s="244" t="s">
        <v>4</v>
      </c>
      <c r="F575" s="244" t="s">
        <v>5</v>
      </c>
    </row>
    <row r="576" spans="1:6" ht="30" x14ac:dyDescent="0.25">
      <c r="A576" s="13">
        <v>1</v>
      </c>
      <c r="B576" s="14" t="s">
        <v>348</v>
      </c>
      <c r="C576" s="316">
        <v>2</v>
      </c>
      <c r="D576" s="15" t="s">
        <v>30</v>
      </c>
      <c r="E576" s="16">
        <v>8500</v>
      </c>
      <c r="F576" s="16">
        <f t="shared" ref="F576:F581" si="19">(C576*E576)</f>
        <v>17000</v>
      </c>
    </row>
    <row r="577" spans="1:6" ht="75" x14ac:dyDescent="0.25">
      <c r="A577" s="13">
        <v>2</v>
      </c>
      <c r="B577" s="14" t="s">
        <v>349</v>
      </c>
      <c r="C577" s="316">
        <v>13</v>
      </c>
      <c r="D577" s="15" t="s">
        <v>180</v>
      </c>
      <c r="E577" s="16">
        <v>5400</v>
      </c>
      <c r="F577" s="16">
        <f t="shared" si="19"/>
        <v>70200</v>
      </c>
    </row>
    <row r="578" spans="1:6" ht="45" x14ac:dyDescent="0.25">
      <c r="A578" s="13">
        <v>3</v>
      </c>
      <c r="B578" s="14" t="s">
        <v>350</v>
      </c>
      <c r="C578" s="316">
        <v>113</v>
      </c>
      <c r="D578" s="15" t="s">
        <v>33</v>
      </c>
      <c r="E578" s="16">
        <v>1050</v>
      </c>
      <c r="F578" s="16">
        <f t="shared" si="19"/>
        <v>118650</v>
      </c>
    </row>
    <row r="579" spans="1:6" ht="45" x14ac:dyDescent="0.25">
      <c r="A579" s="13">
        <v>4</v>
      </c>
      <c r="B579" s="14" t="s">
        <v>351</v>
      </c>
      <c r="C579" s="316">
        <v>678</v>
      </c>
      <c r="D579" s="15" t="s">
        <v>9</v>
      </c>
      <c r="E579" s="16">
        <v>380</v>
      </c>
      <c r="F579" s="16">
        <f t="shared" si="19"/>
        <v>257640</v>
      </c>
    </row>
    <row r="580" spans="1:6" ht="30" x14ac:dyDescent="0.25">
      <c r="A580" s="13">
        <v>5</v>
      </c>
      <c r="B580" s="14" t="s">
        <v>352</v>
      </c>
      <c r="C580" s="316">
        <v>113</v>
      </c>
      <c r="D580" s="15" t="s">
        <v>33</v>
      </c>
      <c r="E580" s="16">
        <v>250</v>
      </c>
      <c r="F580" s="16">
        <f t="shared" si="19"/>
        <v>28250</v>
      </c>
    </row>
    <row r="581" spans="1:6" ht="30" x14ac:dyDescent="0.25">
      <c r="A581" s="13">
        <v>6</v>
      </c>
      <c r="B581" s="14" t="s">
        <v>353</v>
      </c>
      <c r="C581" s="316">
        <v>678</v>
      </c>
      <c r="D581" s="15" t="s">
        <v>9</v>
      </c>
      <c r="E581" s="16">
        <v>105</v>
      </c>
      <c r="F581" s="16">
        <f t="shared" si="19"/>
        <v>71190</v>
      </c>
    </row>
    <row r="583" spans="1:6" ht="15.75" x14ac:dyDescent="0.25">
      <c r="B583" s="35" t="s">
        <v>224</v>
      </c>
      <c r="C583" s="317"/>
      <c r="D583" s="36"/>
      <c r="E583" s="240"/>
      <c r="F583" s="240">
        <f>SUM(F576:F581)</f>
        <v>562930</v>
      </c>
    </row>
    <row r="584" spans="1:6" x14ac:dyDescent="0.25">
      <c r="A584" s="19"/>
      <c r="B584" s="20"/>
      <c r="C584" s="320"/>
      <c r="D584" s="21"/>
      <c r="E584" s="243"/>
      <c r="F584" s="243"/>
    </row>
    <row r="585" spans="1:6" x14ac:dyDescent="0.25">
      <c r="A585" s="46" t="s">
        <v>0</v>
      </c>
      <c r="B585" s="28" t="s">
        <v>1</v>
      </c>
      <c r="C585" s="321" t="s">
        <v>2</v>
      </c>
      <c r="D585" s="47" t="s">
        <v>3</v>
      </c>
      <c r="E585" s="244" t="s">
        <v>4</v>
      </c>
      <c r="F585" s="244" t="s">
        <v>5</v>
      </c>
    </row>
    <row r="586" spans="1:6" ht="75" x14ac:dyDescent="0.25">
      <c r="A586" s="64">
        <v>1</v>
      </c>
      <c r="B586" s="24" t="s">
        <v>354</v>
      </c>
      <c r="C586" s="326">
        <v>9636</v>
      </c>
      <c r="D586" s="25" t="s">
        <v>31</v>
      </c>
      <c r="E586" s="259">
        <v>390</v>
      </c>
      <c r="F586" s="259">
        <f>E586*C586</f>
        <v>3758040</v>
      </c>
    </row>
    <row r="587" spans="1:6" ht="45" x14ac:dyDescent="0.25">
      <c r="A587" s="64">
        <v>2</v>
      </c>
      <c r="B587" s="24" t="s">
        <v>323</v>
      </c>
      <c r="C587" s="326">
        <v>445</v>
      </c>
      <c r="D587" s="25" t="s">
        <v>33</v>
      </c>
      <c r="E587" s="259">
        <v>620</v>
      </c>
      <c r="F587" s="259">
        <f t="shared" ref="F587:F611" si="20">E587*C587</f>
        <v>275900</v>
      </c>
    </row>
    <row r="588" spans="1:6" ht="60" x14ac:dyDescent="0.25">
      <c r="A588" s="64">
        <v>3</v>
      </c>
      <c r="B588" s="24" t="s">
        <v>307</v>
      </c>
      <c r="C588" s="326">
        <v>17864</v>
      </c>
      <c r="D588" s="25" t="s">
        <v>33</v>
      </c>
      <c r="E588" s="259">
        <v>145</v>
      </c>
      <c r="F588" s="259">
        <f t="shared" si="20"/>
        <v>2590280</v>
      </c>
    </row>
    <row r="589" spans="1:6" ht="60" x14ac:dyDescent="0.25">
      <c r="A589" s="64">
        <v>4</v>
      </c>
      <c r="B589" s="24" t="s">
        <v>355</v>
      </c>
      <c r="C589" s="326">
        <v>6420</v>
      </c>
      <c r="D589" s="25" t="s">
        <v>33</v>
      </c>
      <c r="E589" s="259">
        <v>180</v>
      </c>
      <c r="F589" s="259">
        <f t="shared" si="20"/>
        <v>1155600</v>
      </c>
    </row>
    <row r="590" spans="1:6" ht="45" x14ac:dyDescent="0.25">
      <c r="A590" s="64">
        <v>5</v>
      </c>
      <c r="B590" s="24" t="s">
        <v>308</v>
      </c>
      <c r="C590" s="326">
        <v>2980</v>
      </c>
      <c r="D590" s="25" t="s">
        <v>31</v>
      </c>
      <c r="E590" s="259">
        <v>210</v>
      </c>
      <c r="F590" s="259">
        <f t="shared" si="20"/>
        <v>625800</v>
      </c>
    </row>
    <row r="591" spans="1:6" ht="90" x14ac:dyDescent="0.25">
      <c r="A591" s="64">
        <v>6</v>
      </c>
      <c r="B591" s="24" t="s">
        <v>328</v>
      </c>
      <c r="C591" s="326">
        <v>4236</v>
      </c>
      <c r="D591" s="25" t="s">
        <v>31</v>
      </c>
      <c r="E591" s="259">
        <v>845</v>
      </c>
      <c r="F591" s="259">
        <f t="shared" si="20"/>
        <v>3579420</v>
      </c>
    </row>
    <row r="592" spans="1:6" ht="90" x14ac:dyDescent="0.25">
      <c r="A592" s="64">
        <v>7</v>
      </c>
      <c r="B592" s="24" t="s">
        <v>356</v>
      </c>
      <c r="C592" s="326">
        <v>4</v>
      </c>
      <c r="D592" s="25" t="s">
        <v>330</v>
      </c>
      <c r="E592" s="259">
        <v>948750</v>
      </c>
      <c r="F592" s="259">
        <f t="shared" si="20"/>
        <v>3795000</v>
      </c>
    </row>
    <row r="593" spans="1:10" ht="135" x14ac:dyDescent="0.25">
      <c r="A593" s="64">
        <v>8</v>
      </c>
      <c r="B593" s="24" t="s">
        <v>357</v>
      </c>
      <c r="C593" s="326">
        <v>1932</v>
      </c>
      <c r="D593" s="25" t="s">
        <v>31</v>
      </c>
      <c r="E593" s="259">
        <v>1750</v>
      </c>
      <c r="F593" s="259">
        <f t="shared" si="20"/>
        <v>3381000</v>
      </c>
    </row>
    <row r="594" spans="1:10" ht="60" x14ac:dyDescent="0.25">
      <c r="A594" s="64">
        <v>9</v>
      </c>
      <c r="B594" s="24" t="s">
        <v>358</v>
      </c>
      <c r="C594" s="326">
        <v>168</v>
      </c>
      <c r="D594" s="25" t="s">
        <v>33</v>
      </c>
      <c r="E594" s="259">
        <v>980</v>
      </c>
      <c r="F594" s="259">
        <f t="shared" si="20"/>
        <v>164640</v>
      </c>
    </row>
    <row r="595" spans="1:10" ht="60" x14ac:dyDescent="0.25">
      <c r="A595" s="64">
        <v>10</v>
      </c>
      <c r="B595" s="24" t="s">
        <v>359</v>
      </c>
      <c r="C595" s="326">
        <v>210</v>
      </c>
      <c r="D595" s="25" t="s">
        <v>33</v>
      </c>
      <c r="E595" s="259">
        <v>980</v>
      </c>
      <c r="F595" s="259">
        <f t="shared" si="20"/>
        <v>205800</v>
      </c>
    </row>
    <row r="596" spans="1:10" ht="75" x14ac:dyDescent="0.25">
      <c r="A596" s="64">
        <v>11</v>
      </c>
      <c r="B596" s="24" t="s">
        <v>319</v>
      </c>
      <c r="C596" s="326">
        <v>20844</v>
      </c>
      <c r="D596" s="25" t="s">
        <v>31</v>
      </c>
      <c r="E596" s="259">
        <v>160</v>
      </c>
      <c r="F596" s="259">
        <f t="shared" si="20"/>
        <v>3335040</v>
      </c>
    </row>
    <row r="597" spans="1:10" ht="30" x14ac:dyDescent="0.25">
      <c r="A597" s="64">
        <v>12</v>
      </c>
      <c r="B597" s="24" t="s">
        <v>360</v>
      </c>
      <c r="C597" s="326">
        <v>6420</v>
      </c>
      <c r="D597" s="25" t="s">
        <v>31</v>
      </c>
      <c r="E597" s="259">
        <v>95</v>
      </c>
      <c r="F597" s="259">
        <f t="shared" si="20"/>
        <v>609900</v>
      </c>
    </row>
    <row r="598" spans="1:10" ht="75" x14ac:dyDescent="0.25">
      <c r="A598" s="64">
        <v>13</v>
      </c>
      <c r="B598" s="24" t="s">
        <v>361</v>
      </c>
      <c r="C598" s="326">
        <v>220</v>
      </c>
      <c r="D598" s="25" t="s">
        <v>33</v>
      </c>
      <c r="E598" s="259">
        <v>4800</v>
      </c>
      <c r="F598" s="259">
        <f t="shared" si="20"/>
        <v>1056000</v>
      </c>
    </row>
    <row r="599" spans="1:10" ht="135" x14ac:dyDescent="0.25">
      <c r="A599" s="64">
        <v>14</v>
      </c>
      <c r="B599" s="24" t="s">
        <v>362</v>
      </c>
      <c r="C599" s="326"/>
      <c r="D599" s="25"/>
      <c r="E599" s="259"/>
      <c r="F599" s="259"/>
      <c r="I599" s="635" t="s">
        <v>322</v>
      </c>
      <c r="J599" s="635"/>
    </row>
    <row r="600" spans="1:10" x14ac:dyDescent="0.25">
      <c r="A600" s="64"/>
      <c r="B600" s="24" t="s">
        <v>309</v>
      </c>
      <c r="C600" s="326">
        <v>110</v>
      </c>
      <c r="D600" s="25" t="s">
        <v>11</v>
      </c>
      <c r="E600" s="259">
        <v>12450</v>
      </c>
      <c r="F600" s="259">
        <f t="shared" si="20"/>
        <v>1369500</v>
      </c>
    </row>
    <row r="601" spans="1:10" x14ac:dyDescent="0.25">
      <c r="A601" s="64"/>
      <c r="B601" s="24" t="s">
        <v>310</v>
      </c>
      <c r="C601" s="326">
        <v>24</v>
      </c>
      <c r="D601" s="25" t="s">
        <v>11</v>
      </c>
      <c r="E601" s="259">
        <v>23850</v>
      </c>
      <c r="F601" s="259">
        <f t="shared" si="20"/>
        <v>572400</v>
      </c>
    </row>
    <row r="602" spans="1:10" x14ac:dyDescent="0.25">
      <c r="A602" s="64"/>
      <c r="B602" s="24" t="s">
        <v>311</v>
      </c>
      <c r="C602" s="326">
        <v>45</v>
      </c>
      <c r="D602" s="25" t="s">
        <v>11</v>
      </c>
      <c r="E602" s="259">
        <v>15400</v>
      </c>
      <c r="F602" s="259">
        <f t="shared" si="20"/>
        <v>693000</v>
      </c>
    </row>
    <row r="603" spans="1:10" x14ac:dyDescent="0.25">
      <c r="A603" s="64"/>
      <c r="B603" s="24" t="s">
        <v>312</v>
      </c>
      <c r="C603" s="326">
        <v>85</v>
      </c>
      <c r="D603" s="25" t="s">
        <v>11</v>
      </c>
      <c r="E603" s="259">
        <v>9500</v>
      </c>
      <c r="F603" s="259">
        <f t="shared" si="20"/>
        <v>807500</v>
      </c>
    </row>
    <row r="604" spans="1:10" x14ac:dyDescent="0.25">
      <c r="A604" s="64"/>
      <c r="B604" s="24" t="s">
        <v>313</v>
      </c>
      <c r="C604" s="326">
        <v>14</v>
      </c>
      <c r="D604" s="25" t="s">
        <v>11</v>
      </c>
      <c r="E604" s="259">
        <v>10200</v>
      </c>
      <c r="F604" s="259">
        <f t="shared" si="20"/>
        <v>142800</v>
      </c>
    </row>
    <row r="605" spans="1:10" x14ac:dyDescent="0.25">
      <c r="A605" s="64"/>
      <c r="B605" s="24" t="s">
        <v>314</v>
      </c>
      <c r="C605" s="326">
        <v>4</v>
      </c>
      <c r="D605" s="25" t="s">
        <v>11</v>
      </c>
      <c r="E605" s="259">
        <v>58000</v>
      </c>
      <c r="F605" s="259">
        <f t="shared" si="20"/>
        <v>232000</v>
      </c>
    </row>
    <row r="606" spans="1:10" x14ac:dyDescent="0.25">
      <c r="A606" s="64"/>
      <c r="B606" s="24" t="s">
        <v>315</v>
      </c>
      <c r="C606" s="326">
        <v>4</v>
      </c>
      <c r="D606" s="25" t="s">
        <v>11</v>
      </c>
      <c r="E606" s="259">
        <v>11800</v>
      </c>
      <c r="F606" s="259">
        <f t="shared" si="20"/>
        <v>47200</v>
      </c>
    </row>
    <row r="607" spans="1:10" x14ac:dyDescent="0.25">
      <c r="A607" s="64"/>
      <c r="B607" s="24" t="s">
        <v>316</v>
      </c>
      <c r="C607" s="326">
        <v>26</v>
      </c>
      <c r="D607" s="25" t="s">
        <v>11</v>
      </c>
      <c r="E607" s="259">
        <v>14800</v>
      </c>
      <c r="F607" s="259">
        <f t="shared" si="20"/>
        <v>384800</v>
      </c>
    </row>
    <row r="608" spans="1:10" ht="60" x14ac:dyDescent="0.25">
      <c r="A608" s="64">
        <v>15</v>
      </c>
      <c r="B608" s="24" t="s">
        <v>363</v>
      </c>
      <c r="C608" s="326">
        <v>24</v>
      </c>
      <c r="D608" s="25" t="s">
        <v>180</v>
      </c>
      <c r="E608" s="259">
        <v>118500</v>
      </c>
      <c r="F608" s="259">
        <f t="shared" si="20"/>
        <v>2844000</v>
      </c>
    </row>
    <row r="609" spans="1:6" ht="45" x14ac:dyDescent="0.25">
      <c r="A609" s="64">
        <v>16</v>
      </c>
      <c r="B609" s="24" t="s">
        <v>364</v>
      </c>
      <c r="C609" s="326">
        <v>880</v>
      </c>
      <c r="D609" s="25" t="s">
        <v>31</v>
      </c>
      <c r="E609" s="259">
        <v>450</v>
      </c>
      <c r="F609" s="259">
        <f t="shared" si="20"/>
        <v>396000</v>
      </c>
    </row>
    <row r="610" spans="1:6" ht="60" x14ac:dyDescent="0.25">
      <c r="A610" s="64">
        <v>17</v>
      </c>
      <c r="B610" s="24" t="s">
        <v>365</v>
      </c>
      <c r="C610" s="326">
        <v>1270</v>
      </c>
      <c r="D610" s="25" t="s">
        <v>31</v>
      </c>
      <c r="E610" s="259">
        <v>450</v>
      </c>
      <c r="F610" s="259">
        <f t="shared" si="20"/>
        <v>571500</v>
      </c>
    </row>
    <row r="611" spans="1:6" ht="90" x14ac:dyDescent="0.25">
      <c r="A611" s="64">
        <v>18</v>
      </c>
      <c r="B611" s="24" t="s">
        <v>366</v>
      </c>
      <c r="C611" s="326">
        <v>5</v>
      </c>
      <c r="D611" s="25" t="s">
        <v>180</v>
      </c>
      <c r="E611" s="259">
        <v>210000</v>
      </c>
      <c r="F611" s="259">
        <f t="shared" si="20"/>
        <v>1050000</v>
      </c>
    </row>
    <row r="612" spans="1:6" x14ac:dyDescent="0.25">
      <c r="A612" s="26"/>
      <c r="B612" s="636" t="s">
        <v>322</v>
      </c>
      <c r="C612" s="635"/>
      <c r="D612" s="53"/>
      <c r="E612" s="248"/>
      <c r="F612" s="248"/>
    </row>
    <row r="614" spans="1:6" ht="15.75" x14ac:dyDescent="0.25">
      <c r="B614" s="35" t="s">
        <v>224</v>
      </c>
      <c r="C614" s="317"/>
      <c r="D614" s="36"/>
      <c r="E614" s="240"/>
      <c r="F614" s="240">
        <f>SUM(F586:F611)</f>
        <v>33643120</v>
      </c>
    </row>
    <row r="616" spans="1:6" x14ac:dyDescent="0.25">
      <c r="A616" s="46" t="s">
        <v>0</v>
      </c>
      <c r="B616" s="28" t="s">
        <v>1</v>
      </c>
      <c r="C616" s="321" t="s">
        <v>2</v>
      </c>
      <c r="D616" s="47" t="s">
        <v>3</v>
      </c>
      <c r="E616" s="244" t="s">
        <v>4</v>
      </c>
      <c r="F616" s="244" t="s">
        <v>5</v>
      </c>
    </row>
    <row r="617" spans="1:6" ht="60" x14ac:dyDescent="0.25">
      <c r="A617" s="13">
        <v>1</v>
      </c>
      <c r="B617" s="14" t="s">
        <v>368</v>
      </c>
      <c r="C617" s="316">
        <v>240</v>
      </c>
      <c r="D617" s="15" t="s">
        <v>33</v>
      </c>
      <c r="E617" s="16">
        <v>1750</v>
      </c>
      <c r="F617" s="16">
        <f>(C617*E617)</f>
        <v>420000</v>
      </c>
    </row>
    <row r="618" spans="1:6" ht="60" x14ac:dyDescent="0.25">
      <c r="A618" s="13">
        <v>2</v>
      </c>
      <c r="B618" s="14" t="s">
        <v>367</v>
      </c>
      <c r="C618" s="316">
        <v>360</v>
      </c>
      <c r="D618" s="15" t="s">
        <v>33</v>
      </c>
      <c r="E618" s="16">
        <v>1750</v>
      </c>
      <c r="F618" s="16">
        <f>(C618*E618)</f>
        <v>630000</v>
      </c>
    </row>
    <row r="619" spans="1:6" ht="60" x14ac:dyDescent="0.25">
      <c r="A619" s="13">
        <v>3</v>
      </c>
      <c r="B619" s="14" t="s">
        <v>369</v>
      </c>
      <c r="C619" s="316">
        <v>2696</v>
      </c>
      <c r="D619" s="15" t="s">
        <v>31</v>
      </c>
      <c r="E619" s="16">
        <v>2200</v>
      </c>
      <c r="F619" s="16">
        <f>(C619*E619)</f>
        <v>5931200</v>
      </c>
    </row>
    <row r="621" spans="1:6" ht="15.75" x14ac:dyDescent="0.25">
      <c r="B621" s="35" t="s">
        <v>224</v>
      </c>
      <c r="C621" s="317"/>
      <c r="D621" s="36"/>
      <c r="E621" s="240"/>
      <c r="F621" s="240">
        <f>SUM(F617:F619)</f>
        <v>6981200</v>
      </c>
    </row>
    <row r="623" spans="1:6" x14ac:dyDescent="0.25">
      <c r="A623" s="46" t="s">
        <v>0</v>
      </c>
      <c r="B623" s="28" t="s">
        <v>1</v>
      </c>
      <c r="C623" s="321" t="s">
        <v>2</v>
      </c>
      <c r="D623" s="47" t="s">
        <v>3</v>
      </c>
      <c r="E623" s="244" t="s">
        <v>4</v>
      </c>
      <c r="F623" s="244" t="s">
        <v>5</v>
      </c>
    </row>
    <row r="624" spans="1:6" ht="30" x14ac:dyDescent="0.25">
      <c r="A624" s="13">
        <v>1</v>
      </c>
      <c r="B624" s="14" t="s">
        <v>370</v>
      </c>
      <c r="C624" s="316">
        <v>1</v>
      </c>
      <c r="D624" s="15" t="s">
        <v>407</v>
      </c>
      <c r="E624" s="16">
        <v>38000</v>
      </c>
      <c r="F624" s="16">
        <f>(C624*E624)</f>
        <v>38000</v>
      </c>
    </row>
    <row r="625" spans="1:6" ht="45" x14ac:dyDescent="0.25">
      <c r="A625" s="13">
        <v>2</v>
      </c>
      <c r="B625" s="14" t="s">
        <v>371</v>
      </c>
    </row>
    <row r="626" spans="1:6" x14ac:dyDescent="0.25">
      <c r="A626" s="13" t="s">
        <v>202</v>
      </c>
      <c r="B626" s="14" t="s">
        <v>372</v>
      </c>
      <c r="C626" s="316">
        <v>1</v>
      </c>
      <c r="D626" s="15" t="s">
        <v>407</v>
      </c>
      <c r="E626" s="16">
        <v>52000</v>
      </c>
      <c r="F626" s="16">
        <f>(C626*E626)</f>
        <v>52000</v>
      </c>
    </row>
    <row r="627" spans="1:6" x14ac:dyDescent="0.25">
      <c r="A627" s="13" t="s">
        <v>204</v>
      </c>
      <c r="B627" s="14" t="s">
        <v>382</v>
      </c>
      <c r="C627" s="316">
        <v>1</v>
      </c>
      <c r="D627" s="15" t="s">
        <v>407</v>
      </c>
      <c r="E627" s="16">
        <v>42000</v>
      </c>
      <c r="F627" s="16">
        <f>(C627*E627)</f>
        <v>42000</v>
      </c>
    </row>
    <row r="628" spans="1:6" ht="30" x14ac:dyDescent="0.25">
      <c r="A628" s="13" t="s">
        <v>206</v>
      </c>
      <c r="B628" s="14" t="s">
        <v>373</v>
      </c>
      <c r="C628" s="316">
        <v>1120</v>
      </c>
      <c r="D628" s="15" t="s">
        <v>31</v>
      </c>
      <c r="E628" s="16">
        <v>40</v>
      </c>
      <c r="F628" s="16">
        <f>(C628*E628)</f>
        <v>44800</v>
      </c>
    </row>
    <row r="629" spans="1:6" x14ac:dyDescent="0.25">
      <c r="A629" s="13" t="s">
        <v>208</v>
      </c>
      <c r="B629" s="14" t="s">
        <v>374</v>
      </c>
      <c r="C629" s="316">
        <v>1</v>
      </c>
      <c r="D629" s="15" t="s">
        <v>407</v>
      </c>
      <c r="E629" s="16">
        <v>18000</v>
      </c>
      <c r="F629" s="16">
        <f>(C629*E629)</f>
        <v>18000</v>
      </c>
    </row>
    <row r="630" spans="1:6" x14ac:dyDescent="0.25">
      <c r="A630" s="13" t="s">
        <v>297</v>
      </c>
      <c r="B630" s="14" t="s">
        <v>375</v>
      </c>
      <c r="C630" s="316">
        <v>10</v>
      </c>
      <c r="D630" s="15" t="s">
        <v>407</v>
      </c>
      <c r="E630" s="16">
        <v>7500</v>
      </c>
      <c r="F630" s="16">
        <f>(C630*E630)</f>
        <v>75000</v>
      </c>
    </row>
    <row r="631" spans="1:6" x14ac:dyDescent="0.25">
      <c r="B631" s="14" t="s">
        <v>376</v>
      </c>
      <c r="F631" s="16">
        <f>SUM(F624:F630)</f>
        <v>269800</v>
      </c>
    </row>
    <row r="632" spans="1:6" ht="45" x14ac:dyDescent="0.25">
      <c r="A632" s="13">
        <v>3</v>
      </c>
      <c r="B632" s="14" t="s">
        <v>377</v>
      </c>
      <c r="C632" s="316">
        <v>3511</v>
      </c>
      <c r="D632" s="15" t="s">
        <v>31</v>
      </c>
      <c r="E632" s="16">
        <v>30</v>
      </c>
      <c r="F632" s="16">
        <f>(C632*E632)</f>
        <v>105330</v>
      </c>
    </row>
    <row r="633" spans="1:6" ht="60" x14ac:dyDescent="0.25">
      <c r="A633" s="13">
        <v>4</v>
      </c>
      <c r="B633" s="14" t="s">
        <v>378</v>
      </c>
      <c r="C633" s="316">
        <v>35</v>
      </c>
      <c r="D633" s="15" t="s">
        <v>33</v>
      </c>
      <c r="E633" s="16">
        <v>2200</v>
      </c>
      <c r="F633" s="16">
        <f>(C633*E633)</f>
        <v>77000</v>
      </c>
    </row>
    <row r="634" spans="1:6" ht="45" x14ac:dyDescent="0.25">
      <c r="A634" s="13">
        <v>5</v>
      </c>
      <c r="B634" s="14" t="s">
        <v>388</v>
      </c>
      <c r="C634" s="316">
        <v>18</v>
      </c>
      <c r="D634" s="15" t="s">
        <v>33</v>
      </c>
      <c r="E634" s="16">
        <v>2400</v>
      </c>
      <c r="F634" s="16">
        <f t="shared" ref="F634:F658" si="21">(C634*E634)</f>
        <v>43200</v>
      </c>
    </row>
    <row r="635" spans="1:6" ht="60" x14ac:dyDescent="0.25">
      <c r="A635" s="13">
        <v>6</v>
      </c>
      <c r="B635" s="14" t="s">
        <v>386</v>
      </c>
      <c r="C635" s="316">
        <v>56</v>
      </c>
      <c r="D635" s="15" t="s">
        <v>33</v>
      </c>
      <c r="E635" s="16">
        <v>2200</v>
      </c>
      <c r="F635" s="16">
        <f t="shared" si="21"/>
        <v>123200</v>
      </c>
    </row>
    <row r="636" spans="1:6" ht="30" x14ac:dyDescent="0.25">
      <c r="A636" s="13">
        <v>7</v>
      </c>
      <c r="B636" s="14" t="s">
        <v>387</v>
      </c>
      <c r="C636" s="316">
        <v>109</v>
      </c>
      <c r="D636" s="15" t="s">
        <v>33</v>
      </c>
      <c r="E636" s="16">
        <v>2100</v>
      </c>
      <c r="F636" s="16">
        <f t="shared" si="21"/>
        <v>228900</v>
      </c>
    </row>
    <row r="637" spans="1:6" ht="45" x14ac:dyDescent="0.25">
      <c r="A637" s="13">
        <v>8</v>
      </c>
      <c r="B637" s="14" t="s">
        <v>379</v>
      </c>
      <c r="C637" s="316">
        <v>82</v>
      </c>
      <c r="D637" s="15" t="s">
        <v>33</v>
      </c>
      <c r="E637" s="16">
        <v>2200</v>
      </c>
      <c r="F637" s="16">
        <f t="shared" si="21"/>
        <v>180400</v>
      </c>
    </row>
    <row r="638" spans="1:6" ht="30" x14ac:dyDescent="0.25">
      <c r="A638" s="13">
        <v>9</v>
      </c>
      <c r="B638" s="14" t="s">
        <v>380</v>
      </c>
      <c r="C638" s="316">
        <v>22</v>
      </c>
      <c r="D638" s="15" t="s">
        <v>33</v>
      </c>
      <c r="E638" s="16">
        <v>2450</v>
      </c>
      <c r="F638" s="16">
        <f t="shared" si="21"/>
        <v>53900</v>
      </c>
    </row>
    <row r="639" spans="1:6" ht="45" x14ac:dyDescent="0.25">
      <c r="A639" s="13">
        <v>10</v>
      </c>
      <c r="B639" s="14" t="s">
        <v>381</v>
      </c>
      <c r="C639" s="316">
        <v>564</v>
      </c>
      <c r="D639" s="15" t="s">
        <v>31</v>
      </c>
      <c r="E639" s="16">
        <v>1800</v>
      </c>
      <c r="F639" s="16">
        <f t="shared" si="21"/>
        <v>1015200</v>
      </c>
    </row>
    <row r="640" spans="1:6" ht="45" x14ac:dyDescent="0.25">
      <c r="A640" s="13">
        <v>11</v>
      </c>
      <c r="B640" s="14" t="s">
        <v>396</v>
      </c>
      <c r="C640" s="316">
        <v>62</v>
      </c>
      <c r="D640" s="15" t="s">
        <v>33</v>
      </c>
      <c r="E640" s="16">
        <v>2600</v>
      </c>
      <c r="F640" s="16">
        <f t="shared" si="21"/>
        <v>161200</v>
      </c>
    </row>
    <row r="641" spans="1:6" ht="45" x14ac:dyDescent="0.25">
      <c r="A641" s="13">
        <v>12</v>
      </c>
      <c r="B641" s="14" t="s">
        <v>397</v>
      </c>
      <c r="C641" s="316">
        <v>216</v>
      </c>
      <c r="D641" s="15" t="s">
        <v>31</v>
      </c>
      <c r="E641" s="16">
        <v>1900</v>
      </c>
      <c r="F641" s="16">
        <f t="shared" si="21"/>
        <v>410400</v>
      </c>
    </row>
    <row r="642" spans="1:6" ht="75" x14ac:dyDescent="0.25">
      <c r="A642" s="13">
        <v>13</v>
      </c>
      <c r="B642" s="14" t="s">
        <v>398</v>
      </c>
      <c r="C642" s="316">
        <v>207</v>
      </c>
      <c r="D642" s="15" t="s">
        <v>33</v>
      </c>
      <c r="E642" s="16">
        <v>2200</v>
      </c>
      <c r="F642" s="16">
        <f t="shared" si="21"/>
        <v>455400</v>
      </c>
    </row>
    <row r="643" spans="1:6" ht="30" x14ac:dyDescent="0.25">
      <c r="A643" s="13">
        <v>14</v>
      </c>
      <c r="B643" s="14" t="s">
        <v>383</v>
      </c>
      <c r="C643" s="316">
        <v>22</v>
      </c>
      <c r="D643" s="15" t="s">
        <v>33</v>
      </c>
      <c r="E643" s="16">
        <v>2450</v>
      </c>
      <c r="F643" s="16">
        <f t="shared" si="21"/>
        <v>53900</v>
      </c>
    </row>
    <row r="644" spans="1:6" ht="45" x14ac:dyDescent="0.25">
      <c r="A644" s="13">
        <v>15</v>
      </c>
      <c r="B644" s="14" t="s">
        <v>399</v>
      </c>
      <c r="C644" s="316">
        <v>16</v>
      </c>
      <c r="D644" s="15" t="s">
        <v>33</v>
      </c>
      <c r="E644" s="16">
        <v>2200</v>
      </c>
      <c r="F644" s="16">
        <f t="shared" si="21"/>
        <v>35200</v>
      </c>
    </row>
    <row r="645" spans="1:6" ht="30" x14ac:dyDescent="0.25">
      <c r="A645" s="13">
        <v>16</v>
      </c>
      <c r="B645" s="14" t="s">
        <v>400</v>
      </c>
      <c r="C645" s="316">
        <v>80</v>
      </c>
      <c r="D645" s="15" t="s">
        <v>31</v>
      </c>
      <c r="E645" s="16">
        <v>1800</v>
      </c>
      <c r="F645" s="16">
        <f t="shared" si="21"/>
        <v>144000</v>
      </c>
    </row>
    <row r="646" spans="1:6" ht="45" x14ac:dyDescent="0.25">
      <c r="A646" s="13">
        <v>17</v>
      </c>
      <c r="B646" s="14" t="s">
        <v>384</v>
      </c>
      <c r="C646" s="316">
        <v>1.44</v>
      </c>
      <c r="D646" s="15" t="s">
        <v>30</v>
      </c>
      <c r="E646" s="16">
        <v>14500</v>
      </c>
      <c r="F646" s="16">
        <f t="shared" si="21"/>
        <v>20880</v>
      </c>
    </row>
    <row r="647" spans="1:6" ht="30" x14ac:dyDescent="0.25">
      <c r="A647" s="13">
        <v>18</v>
      </c>
      <c r="B647" s="14" t="s">
        <v>385</v>
      </c>
      <c r="C647" s="316">
        <v>32</v>
      </c>
      <c r="D647" s="15" t="s">
        <v>32</v>
      </c>
      <c r="E647" s="16">
        <v>3250</v>
      </c>
      <c r="F647" s="16">
        <f t="shared" si="21"/>
        <v>104000</v>
      </c>
    </row>
    <row r="648" spans="1:6" ht="60" x14ac:dyDescent="0.25">
      <c r="A648" s="13">
        <v>19</v>
      </c>
      <c r="B648" s="14" t="s">
        <v>386</v>
      </c>
      <c r="C648" s="316">
        <v>56</v>
      </c>
      <c r="D648" s="15" t="s">
        <v>33</v>
      </c>
      <c r="E648" s="16">
        <v>2200</v>
      </c>
      <c r="F648" s="16">
        <f t="shared" si="21"/>
        <v>123200</v>
      </c>
    </row>
    <row r="649" spans="1:6" ht="30" x14ac:dyDescent="0.25">
      <c r="A649" s="13">
        <v>20</v>
      </c>
      <c r="B649" s="14" t="s">
        <v>387</v>
      </c>
      <c r="C649" s="316">
        <v>109</v>
      </c>
      <c r="D649" s="15" t="s">
        <v>33</v>
      </c>
      <c r="E649" s="16">
        <v>2100</v>
      </c>
      <c r="F649" s="16">
        <f t="shared" si="21"/>
        <v>228900</v>
      </c>
    </row>
    <row r="650" spans="1:6" ht="45" x14ac:dyDescent="0.25">
      <c r="A650" s="13">
        <v>21</v>
      </c>
      <c r="B650" s="14" t="s">
        <v>388</v>
      </c>
      <c r="C650" s="316">
        <v>18</v>
      </c>
      <c r="D650" s="15" t="s">
        <v>33</v>
      </c>
      <c r="E650" s="16">
        <v>2400</v>
      </c>
      <c r="F650" s="16">
        <f t="shared" si="21"/>
        <v>43200</v>
      </c>
    </row>
    <row r="651" spans="1:6" ht="60" x14ac:dyDescent="0.25">
      <c r="A651" s="13">
        <v>22</v>
      </c>
      <c r="B651" s="14" t="s">
        <v>389</v>
      </c>
      <c r="C651" s="316">
        <v>103</v>
      </c>
      <c r="D651" s="15" t="s">
        <v>33</v>
      </c>
      <c r="E651" s="16">
        <v>2200</v>
      </c>
      <c r="F651" s="16">
        <f t="shared" si="21"/>
        <v>226600</v>
      </c>
    </row>
    <row r="652" spans="1:6" ht="30" x14ac:dyDescent="0.25">
      <c r="A652" s="13">
        <v>23</v>
      </c>
      <c r="B652" s="14" t="s">
        <v>390</v>
      </c>
      <c r="C652" s="316">
        <v>455</v>
      </c>
      <c r="D652" s="15" t="s">
        <v>31</v>
      </c>
      <c r="E652" s="16">
        <v>1800</v>
      </c>
      <c r="F652" s="16">
        <f t="shared" si="21"/>
        <v>819000</v>
      </c>
    </row>
    <row r="653" spans="1:6" ht="60" x14ac:dyDescent="0.25">
      <c r="A653" s="13">
        <v>24</v>
      </c>
      <c r="B653" s="14" t="s">
        <v>391</v>
      </c>
      <c r="C653" s="316">
        <v>6630</v>
      </c>
      <c r="D653" s="15" t="s">
        <v>31</v>
      </c>
      <c r="E653" s="16">
        <v>395</v>
      </c>
      <c r="F653" s="16">
        <f t="shared" si="21"/>
        <v>2618850</v>
      </c>
    </row>
    <row r="654" spans="1:6" ht="90" x14ac:dyDescent="0.25">
      <c r="A654" s="13">
        <v>25</v>
      </c>
      <c r="B654" s="14" t="s">
        <v>402</v>
      </c>
      <c r="C654" s="316">
        <v>1</v>
      </c>
      <c r="D654" s="15" t="s">
        <v>407</v>
      </c>
      <c r="E654" s="16">
        <v>795000</v>
      </c>
      <c r="F654" s="16">
        <f t="shared" si="21"/>
        <v>795000</v>
      </c>
    </row>
    <row r="655" spans="1:6" ht="45" x14ac:dyDescent="0.25">
      <c r="A655" s="13">
        <v>26</v>
      </c>
      <c r="B655" s="14" t="s">
        <v>392</v>
      </c>
      <c r="C655" s="316">
        <v>18292</v>
      </c>
      <c r="D655" s="15" t="s">
        <v>31</v>
      </c>
      <c r="E655" s="16">
        <v>145</v>
      </c>
      <c r="F655" s="16">
        <f t="shared" si="21"/>
        <v>2652340</v>
      </c>
    </row>
    <row r="656" spans="1:6" ht="60" x14ac:dyDescent="0.25">
      <c r="A656" s="13">
        <v>27</v>
      </c>
      <c r="B656" s="14" t="s">
        <v>393</v>
      </c>
      <c r="C656" s="316">
        <v>8100</v>
      </c>
      <c r="D656" s="15" t="s">
        <v>31</v>
      </c>
      <c r="E656" s="16">
        <v>180</v>
      </c>
      <c r="F656" s="16">
        <f t="shared" si="21"/>
        <v>1458000</v>
      </c>
    </row>
    <row r="657" spans="1:6" ht="45" x14ac:dyDescent="0.25">
      <c r="A657" s="13">
        <v>28</v>
      </c>
      <c r="B657" s="14" t="s">
        <v>394</v>
      </c>
      <c r="C657" s="316">
        <v>3445</v>
      </c>
      <c r="D657" s="15" t="s">
        <v>31</v>
      </c>
      <c r="E657" s="16">
        <v>210</v>
      </c>
      <c r="F657" s="16">
        <f t="shared" si="21"/>
        <v>723450</v>
      </c>
    </row>
    <row r="658" spans="1:6" ht="120" x14ac:dyDescent="0.25">
      <c r="A658" s="13">
        <v>29</v>
      </c>
      <c r="B658" s="14" t="s">
        <v>401</v>
      </c>
      <c r="C658" s="316">
        <v>1920</v>
      </c>
      <c r="D658" s="15" t="s">
        <v>31</v>
      </c>
      <c r="E658" s="16">
        <v>3350</v>
      </c>
      <c r="F658" s="16">
        <f t="shared" si="21"/>
        <v>6432000</v>
      </c>
    </row>
    <row r="659" spans="1:6" x14ac:dyDescent="0.25">
      <c r="A659" s="46" t="s">
        <v>0</v>
      </c>
      <c r="B659" s="28" t="s">
        <v>1</v>
      </c>
      <c r="C659" s="321" t="s">
        <v>2</v>
      </c>
      <c r="D659" s="47" t="s">
        <v>3</v>
      </c>
      <c r="E659" s="244" t="s">
        <v>4</v>
      </c>
      <c r="F659" s="244" t="s">
        <v>5</v>
      </c>
    </row>
    <row r="661" spans="1:6" ht="45" x14ac:dyDescent="0.25">
      <c r="A661" s="13">
        <v>1</v>
      </c>
      <c r="B661" s="14" t="s">
        <v>323</v>
      </c>
      <c r="C661" s="316">
        <v>445</v>
      </c>
      <c r="D661" s="15" t="s">
        <v>33</v>
      </c>
      <c r="E661" s="16">
        <v>620</v>
      </c>
      <c r="F661" s="16">
        <f t="shared" ref="F661:F670" si="22">(C661*E661)</f>
        <v>275900</v>
      </c>
    </row>
    <row r="662" spans="1:6" ht="90" x14ac:dyDescent="0.25">
      <c r="A662" s="13">
        <v>2</v>
      </c>
      <c r="B662" s="14" t="s">
        <v>328</v>
      </c>
      <c r="C662" s="316">
        <v>6790</v>
      </c>
      <c r="D662" s="15" t="s">
        <v>31</v>
      </c>
      <c r="E662" s="16">
        <v>665</v>
      </c>
      <c r="F662" s="16">
        <f t="shared" si="22"/>
        <v>4515350</v>
      </c>
    </row>
    <row r="663" spans="1:6" ht="90" x14ac:dyDescent="0.25">
      <c r="A663" s="13">
        <v>3</v>
      </c>
      <c r="B663" s="14" t="s">
        <v>329</v>
      </c>
      <c r="C663" s="316">
        <v>6</v>
      </c>
      <c r="D663" s="15" t="s">
        <v>330</v>
      </c>
      <c r="E663" s="16">
        <v>675000</v>
      </c>
      <c r="F663" s="16">
        <f t="shared" si="22"/>
        <v>4050000</v>
      </c>
    </row>
    <row r="664" spans="1:6" ht="135" x14ac:dyDescent="0.25">
      <c r="A664" s="13">
        <v>4</v>
      </c>
      <c r="B664" s="14" t="s">
        <v>325</v>
      </c>
      <c r="C664" s="316">
        <v>2892</v>
      </c>
      <c r="D664" s="15" t="s">
        <v>31</v>
      </c>
      <c r="E664" s="16">
        <v>1350</v>
      </c>
      <c r="F664" s="16">
        <f t="shared" si="22"/>
        <v>3904200</v>
      </c>
    </row>
    <row r="665" spans="1:6" ht="60" x14ac:dyDescent="0.25">
      <c r="A665" s="13">
        <v>5</v>
      </c>
      <c r="B665" s="14" t="s">
        <v>317</v>
      </c>
      <c r="C665" s="316">
        <v>280</v>
      </c>
      <c r="D665" s="15" t="s">
        <v>33</v>
      </c>
      <c r="E665" s="16">
        <v>980</v>
      </c>
      <c r="F665" s="16">
        <f t="shared" si="22"/>
        <v>274400</v>
      </c>
    </row>
    <row r="666" spans="1:6" ht="60" x14ac:dyDescent="0.25">
      <c r="A666" s="13">
        <v>6</v>
      </c>
      <c r="B666" s="14" t="s">
        <v>318</v>
      </c>
      <c r="C666" s="316">
        <v>395</v>
      </c>
      <c r="D666" s="15" t="s">
        <v>33</v>
      </c>
      <c r="E666" s="16">
        <v>980</v>
      </c>
      <c r="F666" s="16">
        <f t="shared" si="22"/>
        <v>387100</v>
      </c>
    </row>
    <row r="667" spans="1:6" x14ac:dyDescent="0.25">
      <c r="A667" s="13">
        <v>7</v>
      </c>
      <c r="B667" s="14" t="s">
        <v>395</v>
      </c>
      <c r="C667" s="316">
        <v>110</v>
      </c>
      <c r="D667" s="15" t="s">
        <v>33</v>
      </c>
      <c r="E667" s="16">
        <v>980</v>
      </c>
      <c r="F667" s="16">
        <f t="shared" si="22"/>
        <v>107800</v>
      </c>
    </row>
    <row r="668" spans="1:6" ht="75" x14ac:dyDescent="0.25">
      <c r="A668" s="13">
        <v>8</v>
      </c>
      <c r="B668" s="14" t="s">
        <v>319</v>
      </c>
      <c r="C668" s="316">
        <v>22850</v>
      </c>
      <c r="D668" s="15" t="s">
        <v>31</v>
      </c>
      <c r="E668" s="16">
        <v>190</v>
      </c>
      <c r="F668" s="16">
        <f t="shared" si="22"/>
        <v>4341500</v>
      </c>
    </row>
    <row r="669" spans="1:6" ht="30" x14ac:dyDescent="0.25">
      <c r="A669" s="13">
        <v>9</v>
      </c>
      <c r="B669" s="14" t="s">
        <v>320</v>
      </c>
      <c r="C669" s="316">
        <v>8100</v>
      </c>
      <c r="D669" s="15" t="s">
        <v>31</v>
      </c>
      <c r="E669" s="16">
        <v>95</v>
      </c>
      <c r="F669" s="16">
        <f t="shared" si="22"/>
        <v>769500</v>
      </c>
    </row>
    <row r="670" spans="1:6" ht="75" x14ac:dyDescent="0.25">
      <c r="A670" s="13">
        <v>10</v>
      </c>
      <c r="B670" s="14" t="s">
        <v>321</v>
      </c>
      <c r="C670" s="316">
        <v>345</v>
      </c>
      <c r="D670" s="15" t="s">
        <v>33</v>
      </c>
      <c r="E670" s="16">
        <v>4800</v>
      </c>
      <c r="F670" s="16">
        <f t="shared" si="22"/>
        <v>1656000</v>
      </c>
    </row>
    <row r="671" spans="1:6" ht="150" x14ac:dyDescent="0.25">
      <c r="A671" s="13">
        <v>4</v>
      </c>
      <c r="B671" s="14" t="s">
        <v>404</v>
      </c>
      <c r="C671" s="316">
        <v>1920</v>
      </c>
      <c r="D671" s="15" t="s">
        <v>31</v>
      </c>
      <c r="E671" s="16">
        <v>2400</v>
      </c>
    </row>
    <row r="672" spans="1:6" ht="135" x14ac:dyDescent="0.25">
      <c r="A672" s="13">
        <v>11</v>
      </c>
      <c r="B672" s="14" t="s">
        <v>326</v>
      </c>
    </row>
    <row r="673" spans="1:6" x14ac:dyDescent="0.25">
      <c r="B673" s="14" t="s">
        <v>309</v>
      </c>
      <c r="C673" s="316">
        <v>1</v>
      </c>
      <c r="D673" s="15" t="s">
        <v>127</v>
      </c>
      <c r="E673" s="16">
        <v>6900</v>
      </c>
    </row>
    <row r="674" spans="1:6" x14ac:dyDescent="0.25">
      <c r="B674" s="14" t="s">
        <v>310</v>
      </c>
      <c r="C674" s="316">
        <v>1</v>
      </c>
      <c r="D674" s="15" t="s">
        <v>127</v>
      </c>
      <c r="E674" s="16">
        <v>7100</v>
      </c>
    </row>
    <row r="675" spans="1:6" x14ac:dyDescent="0.25">
      <c r="B675" s="14" t="s">
        <v>311</v>
      </c>
      <c r="C675" s="316">
        <v>1</v>
      </c>
      <c r="D675" s="15" t="s">
        <v>127</v>
      </c>
      <c r="E675" s="16">
        <v>6900</v>
      </c>
    </row>
    <row r="676" spans="1:6" x14ac:dyDescent="0.25">
      <c r="B676" s="14" t="s">
        <v>312</v>
      </c>
      <c r="C676" s="316">
        <v>1</v>
      </c>
      <c r="D676" s="15" t="s">
        <v>127</v>
      </c>
      <c r="E676" s="16">
        <v>7700</v>
      </c>
    </row>
    <row r="677" spans="1:6" x14ac:dyDescent="0.25">
      <c r="B677" s="14" t="s">
        <v>313</v>
      </c>
      <c r="C677" s="316">
        <v>1</v>
      </c>
      <c r="D677" s="15" t="s">
        <v>127</v>
      </c>
      <c r="E677" s="16">
        <v>8200</v>
      </c>
    </row>
    <row r="678" spans="1:6" x14ac:dyDescent="0.25">
      <c r="B678" s="14" t="s">
        <v>314</v>
      </c>
      <c r="C678" s="316">
        <v>1</v>
      </c>
      <c r="D678" s="15" t="s">
        <v>127</v>
      </c>
      <c r="E678" s="16">
        <v>48000</v>
      </c>
    </row>
    <row r="679" spans="1:6" x14ac:dyDescent="0.25">
      <c r="B679" s="14" t="s">
        <v>315</v>
      </c>
      <c r="C679" s="316">
        <v>1</v>
      </c>
      <c r="D679" s="15" t="s">
        <v>127</v>
      </c>
      <c r="E679" s="16">
        <v>6900</v>
      </c>
    </row>
    <row r="680" spans="1:6" x14ac:dyDescent="0.25">
      <c r="B680" s="14" t="s">
        <v>316</v>
      </c>
      <c r="C680" s="316">
        <v>1</v>
      </c>
      <c r="D680" s="15" t="s">
        <v>127</v>
      </c>
      <c r="E680" s="16">
        <v>7600</v>
      </c>
    </row>
    <row r="681" spans="1:6" x14ac:dyDescent="0.25">
      <c r="B681" s="426" t="s">
        <v>322</v>
      </c>
      <c r="C681" s="428"/>
    </row>
    <row r="682" spans="1:6" x14ac:dyDescent="0.25">
      <c r="B682" s="17" t="s">
        <v>10</v>
      </c>
      <c r="C682" s="31"/>
      <c r="D682" s="18"/>
      <c r="E682" s="239"/>
      <c r="F682" s="239">
        <f>SUM(F660:F681)</f>
        <v>20281750</v>
      </c>
    </row>
    <row r="686" spans="1:6" x14ac:dyDescent="0.25">
      <c r="A686" s="46" t="s">
        <v>0</v>
      </c>
      <c r="B686" s="28" t="s">
        <v>1</v>
      </c>
      <c r="C686" s="321" t="s">
        <v>2</v>
      </c>
      <c r="D686" s="47" t="s">
        <v>3</v>
      </c>
      <c r="E686" s="244" t="s">
        <v>4</v>
      </c>
      <c r="F686" s="244" t="s">
        <v>5</v>
      </c>
    </row>
    <row r="689" spans="1:10" ht="45" x14ac:dyDescent="0.25">
      <c r="A689" s="13">
        <v>1</v>
      </c>
      <c r="B689" s="14" t="s">
        <v>403</v>
      </c>
      <c r="C689" s="316">
        <v>90</v>
      </c>
      <c r="D689" s="15" t="s">
        <v>31</v>
      </c>
      <c r="E689" s="16">
        <v>1600</v>
      </c>
      <c r="F689" s="16">
        <f>(C689*E689)</f>
        <v>144000</v>
      </c>
    </row>
    <row r="690" spans="1:10" ht="45" x14ac:dyDescent="0.25">
      <c r="A690" s="13">
        <v>2</v>
      </c>
      <c r="B690" s="14" t="s">
        <v>388</v>
      </c>
      <c r="C690" s="316">
        <v>18</v>
      </c>
      <c r="D690" s="15" t="s">
        <v>33</v>
      </c>
      <c r="E690" s="16">
        <v>2400</v>
      </c>
      <c r="F690" s="16">
        <f>(C690*E690)</f>
        <v>43200</v>
      </c>
    </row>
    <row r="691" spans="1:10" ht="90" x14ac:dyDescent="0.25">
      <c r="A691" s="13">
        <v>3</v>
      </c>
      <c r="B691" s="14" t="s">
        <v>366</v>
      </c>
      <c r="C691" s="316">
        <v>5</v>
      </c>
      <c r="D691" s="15" t="s">
        <v>85</v>
      </c>
      <c r="E691" s="16">
        <v>170000</v>
      </c>
      <c r="F691" s="16">
        <f>(C691*E691)</f>
        <v>850000</v>
      </c>
    </row>
    <row r="693" spans="1:10" x14ac:dyDescent="0.25">
      <c r="B693" s="426" t="s">
        <v>322</v>
      </c>
      <c r="C693" s="428"/>
    </row>
    <row r="694" spans="1:10" x14ac:dyDescent="0.25">
      <c r="J694" s="33" t="s">
        <v>405</v>
      </c>
    </row>
    <row r="695" spans="1:10" x14ac:dyDescent="0.25">
      <c r="B695" s="14" t="s">
        <v>10</v>
      </c>
      <c r="F695" s="16">
        <f>SUM(F635:F692)</f>
        <v>60707820</v>
      </c>
      <c r="J695" s="33">
        <v>370</v>
      </c>
    </row>
    <row r="697" spans="1:10" ht="15.75" thickBot="1" x14ac:dyDescent="0.3">
      <c r="F697" s="16">
        <f>(C697*E697)</f>
        <v>0</v>
      </c>
      <c r="I697" s="65">
        <v>47812.5</v>
      </c>
    </row>
    <row r="698" spans="1:10" ht="15.75" thickBot="1" x14ac:dyDescent="0.3">
      <c r="F698" s="16">
        <f>(C698*E698)</f>
        <v>0</v>
      </c>
      <c r="I698" s="65">
        <v>118400</v>
      </c>
    </row>
    <row r="699" spans="1:10" ht="15.75" thickBot="1" x14ac:dyDescent="0.3">
      <c r="A699" s="46" t="s">
        <v>0</v>
      </c>
      <c r="B699" s="28" t="s">
        <v>1</v>
      </c>
      <c r="C699" s="321" t="s">
        <v>2</v>
      </c>
      <c r="D699" s="47" t="s">
        <v>3</v>
      </c>
      <c r="E699" s="244" t="s">
        <v>4</v>
      </c>
      <c r="F699" s="244" t="s">
        <v>5</v>
      </c>
      <c r="I699" s="65">
        <v>166056</v>
      </c>
    </row>
    <row r="700" spans="1:10" ht="30.75" thickBot="1" x14ac:dyDescent="0.3">
      <c r="A700" s="13">
        <v>1</v>
      </c>
      <c r="B700" s="14" t="s">
        <v>370</v>
      </c>
      <c r="C700" s="316">
        <v>1</v>
      </c>
      <c r="D700" s="15" t="s">
        <v>407</v>
      </c>
      <c r="E700" s="16">
        <v>38000</v>
      </c>
      <c r="F700" s="16">
        <f>E700*C700</f>
        <v>38000</v>
      </c>
      <c r="I700" s="66"/>
    </row>
    <row r="701" spans="1:10" ht="45.75" thickBot="1" x14ac:dyDescent="0.3">
      <c r="A701" s="13">
        <v>2</v>
      </c>
      <c r="B701" s="14" t="s">
        <v>371</v>
      </c>
      <c r="I701" s="66" t="s">
        <v>406</v>
      </c>
    </row>
    <row r="702" spans="1:10" ht="30.75" thickBot="1" x14ac:dyDescent="0.3">
      <c r="B702" s="14" t="s">
        <v>408</v>
      </c>
      <c r="C702" s="316">
        <v>1</v>
      </c>
      <c r="D702" s="15" t="s">
        <v>407</v>
      </c>
      <c r="E702" s="16">
        <v>52000</v>
      </c>
      <c r="F702" s="16">
        <f t="shared" ref="F702:F757" si="23">E702*C702</f>
        <v>52000</v>
      </c>
      <c r="I702" s="65">
        <v>223762.5</v>
      </c>
    </row>
    <row r="703" spans="1:10" ht="15.75" thickBot="1" x14ac:dyDescent="0.3">
      <c r="B703" s="14" t="s">
        <v>409</v>
      </c>
      <c r="C703" s="316">
        <v>1</v>
      </c>
      <c r="D703" s="15" t="s">
        <v>407</v>
      </c>
      <c r="E703" s="16">
        <v>42000</v>
      </c>
      <c r="F703" s="16">
        <f t="shared" si="23"/>
        <v>42000</v>
      </c>
      <c r="I703" s="65">
        <v>73912.5</v>
      </c>
    </row>
    <row r="704" spans="1:10" ht="30.75" thickBot="1" x14ac:dyDescent="0.3">
      <c r="B704" s="14" t="s">
        <v>410</v>
      </c>
      <c r="C704" s="316">
        <v>1120</v>
      </c>
      <c r="D704" s="15" t="s">
        <v>31</v>
      </c>
      <c r="E704" s="16">
        <v>40</v>
      </c>
      <c r="F704" s="16">
        <f t="shared" si="23"/>
        <v>44800</v>
      </c>
      <c r="I704" s="65">
        <v>8887.5</v>
      </c>
    </row>
    <row r="705" spans="1:9" ht="30.75" thickBot="1" x14ac:dyDescent="0.3">
      <c r="B705" s="14" t="s">
        <v>411</v>
      </c>
      <c r="C705" s="316">
        <v>1</v>
      </c>
      <c r="D705" s="15" t="s">
        <v>407</v>
      </c>
      <c r="E705" s="16">
        <v>18000</v>
      </c>
      <c r="F705" s="16">
        <f t="shared" si="23"/>
        <v>18000</v>
      </c>
      <c r="I705" s="65">
        <v>377775</v>
      </c>
    </row>
    <row r="706" spans="1:9" ht="15.75" thickBot="1" x14ac:dyDescent="0.3">
      <c r="B706" s="14" t="s">
        <v>375</v>
      </c>
      <c r="C706" s="316">
        <v>10</v>
      </c>
      <c r="D706" s="15" t="s">
        <v>407</v>
      </c>
      <c r="E706" s="16">
        <v>7500</v>
      </c>
      <c r="F706" s="16">
        <f t="shared" si="23"/>
        <v>75000</v>
      </c>
      <c r="I706" s="65">
        <v>246375</v>
      </c>
    </row>
    <row r="707" spans="1:9" ht="15.75" thickBot="1" x14ac:dyDescent="0.3">
      <c r="I707" s="65">
        <v>84431.25</v>
      </c>
    </row>
    <row r="708" spans="1:9" ht="45.75" thickBot="1" x14ac:dyDescent="0.3">
      <c r="A708" s="13">
        <v>3</v>
      </c>
      <c r="B708" s="14" t="s">
        <v>377</v>
      </c>
      <c r="C708" s="316">
        <v>3511</v>
      </c>
      <c r="D708" s="15" t="s">
        <v>31</v>
      </c>
      <c r="E708" s="16">
        <v>30</v>
      </c>
      <c r="F708" s="16">
        <f t="shared" si="23"/>
        <v>105330</v>
      </c>
      <c r="I708" s="65">
        <v>142200</v>
      </c>
    </row>
    <row r="709" spans="1:9" ht="60.75" thickBot="1" x14ac:dyDescent="0.3">
      <c r="A709" s="13">
        <v>4</v>
      </c>
      <c r="B709" s="14" t="s">
        <v>378</v>
      </c>
      <c r="C709" s="316">
        <v>35</v>
      </c>
      <c r="D709" s="15" t="s">
        <v>33</v>
      </c>
      <c r="E709" s="16">
        <v>2200</v>
      </c>
      <c r="F709" s="16">
        <f t="shared" si="23"/>
        <v>77000</v>
      </c>
      <c r="I709" s="65">
        <v>324675</v>
      </c>
    </row>
    <row r="710" spans="1:9" ht="45.75" thickBot="1" x14ac:dyDescent="0.3">
      <c r="A710" s="13">
        <v>5</v>
      </c>
      <c r="B710" s="14" t="s">
        <v>388</v>
      </c>
      <c r="C710" s="316">
        <v>18</v>
      </c>
      <c r="D710" s="15" t="s">
        <v>33</v>
      </c>
      <c r="E710" s="16">
        <v>2400</v>
      </c>
      <c r="F710" s="16">
        <f t="shared" si="23"/>
        <v>43200</v>
      </c>
      <c r="I710" s="65">
        <v>674140</v>
      </c>
    </row>
    <row r="711" spans="1:9" ht="60.75" thickBot="1" x14ac:dyDescent="0.3">
      <c r="A711" s="13">
        <v>6</v>
      </c>
      <c r="B711" s="14" t="s">
        <v>386</v>
      </c>
      <c r="C711" s="316">
        <v>56</v>
      </c>
      <c r="D711" s="15" t="s">
        <v>33</v>
      </c>
      <c r="E711" s="16">
        <v>2200</v>
      </c>
      <c r="F711" s="16">
        <f t="shared" si="23"/>
        <v>123200</v>
      </c>
      <c r="I711" s="65">
        <v>249750</v>
      </c>
    </row>
    <row r="712" spans="1:9" ht="30.75" thickBot="1" x14ac:dyDescent="0.3">
      <c r="A712" s="13">
        <v>7</v>
      </c>
      <c r="B712" s="14" t="s">
        <v>387</v>
      </c>
      <c r="C712" s="316">
        <v>109</v>
      </c>
      <c r="D712" s="15" t="s">
        <v>33</v>
      </c>
      <c r="E712" s="16">
        <v>2100</v>
      </c>
      <c r="F712" s="16">
        <f t="shared" si="23"/>
        <v>228900</v>
      </c>
      <c r="I712" s="65">
        <v>385031.25</v>
      </c>
    </row>
    <row r="713" spans="1:9" ht="45.75" thickBot="1" x14ac:dyDescent="0.3">
      <c r="A713" s="13">
        <v>8</v>
      </c>
      <c r="B713" s="14" t="s">
        <v>379</v>
      </c>
      <c r="C713" s="316">
        <v>82</v>
      </c>
      <c r="D713" s="15" t="s">
        <v>33</v>
      </c>
      <c r="E713" s="16">
        <v>2200</v>
      </c>
      <c r="F713" s="16">
        <f t="shared" si="23"/>
        <v>180400</v>
      </c>
      <c r="I713" s="65">
        <v>38812.5</v>
      </c>
    </row>
    <row r="714" spans="1:9" ht="30" x14ac:dyDescent="0.25">
      <c r="A714" s="13">
        <v>9</v>
      </c>
      <c r="B714" s="14" t="s">
        <v>380</v>
      </c>
      <c r="C714" s="316">
        <v>22</v>
      </c>
      <c r="D714" s="15" t="s">
        <v>33</v>
      </c>
      <c r="E714" s="16">
        <v>2450</v>
      </c>
      <c r="F714" s="16">
        <f t="shared" si="23"/>
        <v>53900</v>
      </c>
      <c r="I714" s="67">
        <v>102490</v>
      </c>
    </row>
    <row r="715" spans="1:9" ht="45" x14ac:dyDescent="0.25">
      <c r="A715" s="13">
        <v>10</v>
      </c>
      <c r="B715" s="14" t="s">
        <v>381</v>
      </c>
      <c r="C715" s="316">
        <v>564</v>
      </c>
      <c r="D715" s="15" t="s">
        <v>31</v>
      </c>
      <c r="E715" s="16">
        <v>1800</v>
      </c>
      <c r="F715" s="16">
        <f t="shared" si="23"/>
        <v>1015200</v>
      </c>
      <c r="I715" s="67">
        <f>SUM(I697:I714)</f>
        <v>3264511</v>
      </c>
    </row>
    <row r="716" spans="1:9" ht="45" x14ac:dyDescent="0.25">
      <c r="A716" s="13">
        <v>11</v>
      </c>
      <c r="B716" s="14" t="s">
        <v>396</v>
      </c>
      <c r="C716" s="316">
        <v>62</v>
      </c>
      <c r="D716" s="15" t="s">
        <v>33</v>
      </c>
      <c r="E716" s="16">
        <v>2600</v>
      </c>
      <c r="F716" s="16">
        <f t="shared" si="23"/>
        <v>161200</v>
      </c>
    </row>
    <row r="717" spans="1:9" ht="45" x14ac:dyDescent="0.25">
      <c r="A717" s="13">
        <v>12</v>
      </c>
      <c r="B717" s="14" t="s">
        <v>397</v>
      </c>
      <c r="C717" s="316">
        <v>216</v>
      </c>
      <c r="D717" s="15" t="s">
        <v>31</v>
      </c>
      <c r="E717" s="16">
        <v>1900</v>
      </c>
      <c r="F717" s="16">
        <f t="shared" si="23"/>
        <v>410400</v>
      </c>
    </row>
    <row r="718" spans="1:9" ht="75.75" thickBot="1" x14ac:dyDescent="0.3">
      <c r="A718" s="13">
        <v>13</v>
      </c>
      <c r="B718" s="14" t="s">
        <v>398</v>
      </c>
      <c r="C718" s="316">
        <v>207</v>
      </c>
      <c r="D718" s="15" t="s">
        <v>33</v>
      </c>
      <c r="E718" s="16">
        <v>2200</v>
      </c>
      <c r="F718" s="16">
        <f t="shared" si="23"/>
        <v>455400</v>
      </c>
      <c r="I718" s="65">
        <v>302375</v>
      </c>
    </row>
    <row r="719" spans="1:9" ht="30.75" thickBot="1" x14ac:dyDescent="0.3">
      <c r="A719" s="13">
        <v>14</v>
      </c>
      <c r="B719" s="14" t="s">
        <v>383</v>
      </c>
      <c r="C719" s="316">
        <v>22</v>
      </c>
      <c r="D719" s="15" t="s">
        <v>33</v>
      </c>
      <c r="E719" s="16">
        <v>2450</v>
      </c>
      <c r="F719" s="16">
        <f t="shared" si="23"/>
        <v>53900</v>
      </c>
      <c r="I719" s="65">
        <v>163941.25</v>
      </c>
    </row>
    <row r="720" spans="1:9" ht="45.75" thickBot="1" x14ac:dyDescent="0.3">
      <c r="A720" s="13">
        <v>15</v>
      </c>
      <c r="B720" s="14" t="s">
        <v>399</v>
      </c>
      <c r="C720" s="316">
        <v>16</v>
      </c>
      <c r="D720" s="15" t="s">
        <v>33</v>
      </c>
      <c r="E720" s="16">
        <v>2200</v>
      </c>
      <c r="F720" s="16">
        <f t="shared" si="23"/>
        <v>35200</v>
      </c>
      <c r="I720" s="65">
        <v>3264511</v>
      </c>
    </row>
    <row r="721" spans="1:9" ht="30.75" thickBot="1" x14ac:dyDescent="0.3">
      <c r="A721" s="13">
        <v>16</v>
      </c>
      <c r="B721" s="14" t="s">
        <v>400</v>
      </c>
      <c r="C721" s="316">
        <v>80</v>
      </c>
      <c r="D721" s="15" t="s">
        <v>31</v>
      </c>
      <c r="E721" s="16">
        <v>1800</v>
      </c>
      <c r="F721" s="16">
        <f t="shared" si="23"/>
        <v>144000</v>
      </c>
      <c r="I721" s="65">
        <v>1565383.13</v>
      </c>
    </row>
    <row r="722" spans="1:9" ht="45.75" thickBot="1" x14ac:dyDescent="0.3">
      <c r="A722" s="13">
        <v>17</v>
      </c>
      <c r="B722" s="14" t="s">
        <v>384</v>
      </c>
      <c r="C722" s="316">
        <v>1.44</v>
      </c>
      <c r="D722" s="15" t="s">
        <v>30</v>
      </c>
      <c r="E722" s="16">
        <v>14500</v>
      </c>
      <c r="F722" s="16">
        <f t="shared" si="23"/>
        <v>20880</v>
      </c>
      <c r="I722" s="65">
        <v>1165210.43</v>
      </c>
    </row>
    <row r="723" spans="1:9" ht="30.75" thickBot="1" x14ac:dyDescent="0.3">
      <c r="A723" s="13">
        <v>18</v>
      </c>
      <c r="B723" s="14" t="s">
        <v>385</v>
      </c>
      <c r="C723" s="316">
        <v>32</v>
      </c>
      <c r="D723" s="15" t="s">
        <v>32</v>
      </c>
      <c r="E723" s="16">
        <v>3250</v>
      </c>
      <c r="F723" s="16">
        <f t="shared" si="23"/>
        <v>104000</v>
      </c>
      <c r="I723" s="65">
        <v>3094300</v>
      </c>
    </row>
    <row r="724" spans="1:9" ht="60.75" thickBot="1" x14ac:dyDescent="0.3">
      <c r="A724" s="13">
        <v>19</v>
      </c>
      <c r="B724" s="14" t="s">
        <v>386</v>
      </c>
      <c r="C724" s="316">
        <v>56</v>
      </c>
      <c r="D724" s="15" t="s">
        <v>33</v>
      </c>
      <c r="E724" s="16">
        <v>2200</v>
      </c>
      <c r="F724" s="16">
        <f t="shared" si="23"/>
        <v>123200</v>
      </c>
      <c r="I724" s="65">
        <v>1614798.13</v>
      </c>
    </row>
    <row r="725" spans="1:9" ht="30.75" thickBot="1" x14ac:dyDescent="0.3">
      <c r="A725" s="13">
        <v>20</v>
      </c>
      <c r="B725" s="14" t="s">
        <v>387</v>
      </c>
      <c r="C725" s="316">
        <v>109</v>
      </c>
      <c r="D725" s="15" t="s">
        <v>33</v>
      </c>
      <c r="E725" s="16">
        <v>2100</v>
      </c>
      <c r="F725" s="16">
        <f t="shared" si="23"/>
        <v>228900</v>
      </c>
      <c r="I725" s="65">
        <v>943800</v>
      </c>
    </row>
    <row r="726" spans="1:9" ht="45.75" thickBot="1" x14ac:dyDescent="0.3">
      <c r="A726" s="13">
        <v>21</v>
      </c>
      <c r="B726" s="14" t="s">
        <v>388</v>
      </c>
      <c r="C726" s="316">
        <v>18</v>
      </c>
      <c r="D726" s="15" t="s">
        <v>33</v>
      </c>
      <c r="E726" s="16">
        <v>2400</v>
      </c>
      <c r="F726" s="16">
        <f t="shared" si="23"/>
        <v>43200</v>
      </c>
      <c r="I726" s="66">
        <v>921200</v>
      </c>
    </row>
    <row r="727" spans="1:9" ht="60.75" thickBot="1" x14ac:dyDescent="0.3">
      <c r="A727" s="13">
        <v>22</v>
      </c>
      <c r="B727" s="14" t="s">
        <v>389</v>
      </c>
      <c r="C727" s="316">
        <v>103</v>
      </c>
      <c r="D727" s="15" t="s">
        <v>33</v>
      </c>
      <c r="E727" s="16">
        <v>2200</v>
      </c>
      <c r="F727" s="16">
        <f t="shared" si="23"/>
        <v>226600</v>
      </c>
      <c r="I727" s="65">
        <f>SUM(I718:I726)</f>
        <v>13035518.939999998</v>
      </c>
    </row>
    <row r="728" spans="1:9" ht="30.75" thickBot="1" x14ac:dyDescent="0.3">
      <c r="A728" s="13">
        <v>23</v>
      </c>
      <c r="B728" s="14" t="s">
        <v>390</v>
      </c>
      <c r="C728" s="316">
        <v>455</v>
      </c>
      <c r="D728" s="15" t="s">
        <v>31</v>
      </c>
      <c r="E728" s="16">
        <v>1800</v>
      </c>
      <c r="F728" s="16">
        <f t="shared" si="23"/>
        <v>819000</v>
      </c>
      <c r="I728" s="65"/>
    </row>
    <row r="729" spans="1:9" ht="60" x14ac:dyDescent="0.25">
      <c r="A729" s="13">
        <v>24</v>
      </c>
      <c r="B729" s="14" t="s">
        <v>391</v>
      </c>
      <c r="C729" s="316">
        <v>6630</v>
      </c>
      <c r="D729" s="15" t="s">
        <v>31</v>
      </c>
      <c r="E729" s="16">
        <v>395</v>
      </c>
      <c r="F729" s="16">
        <f t="shared" si="23"/>
        <v>2618850</v>
      </c>
      <c r="I729" s="67"/>
    </row>
    <row r="730" spans="1:9" ht="90" x14ac:dyDescent="0.25">
      <c r="A730" s="13">
        <v>25</v>
      </c>
      <c r="B730" s="14" t="s">
        <v>402</v>
      </c>
      <c r="C730" s="316">
        <v>1</v>
      </c>
      <c r="D730" s="15" t="s">
        <v>407</v>
      </c>
      <c r="E730" s="16">
        <v>795000</v>
      </c>
      <c r="F730" s="16">
        <f t="shared" si="23"/>
        <v>795000</v>
      </c>
    </row>
    <row r="731" spans="1:9" ht="45" x14ac:dyDescent="0.25">
      <c r="A731" s="13">
        <v>26</v>
      </c>
      <c r="B731" s="14" t="s">
        <v>392</v>
      </c>
      <c r="C731" s="316">
        <v>18292</v>
      </c>
      <c r="D731" s="15" t="s">
        <v>31</v>
      </c>
      <c r="E731" s="16">
        <v>145</v>
      </c>
      <c r="F731" s="16">
        <f t="shared" si="23"/>
        <v>2652340</v>
      </c>
    </row>
    <row r="732" spans="1:9" ht="60" x14ac:dyDescent="0.25">
      <c r="A732" s="13">
        <v>27</v>
      </c>
      <c r="B732" s="14" t="s">
        <v>393</v>
      </c>
      <c r="C732" s="316">
        <v>8100</v>
      </c>
      <c r="D732" s="15" t="s">
        <v>31</v>
      </c>
      <c r="E732" s="16">
        <v>180</v>
      </c>
      <c r="F732" s="16">
        <f t="shared" si="23"/>
        <v>1458000</v>
      </c>
    </row>
    <row r="733" spans="1:9" ht="45" x14ac:dyDescent="0.25">
      <c r="A733" s="13">
        <v>28</v>
      </c>
      <c r="B733" s="14" t="s">
        <v>394</v>
      </c>
      <c r="C733" s="316">
        <v>3445</v>
      </c>
      <c r="D733" s="15" t="s">
        <v>31</v>
      </c>
      <c r="E733" s="16">
        <v>210</v>
      </c>
      <c r="F733" s="16">
        <f t="shared" si="23"/>
        <v>723450</v>
      </c>
    </row>
    <row r="734" spans="1:9" ht="120" x14ac:dyDescent="0.25">
      <c r="A734" s="13">
        <v>29</v>
      </c>
      <c r="B734" s="14" t="s">
        <v>401</v>
      </c>
      <c r="C734" s="316">
        <v>1920</v>
      </c>
      <c r="D734" s="15" t="s">
        <v>31</v>
      </c>
      <c r="E734" s="16">
        <v>3350</v>
      </c>
      <c r="F734" s="16">
        <f t="shared" si="23"/>
        <v>6432000</v>
      </c>
    </row>
    <row r="735" spans="1:9" ht="45" x14ac:dyDescent="0.25">
      <c r="A735" s="13">
        <v>30</v>
      </c>
      <c r="B735" s="14" t="s">
        <v>323</v>
      </c>
      <c r="C735" s="316">
        <v>445</v>
      </c>
      <c r="D735" s="15" t="s">
        <v>33</v>
      </c>
      <c r="E735" s="16">
        <v>620</v>
      </c>
      <c r="F735" s="16">
        <f t="shared" si="23"/>
        <v>275900</v>
      </c>
    </row>
    <row r="736" spans="1:9" ht="90" x14ac:dyDescent="0.25">
      <c r="A736" s="13">
        <v>31</v>
      </c>
      <c r="B736" s="14" t="s">
        <v>328</v>
      </c>
      <c r="C736" s="316">
        <v>6790</v>
      </c>
      <c r="D736" s="15" t="s">
        <v>31</v>
      </c>
      <c r="E736" s="16">
        <v>665</v>
      </c>
      <c r="F736" s="16">
        <f t="shared" si="23"/>
        <v>4515350</v>
      </c>
    </row>
    <row r="737" spans="1:6" ht="90" x14ac:dyDescent="0.25">
      <c r="A737" s="13">
        <v>32</v>
      </c>
      <c r="B737" s="14" t="s">
        <v>329</v>
      </c>
      <c r="C737" s="316">
        <v>6</v>
      </c>
      <c r="D737" s="15" t="s">
        <v>330</v>
      </c>
      <c r="E737" s="16">
        <v>675000</v>
      </c>
      <c r="F737" s="16">
        <f t="shared" si="23"/>
        <v>4050000</v>
      </c>
    </row>
    <row r="738" spans="1:6" ht="135" x14ac:dyDescent="0.25">
      <c r="A738" s="13">
        <v>33</v>
      </c>
      <c r="B738" s="14" t="s">
        <v>325</v>
      </c>
      <c r="C738" s="316">
        <v>2892</v>
      </c>
      <c r="D738" s="15" t="s">
        <v>31</v>
      </c>
      <c r="E738" s="16">
        <v>1350</v>
      </c>
      <c r="F738" s="16">
        <f t="shared" si="23"/>
        <v>3904200</v>
      </c>
    </row>
    <row r="739" spans="1:6" ht="60" x14ac:dyDescent="0.25">
      <c r="A739" s="13">
        <v>34</v>
      </c>
      <c r="B739" s="14" t="s">
        <v>317</v>
      </c>
      <c r="C739" s="316">
        <v>280</v>
      </c>
      <c r="D739" s="15" t="s">
        <v>33</v>
      </c>
      <c r="E739" s="16">
        <v>980</v>
      </c>
      <c r="F739" s="16">
        <f t="shared" si="23"/>
        <v>274400</v>
      </c>
    </row>
    <row r="740" spans="1:6" ht="60" x14ac:dyDescent="0.25">
      <c r="A740" s="13">
        <v>35</v>
      </c>
      <c r="B740" s="14" t="s">
        <v>318</v>
      </c>
      <c r="C740" s="316">
        <v>395</v>
      </c>
      <c r="D740" s="15" t="s">
        <v>33</v>
      </c>
      <c r="E740" s="16">
        <v>980</v>
      </c>
      <c r="F740" s="16">
        <f t="shared" si="23"/>
        <v>387100</v>
      </c>
    </row>
    <row r="741" spans="1:6" x14ac:dyDescent="0.25">
      <c r="A741" s="13">
        <v>36</v>
      </c>
      <c r="B741" s="14" t="s">
        <v>395</v>
      </c>
      <c r="C741" s="316">
        <v>110</v>
      </c>
      <c r="D741" s="15" t="s">
        <v>33</v>
      </c>
      <c r="E741" s="16">
        <v>980</v>
      </c>
      <c r="F741" s="16">
        <f t="shared" si="23"/>
        <v>107800</v>
      </c>
    </row>
    <row r="742" spans="1:6" ht="75" x14ac:dyDescent="0.25">
      <c r="A742" s="13">
        <v>37</v>
      </c>
      <c r="B742" s="14" t="s">
        <v>319</v>
      </c>
      <c r="C742" s="316">
        <v>22850</v>
      </c>
      <c r="D742" s="15" t="s">
        <v>31</v>
      </c>
      <c r="E742" s="16">
        <v>190</v>
      </c>
      <c r="F742" s="16">
        <f t="shared" si="23"/>
        <v>4341500</v>
      </c>
    </row>
    <row r="743" spans="1:6" ht="30" x14ac:dyDescent="0.25">
      <c r="A743" s="13">
        <v>38</v>
      </c>
      <c r="B743" s="14" t="s">
        <v>320</v>
      </c>
      <c r="C743" s="316">
        <v>8100</v>
      </c>
      <c r="D743" s="15" t="s">
        <v>31</v>
      </c>
      <c r="E743" s="16">
        <v>95</v>
      </c>
      <c r="F743" s="16">
        <f t="shared" si="23"/>
        <v>769500</v>
      </c>
    </row>
    <row r="744" spans="1:6" ht="75" x14ac:dyDescent="0.25">
      <c r="A744" s="13">
        <v>39</v>
      </c>
      <c r="B744" s="14" t="s">
        <v>321</v>
      </c>
      <c r="C744" s="316">
        <v>345</v>
      </c>
      <c r="D744" s="15" t="s">
        <v>33</v>
      </c>
      <c r="E744" s="16">
        <v>4800</v>
      </c>
      <c r="F744" s="16">
        <f t="shared" si="23"/>
        <v>1656000</v>
      </c>
    </row>
    <row r="745" spans="1:6" ht="150" x14ac:dyDescent="0.25">
      <c r="A745" s="13">
        <v>40</v>
      </c>
      <c r="B745" s="14" t="s">
        <v>404</v>
      </c>
      <c r="C745" s="316">
        <v>1920</v>
      </c>
      <c r="D745" s="15" t="s">
        <v>31</v>
      </c>
      <c r="E745" s="16">
        <v>2400</v>
      </c>
    </row>
    <row r="746" spans="1:6" ht="135" x14ac:dyDescent="0.25">
      <c r="A746" s="13">
        <v>41</v>
      </c>
      <c r="B746" s="14" t="s">
        <v>326</v>
      </c>
    </row>
    <row r="747" spans="1:6" x14ac:dyDescent="0.25">
      <c r="B747" s="14" t="s">
        <v>309</v>
      </c>
      <c r="C747" s="316">
        <v>1</v>
      </c>
      <c r="D747" s="15" t="s">
        <v>127</v>
      </c>
      <c r="E747" s="16">
        <v>6900</v>
      </c>
    </row>
    <row r="748" spans="1:6" x14ac:dyDescent="0.25">
      <c r="B748" s="14" t="s">
        <v>310</v>
      </c>
      <c r="C748" s="316">
        <v>1</v>
      </c>
      <c r="D748" s="15" t="s">
        <v>127</v>
      </c>
      <c r="E748" s="16">
        <v>7100</v>
      </c>
    </row>
    <row r="749" spans="1:6" x14ac:dyDescent="0.25">
      <c r="B749" s="14" t="s">
        <v>311</v>
      </c>
      <c r="C749" s="316">
        <v>1</v>
      </c>
      <c r="D749" s="15" t="s">
        <v>127</v>
      </c>
      <c r="E749" s="16">
        <v>6900</v>
      </c>
    </row>
    <row r="750" spans="1:6" x14ac:dyDescent="0.25">
      <c r="B750" s="14" t="s">
        <v>312</v>
      </c>
      <c r="C750" s="316">
        <v>1</v>
      </c>
      <c r="D750" s="15" t="s">
        <v>127</v>
      </c>
      <c r="E750" s="16">
        <v>7700</v>
      </c>
    </row>
    <row r="751" spans="1:6" x14ac:dyDescent="0.25">
      <c r="B751" s="14" t="s">
        <v>313</v>
      </c>
      <c r="C751" s="316">
        <v>1</v>
      </c>
      <c r="D751" s="15" t="s">
        <v>127</v>
      </c>
      <c r="E751" s="16">
        <v>8200</v>
      </c>
    </row>
    <row r="752" spans="1:6" x14ac:dyDescent="0.25">
      <c r="B752" s="14" t="s">
        <v>314</v>
      </c>
      <c r="C752" s="316">
        <v>1</v>
      </c>
      <c r="D752" s="15" t="s">
        <v>127</v>
      </c>
      <c r="E752" s="16">
        <v>48000</v>
      </c>
    </row>
    <row r="753" spans="1:6" x14ac:dyDescent="0.25">
      <c r="B753" s="14" t="s">
        <v>315</v>
      </c>
      <c r="C753" s="316">
        <v>1</v>
      </c>
      <c r="D753" s="15" t="s">
        <v>127</v>
      </c>
      <c r="E753" s="16">
        <v>6900</v>
      </c>
    </row>
    <row r="754" spans="1:6" x14ac:dyDescent="0.25">
      <c r="B754" s="14" t="s">
        <v>316</v>
      </c>
      <c r="C754" s="316">
        <v>1</v>
      </c>
      <c r="D754" s="15" t="s">
        <v>127</v>
      </c>
      <c r="E754" s="16">
        <v>7600</v>
      </c>
    </row>
    <row r="755" spans="1:6" ht="45" x14ac:dyDescent="0.25">
      <c r="A755" s="13">
        <v>42</v>
      </c>
      <c r="B755" s="14" t="s">
        <v>403</v>
      </c>
      <c r="C755" s="316">
        <v>90</v>
      </c>
      <c r="D755" s="15" t="s">
        <v>31</v>
      </c>
      <c r="E755" s="16">
        <v>1600</v>
      </c>
      <c r="F755" s="16">
        <f t="shared" si="23"/>
        <v>144000</v>
      </c>
    </row>
    <row r="756" spans="1:6" ht="45" x14ac:dyDescent="0.25">
      <c r="A756" s="13">
        <v>43</v>
      </c>
      <c r="B756" s="14" t="s">
        <v>388</v>
      </c>
      <c r="C756" s="316">
        <v>18</v>
      </c>
      <c r="D756" s="15" t="s">
        <v>33</v>
      </c>
      <c r="E756" s="16">
        <v>2400</v>
      </c>
      <c r="F756" s="16">
        <f t="shared" si="23"/>
        <v>43200</v>
      </c>
    </row>
    <row r="757" spans="1:6" ht="90" x14ac:dyDescent="0.25">
      <c r="A757" s="13">
        <v>44</v>
      </c>
      <c r="B757" s="14" t="s">
        <v>366</v>
      </c>
      <c r="C757" s="316">
        <v>5</v>
      </c>
      <c r="D757" s="15" t="s">
        <v>85</v>
      </c>
      <c r="E757" s="16">
        <v>135000</v>
      </c>
      <c r="F757" s="16">
        <f t="shared" si="23"/>
        <v>675000</v>
      </c>
    </row>
    <row r="759" spans="1:6" x14ac:dyDescent="0.25">
      <c r="B759" s="426" t="s">
        <v>322</v>
      </c>
      <c r="C759" s="428"/>
    </row>
    <row r="761" spans="1:6" x14ac:dyDescent="0.25">
      <c r="B761" s="17" t="s">
        <v>10</v>
      </c>
      <c r="C761" s="31"/>
      <c r="D761" s="18"/>
      <c r="E761" s="239"/>
      <c r="F761" s="239">
        <f>SUM(F700:F757)</f>
        <v>40746400</v>
      </c>
    </row>
    <row r="763" spans="1:6" x14ac:dyDescent="0.25">
      <c r="A763" s="46" t="s">
        <v>0</v>
      </c>
      <c r="B763" s="28" t="s">
        <v>1</v>
      </c>
      <c r="C763" s="321" t="s">
        <v>2</v>
      </c>
      <c r="D763" s="47" t="s">
        <v>3</v>
      </c>
      <c r="E763" s="244" t="s">
        <v>4</v>
      </c>
      <c r="F763" s="244" t="s">
        <v>5</v>
      </c>
    </row>
    <row r="764" spans="1:6" ht="30" x14ac:dyDescent="0.25">
      <c r="A764" s="13">
        <v>1</v>
      </c>
      <c r="B764" s="14" t="s">
        <v>412</v>
      </c>
      <c r="C764" s="316">
        <v>9.9</v>
      </c>
      <c r="D764" s="15" t="s">
        <v>30</v>
      </c>
      <c r="E764" s="16">
        <v>8500</v>
      </c>
      <c r="F764" s="16">
        <f>E764*C764</f>
        <v>84150</v>
      </c>
    </row>
    <row r="765" spans="1:6" ht="30" x14ac:dyDescent="0.25">
      <c r="A765" s="13">
        <v>2</v>
      </c>
      <c r="B765" s="14" t="s">
        <v>413</v>
      </c>
      <c r="C765" s="316">
        <v>13</v>
      </c>
      <c r="D765" s="15" t="s">
        <v>30</v>
      </c>
      <c r="E765" s="16">
        <v>55000</v>
      </c>
      <c r="F765" s="16">
        <f>E765*C765</f>
        <v>715000</v>
      </c>
    </row>
    <row r="766" spans="1:6" ht="30" x14ac:dyDescent="0.25">
      <c r="A766" s="13">
        <v>3</v>
      </c>
      <c r="B766" s="14" t="s">
        <v>414</v>
      </c>
      <c r="C766" s="316">
        <v>1</v>
      </c>
      <c r="D766" s="15" t="s">
        <v>407</v>
      </c>
      <c r="E766" s="16">
        <v>125000</v>
      </c>
      <c r="F766" s="16">
        <f>(C766*E766)</f>
        <v>125000</v>
      </c>
    </row>
    <row r="768" spans="1:6" x14ac:dyDescent="0.25">
      <c r="B768" s="17" t="s">
        <v>10</v>
      </c>
      <c r="C768" s="31"/>
      <c r="D768" s="18"/>
      <c r="E768" s="239"/>
      <c r="F768" s="239">
        <f>SUM(F764:F766)</f>
        <v>924150</v>
      </c>
    </row>
    <row r="770" spans="1:6" x14ac:dyDescent="0.25">
      <c r="A770" s="46" t="s">
        <v>0</v>
      </c>
      <c r="B770" s="28" t="s">
        <v>1</v>
      </c>
      <c r="C770" s="321" t="s">
        <v>2</v>
      </c>
      <c r="D770" s="47" t="s">
        <v>3</v>
      </c>
      <c r="E770" s="244" t="s">
        <v>4</v>
      </c>
      <c r="F770" s="244" t="s">
        <v>5</v>
      </c>
    </row>
    <row r="771" spans="1:6" ht="60" x14ac:dyDescent="0.25">
      <c r="A771" s="13">
        <v>1</v>
      </c>
      <c r="B771" s="14" t="s">
        <v>415</v>
      </c>
      <c r="C771" s="316">
        <v>40</v>
      </c>
      <c r="D771" s="15" t="s">
        <v>33</v>
      </c>
      <c r="E771" s="16">
        <v>4800</v>
      </c>
      <c r="F771" s="16">
        <f>(C771*E771)</f>
        <v>192000</v>
      </c>
    </row>
    <row r="773" spans="1:6" x14ac:dyDescent="0.25">
      <c r="B773" s="17" t="s">
        <v>10</v>
      </c>
      <c r="C773" s="31"/>
      <c r="D773" s="18"/>
      <c r="E773" s="239"/>
      <c r="F773" s="239">
        <v>192000</v>
      </c>
    </row>
    <row r="775" spans="1:6" x14ac:dyDescent="0.25">
      <c r="A775" s="46" t="s">
        <v>0</v>
      </c>
      <c r="B775" s="28" t="s">
        <v>1</v>
      </c>
      <c r="C775" s="321" t="s">
        <v>2</v>
      </c>
      <c r="D775" s="47" t="s">
        <v>3</v>
      </c>
      <c r="E775" s="244" t="s">
        <v>4</v>
      </c>
      <c r="F775" s="244" t="s">
        <v>5</v>
      </c>
    </row>
    <row r="776" spans="1:6" ht="60" x14ac:dyDescent="0.25">
      <c r="A776" s="13">
        <v>1</v>
      </c>
      <c r="B776" s="14" t="s">
        <v>418</v>
      </c>
      <c r="C776" s="316">
        <v>1</v>
      </c>
      <c r="D776" s="15" t="s">
        <v>407</v>
      </c>
      <c r="E776" s="16">
        <v>245000</v>
      </c>
      <c r="F776" s="16">
        <f>(C776*E776)</f>
        <v>245000</v>
      </c>
    </row>
    <row r="778" spans="1:6" x14ac:dyDescent="0.25">
      <c r="B778" s="17" t="s">
        <v>224</v>
      </c>
      <c r="C778" s="31"/>
      <c r="D778" s="18"/>
      <c r="E778" s="239"/>
      <c r="F778" s="239">
        <f>SUM(F776)</f>
        <v>245000</v>
      </c>
    </row>
    <row r="780" spans="1:6" x14ac:dyDescent="0.25">
      <c r="A780" s="46" t="s">
        <v>0</v>
      </c>
      <c r="B780" s="28" t="s">
        <v>1</v>
      </c>
      <c r="C780" s="321" t="s">
        <v>2</v>
      </c>
      <c r="D780" s="47" t="s">
        <v>3</v>
      </c>
      <c r="E780" s="244" t="s">
        <v>4</v>
      </c>
      <c r="F780" s="244" t="s">
        <v>5</v>
      </c>
    </row>
    <row r="781" spans="1:6" ht="45" x14ac:dyDescent="0.25">
      <c r="A781" s="13">
        <v>1</v>
      </c>
      <c r="B781" s="14" t="s">
        <v>417</v>
      </c>
      <c r="C781" s="316">
        <v>1</v>
      </c>
      <c r="D781" s="15" t="s">
        <v>407</v>
      </c>
      <c r="E781" s="16">
        <v>70500</v>
      </c>
      <c r="F781" s="16">
        <f>(C781*E781)</f>
        <v>70500</v>
      </c>
    </row>
    <row r="782" spans="1:6" ht="45" x14ac:dyDescent="0.25">
      <c r="A782" s="13">
        <v>2</v>
      </c>
      <c r="B782" s="14" t="s">
        <v>416</v>
      </c>
      <c r="C782" s="316">
        <v>1</v>
      </c>
      <c r="D782" s="15" t="s">
        <v>407</v>
      </c>
      <c r="E782" s="16">
        <v>55000</v>
      </c>
      <c r="F782" s="16">
        <f>(C782*E782)</f>
        <v>55000</v>
      </c>
    </row>
    <row r="784" spans="1:6" x14ac:dyDescent="0.25">
      <c r="B784" s="17" t="s">
        <v>10</v>
      </c>
      <c r="C784" s="31"/>
      <c r="D784" s="18"/>
      <c r="E784" s="239"/>
      <c r="F784" s="239">
        <f>SUM(F781:F782)</f>
        <v>125500</v>
      </c>
    </row>
    <row r="786" spans="1:6" x14ac:dyDescent="0.25">
      <c r="A786" s="46" t="s">
        <v>0</v>
      </c>
      <c r="B786" s="28" t="s">
        <v>1</v>
      </c>
      <c r="C786" s="321" t="s">
        <v>2</v>
      </c>
      <c r="D786" s="47" t="s">
        <v>3</v>
      </c>
      <c r="E786" s="244" t="s">
        <v>4</v>
      </c>
      <c r="F786" s="244" t="s">
        <v>5</v>
      </c>
    </row>
    <row r="787" spans="1:6" ht="90" x14ac:dyDescent="0.25">
      <c r="B787" s="14" t="s">
        <v>419</v>
      </c>
      <c r="C787" s="316">
        <v>1</v>
      </c>
      <c r="D787" s="15" t="s">
        <v>330</v>
      </c>
      <c r="E787" s="16">
        <v>135000</v>
      </c>
      <c r="F787" s="16">
        <f>E787*C787</f>
        <v>135000</v>
      </c>
    </row>
    <row r="788" spans="1:6" ht="45" x14ac:dyDescent="0.25">
      <c r="B788" s="14" t="s">
        <v>83</v>
      </c>
      <c r="C788" s="316">
        <v>200</v>
      </c>
      <c r="D788" s="15" t="s">
        <v>9</v>
      </c>
      <c r="E788" s="16">
        <v>575</v>
      </c>
      <c r="F788" s="16">
        <f>(C788*E788)</f>
        <v>115000</v>
      </c>
    </row>
    <row r="790" spans="1:6" x14ac:dyDescent="0.25">
      <c r="B790" s="17" t="s">
        <v>10</v>
      </c>
      <c r="C790" s="31"/>
      <c r="D790" s="18"/>
      <c r="E790" s="239"/>
      <c r="F790" s="239">
        <f>SUM(F787:F788)</f>
        <v>250000</v>
      </c>
    </row>
    <row r="793" spans="1:6" x14ac:dyDescent="0.25">
      <c r="A793" s="46" t="s">
        <v>0</v>
      </c>
      <c r="B793" s="28" t="s">
        <v>1</v>
      </c>
      <c r="C793" s="321" t="s">
        <v>2</v>
      </c>
      <c r="D793" s="47" t="s">
        <v>3</v>
      </c>
      <c r="E793" s="244" t="s">
        <v>4</v>
      </c>
      <c r="F793" s="244" t="s">
        <v>5</v>
      </c>
    </row>
    <row r="794" spans="1:6" ht="30" x14ac:dyDescent="0.25">
      <c r="A794" s="13">
        <v>1</v>
      </c>
      <c r="B794" s="14" t="s">
        <v>370</v>
      </c>
      <c r="C794" s="316">
        <v>1</v>
      </c>
      <c r="D794" s="15" t="s">
        <v>407</v>
      </c>
      <c r="E794" s="16">
        <v>38000</v>
      </c>
      <c r="F794" s="16">
        <f>E794*C794</f>
        <v>38000</v>
      </c>
    </row>
    <row r="795" spans="1:6" ht="45" x14ac:dyDescent="0.25">
      <c r="A795" s="13">
        <v>2</v>
      </c>
      <c r="B795" s="14" t="s">
        <v>371</v>
      </c>
    </row>
    <row r="796" spans="1:6" ht="30" x14ac:dyDescent="0.25">
      <c r="B796" s="14" t="s">
        <v>408</v>
      </c>
      <c r="C796" s="316">
        <v>1</v>
      </c>
      <c r="D796" s="15" t="s">
        <v>407</v>
      </c>
      <c r="E796" s="16">
        <v>52000</v>
      </c>
      <c r="F796" s="16">
        <f>E796*C796</f>
        <v>52000</v>
      </c>
    </row>
    <row r="797" spans="1:6" x14ac:dyDescent="0.25">
      <c r="B797" s="14" t="s">
        <v>409</v>
      </c>
      <c r="C797" s="316">
        <v>1</v>
      </c>
      <c r="D797" s="15" t="s">
        <v>407</v>
      </c>
      <c r="E797" s="16">
        <v>42000</v>
      </c>
      <c r="F797" s="16">
        <f>E797*C797</f>
        <v>42000</v>
      </c>
    </row>
    <row r="798" spans="1:6" ht="30" x14ac:dyDescent="0.25">
      <c r="B798" s="14" t="s">
        <v>410</v>
      </c>
      <c r="C798" s="316">
        <v>1120</v>
      </c>
      <c r="D798" s="15" t="s">
        <v>31</v>
      </c>
      <c r="E798" s="16">
        <v>40</v>
      </c>
      <c r="F798" s="16">
        <f>E798*C798</f>
        <v>44800</v>
      </c>
    </row>
    <row r="799" spans="1:6" ht="30" x14ac:dyDescent="0.25">
      <c r="B799" s="14" t="s">
        <v>411</v>
      </c>
      <c r="C799" s="316">
        <v>1</v>
      </c>
      <c r="D799" s="15" t="s">
        <v>407</v>
      </c>
      <c r="E799" s="16">
        <v>18000</v>
      </c>
      <c r="F799" s="16">
        <f>E799*C799</f>
        <v>18000</v>
      </c>
    </row>
    <row r="800" spans="1:6" x14ac:dyDescent="0.25">
      <c r="B800" s="14" t="s">
        <v>375</v>
      </c>
      <c r="C800" s="316">
        <v>10</v>
      </c>
      <c r="D800" s="15" t="s">
        <v>407</v>
      </c>
      <c r="E800" s="16">
        <v>7500</v>
      </c>
      <c r="F800" s="16">
        <f>E800*C800</f>
        <v>75000</v>
      </c>
    </row>
    <row r="802" spans="1:6" ht="45" x14ac:dyDescent="0.25">
      <c r="A802" s="13">
        <v>3</v>
      </c>
      <c r="B802" s="14" t="s">
        <v>377</v>
      </c>
      <c r="C802" s="316">
        <v>3511</v>
      </c>
      <c r="D802" s="15" t="s">
        <v>31</v>
      </c>
      <c r="E802" s="16">
        <v>30</v>
      </c>
      <c r="F802" s="16">
        <f t="shared" ref="F802:F838" si="24">E802*C802</f>
        <v>105330</v>
      </c>
    </row>
    <row r="803" spans="1:6" ht="60" x14ac:dyDescent="0.25">
      <c r="A803" s="13">
        <v>4</v>
      </c>
      <c r="B803" s="14" t="s">
        <v>378</v>
      </c>
      <c r="C803" s="316">
        <v>35</v>
      </c>
      <c r="D803" s="15" t="s">
        <v>33</v>
      </c>
      <c r="E803" s="16">
        <v>2050</v>
      </c>
      <c r="F803" s="16">
        <f t="shared" si="24"/>
        <v>71750</v>
      </c>
    </row>
    <row r="804" spans="1:6" ht="45" x14ac:dyDescent="0.25">
      <c r="A804" s="13">
        <v>5</v>
      </c>
      <c r="B804" s="14" t="s">
        <v>388</v>
      </c>
      <c r="C804" s="316">
        <v>18</v>
      </c>
      <c r="D804" s="15" t="s">
        <v>33</v>
      </c>
      <c r="E804" s="16">
        <v>2150</v>
      </c>
      <c r="F804" s="16">
        <f t="shared" si="24"/>
        <v>38700</v>
      </c>
    </row>
    <row r="805" spans="1:6" ht="60" x14ac:dyDescent="0.25">
      <c r="A805" s="13">
        <v>6</v>
      </c>
      <c r="B805" s="14" t="s">
        <v>386</v>
      </c>
      <c r="C805" s="316">
        <v>56</v>
      </c>
      <c r="D805" s="15" t="s">
        <v>33</v>
      </c>
      <c r="E805" s="16">
        <v>2050</v>
      </c>
      <c r="F805" s="16">
        <f t="shared" si="24"/>
        <v>114800</v>
      </c>
    </row>
    <row r="806" spans="1:6" ht="30" x14ac:dyDescent="0.25">
      <c r="A806" s="13">
        <v>7</v>
      </c>
      <c r="B806" s="14" t="s">
        <v>387</v>
      </c>
      <c r="C806" s="316">
        <v>109</v>
      </c>
      <c r="D806" s="15" t="s">
        <v>33</v>
      </c>
      <c r="E806" s="16">
        <v>1950</v>
      </c>
      <c r="F806" s="16">
        <f t="shared" si="24"/>
        <v>212550</v>
      </c>
    </row>
    <row r="807" spans="1:6" ht="45" x14ac:dyDescent="0.25">
      <c r="A807" s="13">
        <v>8</v>
      </c>
      <c r="B807" s="14" t="s">
        <v>379</v>
      </c>
      <c r="C807" s="316">
        <v>82</v>
      </c>
      <c r="D807" s="15" t="s">
        <v>33</v>
      </c>
      <c r="E807" s="16">
        <v>2050</v>
      </c>
      <c r="F807" s="16">
        <f t="shared" si="24"/>
        <v>168100</v>
      </c>
    </row>
    <row r="808" spans="1:6" ht="30" x14ac:dyDescent="0.25">
      <c r="A808" s="13">
        <v>9</v>
      </c>
      <c r="B808" s="14" t="s">
        <v>380</v>
      </c>
      <c r="C808" s="316">
        <v>22</v>
      </c>
      <c r="D808" s="15" t="s">
        <v>33</v>
      </c>
      <c r="E808" s="16">
        <v>2300</v>
      </c>
      <c r="F808" s="16">
        <f t="shared" si="24"/>
        <v>50600</v>
      </c>
    </row>
    <row r="809" spans="1:6" ht="45" x14ac:dyDescent="0.25">
      <c r="A809" s="13">
        <v>10</v>
      </c>
      <c r="B809" s="14" t="s">
        <v>381</v>
      </c>
      <c r="C809" s="316">
        <v>564</v>
      </c>
      <c r="D809" s="15" t="s">
        <v>31</v>
      </c>
      <c r="E809" s="16">
        <v>1700</v>
      </c>
      <c r="F809" s="16">
        <f t="shared" si="24"/>
        <v>958800</v>
      </c>
    </row>
    <row r="810" spans="1:6" ht="45" x14ac:dyDescent="0.25">
      <c r="A810" s="13">
        <v>11</v>
      </c>
      <c r="B810" s="14" t="s">
        <v>396</v>
      </c>
      <c r="C810" s="316">
        <v>62</v>
      </c>
      <c r="D810" s="15" t="s">
        <v>33</v>
      </c>
      <c r="E810" s="16">
        <v>2450</v>
      </c>
      <c r="F810" s="16">
        <f t="shared" si="24"/>
        <v>151900</v>
      </c>
    </row>
    <row r="811" spans="1:6" ht="45" x14ac:dyDescent="0.25">
      <c r="A811" s="13">
        <v>12</v>
      </c>
      <c r="B811" s="14" t="s">
        <v>397</v>
      </c>
      <c r="C811" s="316">
        <v>216</v>
      </c>
      <c r="D811" s="15" t="s">
        <v>31</v>
      </c>
      <c r="E811" s="16">
        <v>1800</v>
      </c>
      <c r="F811" s="16">
        <f t="shared" si="24"/>
        <v>388800</v>
      </c>
    </row>
    <row r="812" spans="1:6" ht="75" x14ac:dyDescent="0.25">
      <c r="A812" s="13">
        <v>13</v>
      </c>
      <c r="B812" s="14" t="s">
        <v>398</v>
      </c>
      <c r="C812" s="316">
        <v>207</v>
      </c>
      <c r="D812" s="15" t="s">
        <v>33</v>
      </c>
      <c r="E812" s="16">
        <v>2050</v>
      </c>
      <c r="F812" s="16">
        <f t="shared" si="24"/>
        <v>424350</v>
      </c>
    </row>
    <row r="813" spans="1:6" ht="30" x14ac:dyDescent="0.25">
      <c r="A813" s="13">
        <v>14</v>
      </c>
      <c r="B813" s="14" t="s">
        <v>383</v>
      </c>
      <c r="C813" s="316">
        <v>22</v>
      </c>
      <c r="D813" s="15" t="s">
        <v>33</v>
      </c>
      <c r="E813" s="16">
        <v>2300</v>
      </c>
      <c r="F813" s="16">
        <f t="shared" si="24"/>
        <v>50600</v>
      </c>
    </row>
    <row r="814" spans="1:6" ht="45" x14ac:dyDescent="0.25">
      <c r="A814" s="13">
        <v>15</v>
      </c>
      <c r="B814" s="14" t="s">
        <v>399</v>
      </c>
      <c r="C814" s="316">
        <v>16</v>
      </c>
      <c r="D814" s="15" t="s">
        <v>33</v>
      </c>
      <c r="E814" s="16">
        <v>2050</v>
      </c>
      <c r="F814" s="16">
        <f t="shared" si="24"/>
        <v>32800</v>
      </c>
    </row>
    <row r="815" spans="1:6" ht="30" x14ac:dyDescent="0.25">
      <c r="A815" s="13">
        <v>16</v>
      </c>
      <c r="B815" s="14" t="s">
        <v>400</v>
      </c>
      <c r="C815" s="316">
        <v>80</v>
      </c>
      <c r="D815" s="15" t="s">
        <v>31</v>
      </c>
      <c r="E815" s="16">
        <v>1700</v>
      </c>
      <c r="F815" s="16">
        <f t="shared" si="24"/>
        <v>136000</v>
      </c>
    </row>
    <row r="816" spans="1:6" ht="45" x14ac:dyDescent="0.25">
      <c r="A816" s="13">
        <v>17</v>
      </c>
      <c r="B816" s="14" t="s">
        <v>384</v>
      </c>
      <c r="C816" s="316">
        <v>1.44</v>
      </c>
      <c r="D816" s="15" t="s">
        <v>30</v>
      </c>
      <c r="E816" s="16">
        <v>14500</v>
      </c>
      <c r="F816" s="16">
        <f t="shared" si="24"/>
        <v>20880</v>
      </c>
    </row>
    <row r="817" spans="1:6" ht="30" x14ac:dyDescent="0.25">
      <c r="A817" s="13">
        <v>18</v>
      </c>
      <c r="B817" s="14" t="s">
        <v>385</v>
      </c>
      <c r="C817" s="316">
        <v>32</v>
      </c>
      <c r="D817" s="15" t="s">
        <v>32</v>
      </c>
      <c r="E817" s="16">
        <v>3250</v>
      </c>
      <c r="F817" s="16">
        <f t="shared" si="24"/>
        <v>104000</v>
      </c>
    </row>
    <row r="818" spans="1:6" ht="60" x14ac:dyDescent="0.25">
      <c r="A818" s="13">
        <v>19</v>
      </c>
      <c r="B818" s="14" t="s">
        <v>386</v>
      </c>
      <c r="C818" s="316">
        <v>56</v>
      </c>
      <c r="D818" s="15" t="s">
        <v>33</v>
      </c>
      <c r="E818" s="16">
        <v>2050</v>
      </c>
      <c r="F818" s="16">
        <f t="shared" si="24"/>
        <v>114800</v>
      </c>
    </row>
    <row r="819" spans="1:6" ht="30" x14ac:dyDescent="0.25">
      <c r="A819" s="13">
        <v>20</v>
      </c>
      <c r="B819" s="14" t="s">
        <v>387</v>
      </c>
      <c r="C819" s="316">
        <v>109</v>
      </c>
      <c r="D819" s="15" t="s">
        <v>33</v>
      </c>
      <c r="E819" s="16">
        <v>1950</v>
      </c>
      <c r="F819" s="16">
        <f t="shared" si="24"/>
        <v>212550</v>
      </c>
    </row>
    <row r="820" spans="1:6" ht="45" x14ac:dyDescent="0.25">
      <c r="A820" s="13">
        <v>21</v>
      </c>
      <c r="B820" s="14" t="s">
        <v>388</v>
      </c>
      <c r="C820" s="316">
        <v>18</v>
      </c>
      <c r="D820" s="15" t="s">
        <v>33</v>
      </c>
      <c r="E820" s="16">
        <v>2250</v>
      </c>
      <c r="F820" s="16">
        <f t="shared" si="24"/>
        <v>40500</v>
      </c>
    </row>
    <row r="821" spans="1:6" ht="60" x14ac:dyDescent="0.25">
      <c r="A821" s="13">
        <v>22</v>
      </c>
      <c r="B821" s="14" t="s">
        <v>389</v>
      </c>
      <c r="C821" s="316">
        <v>103</v>
      </c>
      <c r="D821" s="15" t="s">
        <v>33</v>
      </c>
      <c r="E821" s="16">
        <v>2050</v>
      </c>
      <c r="F821" s="16">
        <f t="shared" si="24"/>
        <v>211150</v>
      </c>
    </row>
    <row r="822" spans="1:6" ht="30" x14ac:dyDescent="0.25">
      <c r="A822" s="13">
        <v>23</v>
      </c>
      <c r="B822" s="14" t="s">
        <v>390</v>
      </c>
      <c r="C822" s="316">
        <v>455</v>
      </c>
      <c r="D822" s="15" t="s">
        <v>31</v>
      </c>
      <c r="E822" s="16">
        <v>1700</v>
      </c>
      <c r="F822" s="16">
        <f t="shared" si="24"/>
        <v>773500</v>
      </c>
    </row>
    <row r="823" spans="1:6" ht="60" x14ac:dyDescent="0.25">
      <c r="A823" s="13">
        <v>24</v>
      </c>
      <c r="B823" s="14" t="s">
        <v>391</v>
      </c>
      <c r="C823" s="316">
        <v>6630</v>
      </c>
      <c r="D823" s="15" t="s">
        <v>31</v>
      </c>
      <c r="E823" s="16">
        <v>365</v>
      </c>
      <c r="F823" s="16">
        <f t="shared" si="24"/>
        <v>2419950</v>
      </c>
    </row>
    <row r="824" spans="1:6" ht="90" x14ac:dyDescent="0.25">
      <c r="A824" s="13">
        <v>25</v>
      </c>
      <c r="B824" s="14" t="s">
        <v>402</v>
      </c>
      <c r="C824" s="316">
        <v>1</v>
      </c>
      <c r="D824" s="15" t="s">
        <v>407</v>
      </c>
      <c r="E824" s="16">
        <v>795000</v>
      </c>
      <c r="F824" s="16">
        <f t="shared" si="24"/>
        <v>795000</v>
      </c>
    </row>
    <row r="825" spans="1:6" ht="45" x14ac:dyDescent="0.25">
      <c r="A825" s="13">
        <v>26</v>
      </c>
      <c r="B825" s="14" t="s">
        <v>392</v>
      </c>
      <c r="C825" s="316">
        <v>18292</v>
      </c>
      <c r="D825" s="15" t="s">
        <v>31</v>
      </c>
      <c r="E825" s="16">
        <v>135</v>
      </c>
      <c r="F825" s="16">
        <f t="shared" si="24"/>
        <v>2469420</v>
      </c>
    </row>
    <row r="826" spans="1:6" ht="60" x14ac:dyDescent="0.25">
      <c r="A826" s="13">
        <v>27</v>
      </c>
      <c r="B826" s="14" t="s">
        <v>393</v>
      </c>
      <c r="C826" s="316">
        <v>8100</v>
      </c>
      <c r="D826" s="15" t="s">
        <v>31</v>
      </c>
      <c r="E826" s="16">
        <v>160</v>
      </c>
      <c r="F826" s="16">
        <f t="shared" si="24"/>
        <v>1296000</v>
      </c>
    </row>
    <row r="827" spans="1:6" ht="45" x14ac:dyDescent="0.25">
      <c r="A827" s="13">
        <v>28</v>
      </c>
      <c r="B827" s="14" t="s">
        <v>394</v>
      </c>
      <c r="C827" s="316">
        <v>3445</v>
      </c>
      <c r="D827" s="15" t="s">
        <v>31</v>
      </c>
      <c r="E827" s="16">
        <v>195</v>
      </c>
      <c r="F827" s="16">
        <f t="shared" si="24"/>
        <v>671775</v>
      </c>
    </row>
    <row r="828" spans="1:6" ht="120" x14ac:dyDescent="0.25">
      <c r="A828" s="13">
        <v>29</v>
      </c>
      <c r="B828" s="14" t="s">
        <v>401</v>
      </c>
      <c r="C828" s="316">
        <v>1920</v>
      </c>
      <c r="D828" s="15" t="s">
        <v>31</v>
      </c>
      <c r="E828" s="16">
        <v>3350</v>
      </c>
      <c r="F828" s="16">
        <f t="shared" si="24"/>
        <v>6432000</v>
      </c>
    </row>
    <row r="829" spans="1:6" ht="45" x14ac:dyDescent="0.25">
      <c r="A829" s="13">
        <v>30</v>
      </c>
      <c r="B829" s="14" t="s">
        <v>323</v>
      </c>
      <c r="C829" s="316">
        <v>445</v>
      </c>
      <c r="D829" s="15" t="s">
        <v>33</v>
      </c>
      <c r="E829" s="16">
        <v>620</v>
      </c>
      <c r="F829" s="16">
        <f t="shared" si="24"/>
        <v>275900</v>
      </c>
    </row>
    <row r="830" spans="1:6" ht="90" x14ac:dyDescent="0.25">
      <c r="A830" s="13">
        <v>31</v>
      </c>
      <c r="B830" s="14" t="s">
        <v>328</v>
      </c>
      <c r="C830" s="316">
        <v>6790</v>
      </c>
      <c r="D830" s="15" t="s">
        <v>31</v>
      </c>
      <c r="E830" s="16">
        <v>665</v>
      </c>
      <c r="F830" s="16">
        <f t="shared" si="24"/>
        <v>4515350</v>
      </c>
    </row>
    <row r="831" spans="1:6" ht="90" x14ac:dyDescent="0.25">
      <c r="A831" s="13">
        <v>32</v>
      </c>
      <c r="B831" s="14" t="s">
        <v>329</v>
      </c>
      <c r="C831" s="316">
        <v>6</v>
      </c>
      <c r="D831" s="15" t="s">
        <v>330</v>
      </c>
      <c r="E831" s="16">
        <v>675000</v>
      </c>
      <c r="F831" s="16">
        <f t="shared" si="24"/>
        <v>4050000</v>
      </c>
    </row>
    <row r="832" spans="1:6" ht="135" x14ac:dyDescent="0.25">
      <c r="A832" s="13">
        <v>33</v>
      </c>
      <c r="B832" s="14" t="s">
        <v>325</v>
      </c>
      <c r="C832" s="316">
        <v>2892</v>
      </c>
      <c r="D832" s="15" t="s">
        <v>31</v>
      </c>
      <c r="E832" s="16">
        <v>1350</v>
      </c>
      <c r="F832" s="16">
        <f t="shared" si="24"/>
        <v>3904200</v>
      </c>
    </row>
    <row r="833" spans="1:6" ht="60" x14ac:dyDescent="0.25">
      <c r="A833" s="13">
        <v>34</v>
      </c>
      <c r="B833" s="14" t="s">
        <v>317</v>
      </c>
      <c r="C833" s="316">
        <v>280</v>
      </c>
      <c r="D833" s="15" t="s">
        <v>33</v>
      </c>
      <c r="E833" s="16">
        <v>980</v>
      </c>
      <c r="F833" s="16">
        <f t="shared" si="24"/>
        <v>274400</v>
      </c>
    </row>
    <row r="834" spans="1:6" ht="60" x14ac:dyDescent="0.25">
      <c r="A834" s="13">
        <v>35</v>
      </c>
      <c r="B834" s="14" t="s">
        <v>318</v>
      </c>
      <c r="C834" s="316">
        <v>395</v>
      </c>
      <c r="D834" s="15" t="s">
        <v>33</v>
      </c>
      <c r="E834" s="16">
        <v>980</v>
      </c>
      <c r="F834" s="16">
        <f t="shared" si="24"/>
        <v>387100</v>
      </c>
    </row>
    <row r="835" spans="1:6" x14ac:dyDescent="0.25">
      <c r="A835" s="13">
        <v>36</v>
      </c>
      <c r="B835" s="14" t="s">
        <v>395</v>
      </c>
      <c r="C835" s="316">
        <v>110</v>
      </c>
      <c r="D835" s="15" t="s">
        <v>33</v>
      </c>
      <c r="E835" s="16">
        <v>980</v>
      </c>
      <c r="F835" s="16">
        <f t="shared" si="24"/>
        <v>107800</v>
      </c>
    </row>
    <row r="836" spans="1:6" ht="75" x14ac:dyDescent="0.25">
      <c r="A836" s="13">
        <v>37</v>
      </c>
      <c r="B836" s="14" t="s">
        <v>319</v>
      </c>
      <c r="C836" s="316">
        <v>22850</v>
      </c>
      <c r="D836" s="15" t="s">
        <v>31</v>
      </c>
      <c r="E836" s="16">
        <v>190</v>
      </c>
      <c r="F836" s="16">
        <f t="shared" si="24"/>
        <v>4341500</v>
      </c>
    </row>
    <row r="837" spans="1:6" ht="30" x14ac:dyDescent="0.25">
      <c r="A837" s="13">
        <v>38</v>
      </c>
      <c r="B837" s="14" t="s">
        <v>320</v>
      </c>
      <c r="C837" s="316">
        <v>8100</v>
      </c>
      <c r="D837" s="15" t="s">
        <v>31</v>
      </c>
      <c r="E837" s="16">
        <v>95</v>
      </c>
      <c r="F837" s="16">
        <f t="shared" si="24"/>
        <v>769500</v>
      </c>
    </row>
    <row r="838" spans="1:6" ht="75" x14ac:dyDescent="0.25">
      <c r="A838" s="13">
        <v>39</v>
      </c>
      <c r="B838" s="14" t="s">
        <v>321</v>
      </c>
      <c r="C838" s="316">
        <v>345</v>
      </c>
      <c r="D838" s="15" t="s">
        <v>33</v>
      </c>
      <c r="E838" s="16">
        <v>4800</v>
      </c>
      <c r="F838" s="16">
        <f t="shared" si="24"/>
        <v>1656000</v>
      </c>
    </row>
    <row r="839" spans="1:6" ht="150" x14ac:dyDescent="0.25">
      <c r="A839" s="13">
        <v>40</v>
      </c>
      <c r="B839" s="14" t="s">
        <v>404</v>
      </c>
      <c r="C839" s="316">
        <v>1920</v>
      </c>
      <c r="D839" s="15" t="s">
        <v>31</v>
      </c>
      <c r="E839" s="16">
        <v>2400</v>
      </c>
    </row>
    <row r="840" spans="1:6" ht="135" x14ac:dyDescent="0.25">
      <c r="A840" s="13">
        <v>41</v>
      </c>
      <c r="B840" s="14" t="s">
        <v>326</v>
      </c>
    </row>
    <row r="841" spans="1:6" x14ac:dyDescent="0.25">
      <c r="B841" s="14" t="s">
        <v>309</v>
      </c>
      <c r="C841" s="316">
        <v>1</v>
      </c>
      <c r="D841" s="15" t="s">
        <v>127</v>
      </c>
      <c r="E841" s="16">
        <v>6900</v>
      </c>
    </row>
    <row r="842" spans="1:6" x14ac:dyDescent="0.25">
      <c r="B842" s="14" t="s">
        <v>310</v>
      </c>
      <c r="C842" s="316">
        <v>1</v>
      </c>
      <c r="D842" s="15" t="s">
        <v>127</v>
      </c>
      <c r="E842" s="16">
        <v>7100</v>
      </c>
    </row>
    <row r="843" spans="1:6" x14ac:dyDescent="0.25">
      <c r="B843" s="14" t="s">
        <v>311</v>
      </c>
      <c r="C843" s="316">
        <v>1</v>
      </c>
      <c r="D843" s="15" t="s">
        <v>127</v>
      </c>
      <c r="E843" s="16">
        <v>6900</v>
      </c>
    </row>
    <row r="844" spans="1:6" x14ac:dyDescent="0.25">
      <c r="B844" s="14" t="s">
        <v>312</v>
      </c>
      <c r="C844" s="316">
        <v>1</v>
      </c>
      <c r="D844" s="15" t="s">
        <v>127</v>
      </c>
      <c r="E844" s="16">
        <v>7700</v>
      </c>
    </row>
    <row r="845" spans="1:6" x14ac:dyDescent="0.25">
      <c r="B845" s="14" t="s">
        <v>313</v>
      </c>
      <c r="C845" s="316">
        <v>1</v>
      </c>
      <c r="D845" s="15" t="s">
        <v>127</v>
      </c>
      <c r="E845" s="16">
        <v>8200</v>
      </c>
    </row>
    <row r="846" spans="1:6" x14ac:dyDescent="0.25">
      <c r="B846" s="14" t="s">
        <v>314</v>
      </c>
      <c r="C846" s="316">
        <v>1</v>
      </c>
      <c r="D846" s="15" t="s">
        <v>127</v>
      </c>
      <c r="E846" s="16">
        <v>48000</v>
      </c>
    </row>
    <row r="847" spans="1:6" x14ac:dyDescent="0.25">
      <c r="B847" s="14" t="s">
        <v>315</v>
      </c>
      <c r="C847" s="316">
        <v>1</v>
      </c>
      <c r="D847" s="15" t="s">
        <v>127</v>
      </c>
      <c r="E847" s="16">
        <v>6900</v>
      </c>
    </row>
    <row r="848" spans="1:6" x14ac:dyDescent="0.25">
      <c r="B848" s="14" t="s">
        <v>316</v>
      </c>
      <c r="C848" s="316">
        <v>1</v>
      </c>
      <c r="D848" s="15" t="s">
        <v>127</v>
      </c>
      <c r="E848" s="16">
        <v>7600</v>
      </c>
    </row>
    <row r="849" spans="1:6" ht="45" x14ac:dyDescent="0.25">
      <c r="A849" s="13">
        <v>42</v>
      </c>
      <c r="B849" s="14" t="s">
        <v>403</v>
      </c>
      <c r="C849" s="316">
        <v>90</v>
      </c>
      <c r="D849" s="15" t="s">
        <v>31</v>
      </c>
      <c r="E849" s="16">
        <v>1600</v>
      </c>
      <c r="F849" s="16">
        <f>E849*C849</f>
        <v>144000</v>
      </c>
    </row>
    <row r="850" spans="1:6" ht="45" x14ac:dyDescent="0.25">
      <c r="A850" s="13">
        <v>43</v>
      </c>
      <c r="B850" s="14" t="s">
        <v>388</v>
      </c>
      <c r="C850" s="316">
        <v>18</v>
      </c>
      <c r="D850" s="15" t="s">
        <v>33</v>
      </c>
      <c r="E850" s="16">
        <v>2400</v>
      </c>
      <c r="F850" s="16">
        <f>E850*C850</f>
        <v>43200</v>
      </c>
    </row>
    <row r="851" spans="1:6" ht="90" x14ac:dyDescent="0.25">
      <c r="A851" s="13">
        <v>44</v>
      </c>
      <c r="B851" s="14" t="s">
        <v>366</v>
      </c>
      <c r="C851" s="316">
        <v>5</v>
      </c>
      <c r="D851" s="15" t="s">
        <v>85</v>
      </c>
      <c r="E851" s="16">
        <v>135000</v>
      </c>
      <c r="F851" s="16">
        <f>E851*C851</f>
        <v>675000</v>
      </c>
    </row>
    <row r="853" spans="1:6" x14ac:dyDescent="0.25">
      <c r="B853" s="426" t="s">
        <v>322</v>
      </c>
      <c r="C853" s="428"/>
    </row>
    <row r="855" spans="1:6" x14ac:dyDescent="0.25">
      <c r="B855" s="17" t="s">
        <v>10</v>
      </c>
      <c r="C855" s="31"/>
      <c r="D855" s="18"/>
      <c r="E855" s="239"/>
      <c r="F855" s="239">
        <f>SUM(F794:F851)</f>
        <v>39880355</v>
      </c>
    </row>
    <row r="857" spans="1:6" x14ac:dyDescent="0.25">
      <c r="A857" s="46" t="s">
        <v>0</v>
      </c>
      <c r="B857" s="28" t="s">
        <v>1</v>
      </c>
      <c r="C857" s="321" t="s">
        <v>2</v>
      </c>
      <c r="D857" s="47" t="s">
        <v>3</v>
      </c>
      <c r="E857" s="244" t="s">
        <v>4</v>
      </c>
      <c r="F857" s="244" t="s">
        <v>5</v>
      </c>
    </row>
    <row r="858" spans="1:6" ht="45" x14ac:dyDescent="0.25">
      <c r="A858" s="13">
        <v>1</v>
      </c>
      <c r="B858" s="14" t="s">
        <v>420</v>
      </c>
      <c r="C858" s="316">
        <v>15</v>
      </c>
      <c r="D858" s="15" t="s">
        <v>33</v>
      </c>
      <c r="E858" s="16">
        <v>1450</v>
      </c>
      <c r="F858" s="16">
        <f t="shared" ref="F858:F865" si="25">(C858*E858)</f>
        <v>21750</v>
      </c>
    </row>
    <row r="859" spans="1:6" ht="60" x14ac:dyDescent="0.25">
      <c r="A859" s="13">
        <v>2</v>
      </c>
      <c r="B859" s="14" t="s">
        <v>421</v>
      </c>
      <c r="C859" s="316">
        <v>65</v>
      </c>
      <c r="D859" s="15" t="s">
        <v>31</v>
      </c>
      <c r="E859" s="16">
        <v>1550</v>
      </c>
      <c r="F859" s="16">
        <f t="shared" si="25"/>
        <v>100750</v>
      </c>
    </row>
    <row r="860" spans="1:6" ht="30" x14ac:dyDescent="0.25">
      <c r="A860" s="13">
        <v>3</v>
      </c>
      <c r="B860" s="14" t="s">
        <v>422</v>
      </c>
      <c r="C860" s="316">
        <v>195</v>
      </c>
      <c r="D860" s="15" t="s">
        <v>31</v>
      </c>
      <c r="E860" s="16">
        <v>380</v>
      </c>
      <c r="F860" s="16">
        <f t="shared" si="25"/>
        <v>74100</v>
      </c>
    </row>
    <row r="861" spans="1:6" ht="30" x14ac:dyDescent="0.25">
      <c r="A861" s="13">
        <v>4</v>
      </c>
      <c r="B861" s="14" t="s">
        <v>427</v>
      </c>
      <c r="C861" s="316">
        <v>760</v>
      </c>
      <c r="D861" s="15" t="s">
        <v>31</v>
      </c>
      <c r="E861" s="16">
        <v>140</v>
      </c>
      <c r="F861" s="16">
        <f t="shared" si="25"/>
        <v>106400</v>
      </c>
    </row>
    <row r="862" spans="1:6" ht="30" x14ac:dyDescent="0.25">
      <c r="A862" s="13">
        <v>5</v>
      </c>
      <c r="B862" s="14" t="s">
        <v>423</v>
      </c>
      <c r="C862" s="316">
        <v>1</v>
      </c>
      <c r="D862" s="15" t="s">
        <v>11</v>
      </c>
      <c r="E862" s="16">
        <v>29000</v>
      </c>
      <c r="F862" s="16">
        <f t="shared" si="25"/>
        <v>29000</v>
      </c>
    </row>
    <row r="863" spans="1:6" ht="60" x14ac:dyDescent="0.25">
      <c r="A863" s="13">
        <v>6</v>
      </c>
      <c r="B863" s="14" t="s">
        <v>424</v>
      </c>
      <c r="C863" s="316">
        <v>1</v>
      </c>
      <c r="D863" s="15" t="s">
        <v>11</v>
      </c>
      <c r="E863" s="16">
        <v>68000</v>
      </c>
      <c r="F863" s="16">
        <f t="shared" si="25"/>
        <v>68000</v>
      </c>
    </row>
    <row r="864" spans="1:6" x14ac:dyDescent="0.25">
      <c r="A864" s="13">
        <v>7</v>
      </c>
      <c r="B864" s="14" t="s">
        <v>425</v>
      </c>
      <c r="C864" s="316">
        <v>215</v>
      </c>
      <c r="D864" s="15" t="s">
        <v>31</v>
      </c>
      <c r="E864" s="16">
        <v>140</v>
      </c>
      <c r="F864" s="16">
        <f t="shared" si="25"/>
        <v>30100</v>
      </c>
    </row>
    <row r="865" spans="1:6" x14ac:dyDescent="0.25">
      <c r="A865" s="13">
        <v>8</v>
      </c>
      <c r="B865" s="14" t="s">
        <v>426</v>
      </c>
      <c r="C865" s="316">
        <v>380</v>
      </c>
      <c r="D865" s="15" t="s">
        <v>31</v>
      </c>
      <c r="E865" s="16">
        <v>70</v>
      </c>
      <c r="F865" s="16">
        <f t="shared" si="25"/>
        <v>26600</v>
      </c>
    </row>
    <row r="867" spans="1:6" x14ac:dyDescent="0.25">
      <c r="B867" s="17" t="s">
        <v>10</v>
      </c>
      <c r="C867" s="31"/>
      <c r="D867" s="18"/>
      <c r="E867" s="239"/>
      <c r="F867" s="239">
        <f>SUM(F858:F865)</f>
        <v>456700</v>
      </c>
    </row>
    <row r="869" spans="1:6" x14ac:dyDescent="0.25">
      <c r="A869" s="46" t="s">
        <v>0</v>
      </c>
      <c r="B869" s="28" t="s">
        <v>1</v>
      </c>
      <c r="C869" s="321" t="s">
        <v>2</v>
      </c>
      <c r="D869" s="47" t="s">
        <v>3</v>
      </c>
      <c r="E869" s="244" t="s">
        <v>4</v>
      </c>
      <c r="F869" s="244" t="s">
        <v>5</v>
      </c>
    </row>
    <row r="870" spans="1:6" ht="30" x14ac:dyDescent="0.25">
      <c r="A870" s="13">
        <v>1</v>
      </c>
      <c r="B870" s="14" t="s">
        <v>428</v>
      </c>
      <c r="C870" s="316">
        <v>1</v>
      </c>
      <c r="D870" s="15" t="s">
        <v>429</v>
      </c>
      <c r="E870" s="16">
        <v>140000</v>
      </c>
      <c r="F870" s="16">
        <f t="shared" ref="F870:F876" si="26">(C870*E870)</f>
        <v>140000</v>
      </c>
    </row>
    <row r="871" spans="1:6" ht="45" x14ac:dyDescent="0.25">
      <c r="A871" s="13">
        <v>2</v>
      </c>
      <c r="B871" s="14" t="s">
        <v>430</v>
      </c>
      <c r="C871" s="316">
        <v>2960</v>
      </c>
      <c r="D871" s="15" t="s">
        <v>31</v>
      </c>
      <c r="E871" s="16">
        <v>390</v>
      </c>
      <c r="F871" s="16">
        <f t="shared" si="26"/>
        <v>1154400</v>
      </c>
    </row>
    <row r="872" spans="1:6" ht="30" x14ac:dyDescent="0.25">
      <c r="A872" s="13">
        <v>3</v>
      </c>
      <c r="B872" s="14" t="s">
        <v>431</v>
      </c>
      <c r="C872" s="316">
        <v>1550</v>
      </c>
      <c r="D872" s="15" t="s">
        <v>31</v>
      </c>
      <c r="E872" s="16">
        <v>740</v>
      </c>
      <c r="F872" s="16">
        <f t="shared" si="26"/>
        <v>1147000</v>
      </c>
    </row>
    <row r="874" spans="1:6" x14ac:dyDescent="0.25">
      <c r="B874" s="17" t="s">
        <v>10</v>
      </c>
      <c r="C874" s="31"/>
      <c r="D874" s="18"/>
      <c r="E874" s="239"/>
      <c r="F874" s="239">
        <f>SUM(F870:F872)</f>
        <v>2441400</v>
      </c>
    </row>
    <row r="876" spans="1:6" x14ac:dyDescent="0.25">
      <c r="F876" s="16">
        <f t="shared" si="26"/>
        <v>0</v>
      </c>
    </row>
    <row r="877" spans="1:6" x14ac:dyDescent="0.25">
      <c r="A877" s="46" t="s">
        <v>0</v>
      </c>
      <c r="B877" s="28" t="s">
        <v>1</v>
      </c>
      <c r="C877" s="321" t="s">
        <v>2</v>
      </c>
      <c r="D877" s="47" t="s">
        <v>3</v>
      </c>
      <c r="E877" s="244" t="s">
        <v>4</v>
      </c>
      <c r="F877" s="244" t="s">
        <v>5</v>
      </c>
    </row>
    <row r="878" spans="1:6" ht="30" x14ac:dyDescent="0.25">
      <c r="A878" s="13">
        <v>1</v>
      </c>
      <c r="B878" s="14" t="s">
        <v>370</v>
      </c>
      <c r="C878" s="316">
        <v>1</v>
      </c>
      <c r="D878" s="15" t="s">
        <v>407</v>
      </c>
      <c r="E878" s="16">
        <v>38000</v>
      </c>
      <c r="F878" s="16">
        <f>E878*C878</f>
        <v>38000</v>
      </c>
    </row>
    <row r="879" spans="1:6" ht="45" x14ac:dyDescent="0.25">
      <c r="A879" s="13">
        <v>2</v>
      </c>
      <c r="B879" s="14" t="s">
        <v>371</v>
      </c>
    </row>
    <row r="880" spans="1:6" ht="30" x14ac:dyDescent="0.25">
      <c r="B880" s="14" t="s">
        <v>408</v>
      </c>
      <c r="C880" s="316">
        <v>1</v>
      </c>
      <c r="D880" s="15" t="s">
        <v>407</v>
      </c>
      <c r="E880" s="16">
        <v>52000</v>
      </c>
      <c r="F880" s="16">
        <f>E880*C880</f>
        <v>52000</v>
      </c>
    </row>
    <row r="881" spans="1:6" x14ac:dyDescent="0.25">
      <c r="B881" s="14" t="s">
        <v>409</v>
      </c>
      <c r="C881" s="316">
        <v>1</v>
      </c>
      <c r="D881" s="15" t="s">
        <v>407</v>
      </c>
      <c r="E881" s="16">
        <v>42000</v>
      </c>
      <c r="F881" s="16">
        <f>E881*C881</f>
        <v>42000</v>
      </c>
    </row>
    <row r="882" spans="1:6" ht="30" x14ac:dyDescent="0.25">
      <c r="B882" s="14" t="s">
        <v>410</v>
      </c>
      <c r="C882" s="316">
        <v>1120</v>
      </c>
      <c r="D882" s="15" t="s">
        <v>31</v>
      </c>
      <c r="E882" s="16">
        <v>40</v>
      </c>
      <c r="F882" s="16">
        <f>E882*C882</f>
        <v>44800</v>
      </c>
    </row>
    <row r="883" spans="1:6" ht="30" x14ac:dyDescent="0.25">
      <c r="B883" s="14" t="s">
        <v>411</v>
      </c>
      <c r="C883" s="316">
        <v>1</v>
      </c>
      <c r="D883" s="15" t="s">
        <v>407</v>
      </c>
      <c r="E883" s="16">
        <v>18000</v>
      </c>
      <c r="F883" s="16">
        <f>E883*C883</f>
        <v>18000</v>
      </c>
    </row>
    <row r="884" spans="1:6" x14ac:dyDescent="0.25">
      <c r="B884" s="14" t="s">
        <v>375</v>
      </c>
      <c r="C884" s="316">
        <v>10</v>
      </c>
      <c r="D884" s="15" t="s">
        <v>407</v>
      </c>
      <c r="E884" s="16">
        <v>7500</v>
      </c>
      <c r="F884" s="16">
        <f>E884*C884</f>
        <v>75000</v>
      </c>
    </row>
    <row r="886" spans="1:6" ht="45" x14ac:dyDescent="0.25">
      <c r="A886" s="13">
        <v>3</v>
      </c>
      <c r="B886" s="14" t="s">
        <v>377</v>
      </c>
      <c r="C886" s="316">
        <v>3511</v>
      </c>
      <c r="D886" s="15" t="s">
        <v>31</v>
      </c>
      <c r="E886" s="16">
        <v>30</v>
      </c>
      <c r="F886" s="16">
        <f t="shared" ref="F886:F922" si="27">E886*C886</f>
        <v>105330</v>
      </c>
    </row>
    <row r="887" spans="1:6" ht="60" x14ac:dyDescent="0.25">
      <c r="A887" s="13">
        <v>4</v>
      </c>
      <c r="B887" s="14" t="s">
        <v>378</v>
      </c>
      <c r="C887" s="316">
        <v>35</v>
      </c>
      <c r="D887" s="15" t="s">
        <v>33</v>
      </c>
      <c r="E887" s="16">
        <v>2200</v>
      </c>
      <c r="F887" s="16">
        <f t="shared" si="27"/>
        <v>77000</v>
      </c>
    </row>
    <row r="888" spans="1:6" ht="45" x14ac:dyDescent="0.25">
      <c r="A888" s="13">
        <v>5</v>
      </c>
      <c r="B888" s="14" t="s">
        <v>388</v>
      </c>
      <c r="C888" s="316">
        <v>18</v>
      </c>
      <c r="D888" s="15" t="s">
        <v>33</v>
      </c>
      <c r="E888" s="16">
        <v>2400</v>
      </c>
      <c r="F888" s="16">
        <f t="shared" si="27"/>
        <v>43200</v>
      </c>
    </row>
    <row r="889" spans="1:6" ht="60" x14ac:dyDescent="0.25">
      <c r="A889" s="13">
        <v>6</v>
      </c>
      <c r="B889" s="14" t="s">
        <v>386</v>
      </c>
      <c r="C889" s="316">
        <v>56</v>
      </c>
      <c r="D889" s="15" t="s">
        <v>33</v>
      </c>
      <c r="E889" s="16">
        <v>2100</v>
      </c>
      <c r="F889" s="16">
        <f t="shared" si="27"/>
        <v>117600</v>
      </c>
    </row>
    <row r="890" spans="1:6" ht="30" x14ac:dyDescent="0.25">
      <c r="A890" s="13">
        <v>7</v>
      </c>
      <c r="B890" s="14" t="s">
        <v>387</v>
      </c>
      <c r="C890" s="316">
        <v>109</v>
      </c>
      <c r="D890" s="15" t="s">
        <v>33</v>
      </c>
      <c r="E890" s="16">
        <v>2050</v>
      </c>
      <c r="F890" s="16">
        <f t="shared" si="27"/>
        <v>223450</v>
      </c>
    </row>
    <row r="891" spans="1:6" ht="45" x14ac:dyDescent="0.25">
      <c r="A891" s="13">
        <v>8</v>
      </c>
      <c r="B891" s="14" t="s">
        <v>379</v>
      </c>
      <c r="C891" s="316">
        <v>82</v>
      </c>
      <c r="D891" s="15" t="s">
        <v>33</v>
      </c>
      <c r="E891" s="16">
        <v>2200</v>
      </c>
      <c r="F891" s="16">
        <f t="shared" si="27"/>
        <v>180400</v>
      </c>
    </row>
    <row r="892" spans="1:6" ht="30" x14ac:dyDescent="0.25">
      <c r="A892" s="13">
        <v>9</v>
      </c>
      <c r="B892" s="14" t="s">
        <v>380</v>
      </c>
      <c r="C892" s="316">
        <v>22</v>
      </c>
      <c r="D892" s="15" t="s">
        <v>33</v>
      </c>
      <c r="E892" s="16">
        <v>2350</v>
      </c>
      <c r="F892" s="16">
        <f t="shared" si="27"/>
        <v>51700</v>
      </c>
    </row>
    <row r="893" spans="1:6" ht="45" x14ac:dyDescent="0.25">
      <c r="A893" s="13">
        <v>10</v>
      </c>
      <c r="B893" s="14" t="s">
        <v>381</v>
      </c>
      <c r="C893" s="316">
        <v>564</v>
      </c>
      <c r="D893" s="15" t="s">
        <v>31</v>
      </c>
      <c r="E893" s="16">
        <v>1750</v>
      </c>
      <c r="F893" s="16">
        <f t="shared" si="27"/>
        <v>987000</v>
      </c>
    </row>
    <row r="894" spans="1:6" ht="45" x14ac:dyDescent="0.25">
      <c r="A894" s="13">
        <v>11</v>
      </c>
      <c r="B894" s="14" t="s">
        <v>396</v>
      </c>
      <c r="C894" s="316">
        <v>62</v>
      </c>
      <c r="D894" s="15" t="s">
        <v>33</v>
      </c>
      <c r="E894" s="16">
        <v>2500</v>
      </c>
      <c r="F894" s="16">
        <f t="shared" si="27"/>
        <v>155000</v>
      </c>
    </row>
    <row r="895" spans="1:6" ht="45" x14ac:dyDescent="0.25">
      <c r="A895" s="13">
        <v>12</v>
      </c>
      <c r="B895" s="14" t="s">
        <v>397</v>
      </c>
      <c r="C895" s="316">
        <v>216</v>
      </c>
      <c r="D895" s="15" t="s">
        <v>31</v>
      </c>
      <c r="E895" s="16">
        <v>1800</v>
      </c>
      <c r="F895" s="16">
        <f t="shared" si="27"/>
        <v>388800</v>
      </c>
    </row>
    <row r="896" spans="1:6" ht="75" x14ac:dyDescent="0.25">
      <c r="A896" s="13">
        <v>13</v>
      </c>
      <c r="B896" s="14" t="s">
        <v>398</v>
      </c>
      <c r="C896" s="316">
        <v>207</v>
      </c>
      <c r="D896" s="15" t="s">
        <v>33</v>
      </c>
      <c r="E896" s="16">
        <v>2200</v>
      </c>
      <c r="F896" s="16">
        <f t="shared" si="27"/>
        <v>455400</v>
      </c>
    </row>
    <row r="897" spans="1:6" ht="30" x14ac:dyDescent="0.25">
      <c r="A897" s="13">
        <v>14</v>
      </c>
      <c r="B897" s="14" t="s">
        <v>383</v>
      </c>
      <c r="C897" s="316">
        <v>22</v>
      </c>
      <c r="D897" s="15" t="s">
        <v>33</v>
      </c>
      <c r="E897" s="16">
        <v>2450</v>
      </c>
      <c r="F897" s="16">
        <f t="shared" si="27"/>
        <v>53900</v>
      </c>
    </row>
    <row r="898" spans="1:6" ht="45" x14ac:dyDescent="0.25">
      <c r="A898" s="13">
        <v>15</v>
      </c>
      <c r="B898" s="14" t="s">
        <v>399</v>
      </c>
      <c r="C898" s="316">
        <v>16</v>
      </c>
      <c r="D898" s="15" t="s">
        <v>33</v>
      </c>
      <c r="E898" s="16">
        <v>2200</v>
      </c>
      <c r="F898" s="16">
        <f t="shared" si="27"/>
        <v>35200</v>
      </c>
    </row>
    <row r="899" spans="1:6" ht="30" x14ac:dyDescent="0.25">
      <c r="A899" s="13">
        <v>16</v>
      </c>
      <c r="B899" s="14" t="s">
        <v>400</v>
      </c>
      <c r="C899" s="316">
        <v>80</v>
      </c>
      <c r="D899" s="15" t="s">
        <v>31</v>
      </c>
      <c r="E899" s="16">
        <v>1650</v>
      </c>
      <c r="F899" s="16">
        <f t="shared" si="27"/>
        <v>132000</v>
      </c>
    </row>
    <row r="900" spans="1:6" ht="45" x14ac:dyDescent="0.25">
      <c r="A900" s="13">
        <v>17</v>
      </c>
      <c r="B900" s="14" t="s">
        <v>384</v>
      </c>
      <c r="C900" s="316">
        <v>1.44</v>
      </c>
      <c r="D900" s="15" t="s">
        <v>30</v>
      </c>
      <c r="E900" s="16">
        <v>13500</v>
      </c>
      <c r="F900" s="16">
        <f t="shared" si="27"/>
        <v>19440</v>
      </c>
    </row>
    <row r="901" spans="1:6" ht="30" x14ac:dyDescent="0.25">
      <c r="A901" s="13">
        <v>18</v>
      </c>
      <c r="B901" s="14" t="s">
        <v>385</v>
      </c>
      <c r="C901" s="316">
        <v>32</v>
      </c>
      <c r="D901" s="15" t="s">
        <v>32</v>
      </c>
      <c r="E901" s="16">
        <v>3250</v>
      </c>
      <c r="F901" s="16">
        <f t="shared" si="27"/>
        <v>104000</v>
      </c>
    </row>
    <row r="902" spans="1:6" ht="60" x14ac:dyDescent="0.25">
      <c r="A902" s="13">
        <v>19</v>
      </c>
      <c r="B902" s="14" t="s">
        <v>386</v>
      </c>
      <c r="C902" s="316">
        <v>56</v>
      </c>
      <c r="D902" s="15" t="s">
        <v>33</v>
      </c>
      <c r="E902" s="16">
        <v>2200</v>
      </c>
      <c r="F902" s="16">
        <f t="shared" si="27"/>
        <v>123200</v>
      </c>
    </row>
    <row r="903" spans="1:6" ht="30" x14ac:dyDescent="0.25">
      <c r="A903" s="13">
        <v>20</v>
      </c>
      <c r="B903" s="14" t="s">
        <v>387</v>
      </c>
      <c r="C903" s="316">
        <v>109</v>
      </c>
      <c r="D903" s="15" t="s">
        <v>33</v>
      </c>
      <c r="E903" s="16">
        <v>2100</v>
      </c>
      <c r="F903" s="16">
        <f t="shared" si="27"/>
        <v>228900</v>
      </c>
    </row>
    <row r="904" spans="1:6" ht="45" x14ac:dyDescent="0.25">
      <c r="A904" s="13">
        <v>21</v>
      </c>
      <c r="B904" s="14" t="s">
        <v>388</v>
      </c>
      <c r="C904" s="316">
        <v>18</v>
      </c>
      <c r="D904" s="15" t="s">
        <v>33</v>
      </c>
      <c r="E904" s="16">
        <v>2400</v>
      </c>
      <c r="F904" s="16">
        <f t="shared" si="27"/>
        <v>43200</v>
      </c>
    </row>
    <row r="905" spans="1:6" ht="60" x14ac:dyDescent="0.25">
      <c r="A905" s="13">
        <v>22</v>
      </c>
      <c r="B905" s="14" t="s">
        <v>389</v>
      </c>
      <c r="C905" s="316">
        <v>103</v>
      </c>
      <c r="D905" s="15" t="s">
        <v>33</v>
      </c>
      <c r="E905" s="16">
        <v>2200</v>
      </c>
      <c r="F905" s="16">
        <f t="shared" si="27"/>
        <v>226600</v>
      </c>
    </row>
    <row r="906" spans="1:6" ht="30" x14ac:dyDescent="0.25">
      <c r="A906" s="13">
        <v>23</v>
      </c>
      <c r="B906" s="14" t="s">
        <v>390</v>
      </c>
      <c r="C906" s="316">
        <v>455</v>
      </c>
      <c r="D906" s="15" t="s">
        <v>31</v>
      </c>
      <c r="E906" s="16">
        <v>1800</v>
      </c>
      <c r="F906" s="16">
        <f t="shared" si="27"/>
        <v>819000</v>
      </c>
    </row>
    <row r="907" spans="1:6" ht="60" x14ac:dyDescent="0.25">
      <c r="A907" s="13">
        <v>24</v>
      </c>
      <c r="B907" s="14" t="s">
        <v>391</v>
      </c>
      <c r="C907" s="316">
        <v>6630</v>
      </c>
      <c r="D907" s="15" t="s">
        <v>31</v>
      </c>
      <c r="E907" s="16">
        <v>385</v>
      </c>
      <c r="F907" s="16">
        <f t="shared" si="27"/>
        <v>2552550</v>
      </c>
    </row>
    <row r="908" spans="1:6" ht="90" x14ac:dyDescent="0.25">
      <c r="A908" s="13">
        <v>25</v>
      </c>
      <c r="B908" s="14" t="s">
        <v>402</v>
      </c>
      <c r="C908" s="316">
        <v>1</v>
      </c>
      <c r="D908" s="15" t="s">
        <v>407</v>
      </c>
      <c r="E908" s="16">
        <v>795000</v>
      </c>
      <c r="F908" s="16">
        <f t="shared" si="27"/>
        <v>795000</v>
      </c>
    </row>
    <row r="909" spans="1:6" ht="45" x14ac:dyDescent="0.25">
      <c r="A909" s="13">
        <v>26</v>
      </c>
      <c r="B909" s="14" t="s">
        <v>392</v>
      </c>
      <c r="C909" s="316">
        <v>18292</v>
      </c>
      <c r="D909" s="15" t="s">
        <v>31</v>
      </c>
      <c r="E909" s="16">
        <v>145</v>
      </c>
      <c r="F909" s="16">
        <f t="shared" si="27"/>
        <v>2652340</v>
      </c>
    </row>
    <row r="910" spans="1:6" ht="60" x14ac:dyDescent="0.25">
      <c r="A910" s="13">
        <v>27</v>
      </c>
      <c r="B910" s="14" t="s">
        <v>393</v>
      </c>
      <c r="C910" s="316">
        <v>8100</v>
      </c>
      <c r="D910" s="15" t="s">
        <v>31</v>
      </c>
      <c r="E910" s="16">
        <v>170</v>
      </c>
      <c r="F910" s="16">
        <f t="shared" si="27"/>
        <v>1377000</v>
      </c>
    </row>
    <row r="911" spans="1:6" ht="45" x14ac:dyDescent="0.25">
      <c r="A911" s="13">
        <v>28</v>
      </c>
      <c r="B911" s="14" t="s">
        <v>394</v>
      </c>
      <c r="C911" s="316">
        <v>3445</v>
      </c>
      <c r="D911" s="15" t="s">
        <v>31</v>
      </c>
      <c r="E911" s="16">
        <v>200</v>
      </c>
      <c r="F911" s="16">
        <f t="shared" si="27"/>
        <v>689000</v>
      </c>
    </row>
    <row r="912" spans="1:6" ht="120" x14ac:dyDescent="0.25">
      <c r="A912" s="13">
        <v>29</v>
      </c>
      <c r="B912" s="14" t="s">
        <v>401</v>
      </c>
      <c r="C912" s="316">
        <v>1920</v>
      </c>
      <c r="D912" s="15" t="s">
        <v>31</v>
      </c>
      <c r="E912" s="16">
        <v>3350</v>
      </c>
      <c r="F912" s="16">
        <f t="shared" si="27"/>
        <v>6432000</v>
      </c>
    </row>
    <row r="913" spans="1:6" ht="45" x14ac:dyDescent="0.25">
      <c r="A913" s="13">
        <v>30</v>
      </c>
      <c r="B913" s="14" t="s">
        <v>323</v>
      </c>
      <c r="C913" s="316">
        <v>445</v>
      </c>
      <c r="D913" s="15" t="s">
        <v>33</v>
      </c>
      <c r="E913" s="16">
        <v>620</v>
      </c>
      <c r="F913" s="16">
        <f t="shared" si="27"/>
        <v>275900</v>
      </c>
    </row>
    <row r="914" spans="1:6" ht="90" x14ac:dyDescent="0.25">
      <c r="A914" s="13">
        <v>31</v>
      </c>
      <c r="B914" s="14" t="s">
        <v>328</v>
      </c>
      <c r="C914" s="316">
        <v>6790</v>
      </c>
      <c r="D914" s="15" t="s">
        <v>31</v>
      </c>
      <c r="E914" s="16">
        <v>665</v>
      </c>
      <c r="F914" s="16">
        <f t="shared" si="27"/>
        <v>4515350</v>
      </c>
    </row>
    <row r="915" spans="1:6" ht="90" x14ac:dyDescent="0.25">
      <c r="A915" s="13">
        <v>32</v>
      </c>
      <c r="B915" s="14" t="s">
        <v>329</v>
      </c>
      <c r="C915" s="316">
        <v>6</v>
      </c>
      <c r="D915" s="15" t="s">
        <v>330</v>
      </c>
      <c r="E915" s="16">
        <v>445000</v>
      </c>
      <c r="F915" s="16">
        <f>E915*C915</f>
        <v>2670000</v>
      </c>
    </row>
    <row r="916" spans="1:6" ht="135" x14ac:dyDescent="0.25">
      <c r="A916" s="13">
        <v>33</v>
      </c>
      <c r="B916" s="14" t="s">
        <v>325</v>
      </c>
      <c r="C916" s="316">
        <v>2892</v>
      </c>
      <c r="D916" s="15" t="s">
        <v>31</v>
      </c>
      <c r="E916" s="16">
        <v>1350</v>
      </c>
      <c r="F916" s="16">
        <f t="shared" si="27"/>
        <v>3904200</v>
      </c>
    </row>
    <row r="917" spans="1:6" ht="60" x14ac:dyDescent="0.25">
      <c r="A917" s="13">
        <v>34</v>
      </c>
      <c r="B917" s="14" t="s">
        <v>317</v>
      </c>
      <c r="C917" s="316">
        <v>280</v>
      </c>
      <c r="D917" s="15" t="s">
        <v>33</v>
      </c>
      <c r="E917" s="16">
        <v>980</v>
      </c>
      <c r="F917" s="16">
        <f t="shared" si="27"/>
        <v>274400</v>
      </c>
    </row>
    <row r="918" spans="1:6" ht="60" x14ac:dyDescent="0.25">
      <c r="A918" s="13">
        <v>35</v>
      </c>
      <c r="B918" s="14" t="s">
        <v>318</v>
      </c>
      <c r="C918" s="316">
        <v>395</v>
      </c>
      <c r="D918" s="15" t="s">
        <v>33</v>
      </c>
      <c r="E918" s="16">
        <v>980</v>
      </c>
      <c r="F918" s="16">
        <f t="shared" si="27"/>
        <v>387100</v>
      </c>
    </row>
    <row r="919" spans="1:6" x14ac:dyDescent="0.25">
      <c r="A919" s="13">
        <v>36</v>
      </c>
      <c r="B919" s="14" t="s">
        <v>395</v>
      </c>
      <c r="C919" s="316">
        <v>110</v>
      </c>
      <c r="D919" s="15" t="s">
        <v>33</v>
      </c>
      <c r="E919" s="16">
        <v>980</v>
      </c>
      <c r="F919" s="16">
        <f t="shared" si="27"/>
        <v>107800</v>
      </c>
    </row>
    <row r="920" spans="1:6" ht="75" x14ac:dyDescent="0.25">
      <c r="A920" s="13">
        <v>37</v>
      </c>
      <c r="B920" s="14" t="s">
        <v>319</v>
      </c>
      <c r="C920" s="316">
        <v>22850</v>
      </c>
      <c r="D920" s="15" t="s">
        <v>31</v>
      </c>
      <c r="E920" s="16">
        <v>180</v>
      </c>
      <c r="F920" s="16">
        <f t="shared" si="27"/>
        <v>4113000</v>
      </c>
    </row>
    <row r="921" spans="1:6" ht="30" x14ac:dyDescent="0.25">
      <c r="A921" s="13">
        <v>38</v>
      </c>
      <c r="B921" s="14" t="s">
        <v>320</v>
      </c>
      <c r="C921" s="316">
        <v>8100</v>
      </c>
      <c r="D921" s="15" t="s">
        <v>31</v>
      </c>
      <c r="E921" s="16">
        <v>95</v>
      </c>
      <c r="F921" s="16">
        <f t="shared" si="27"/>
        <v>769500</v>
      </c>
    </row>
    <row r="922" spans="1:6" ht="75" x14ac:dyDescent="0.25">
      <c r="A922" s="13">
        <v>39</v>
      </c>
      <c r="B922" s="14" t="s">
        <v>321</v>
      </c>
      <c r="C922" s="316">
        <v>345</v>
      </c>
      <c r="D922" s="15" t="s">
        <v>33</v>
      </c>
      <c r="E922" s="16">
        <v>4800</v>
      </c>
      <c r="F922" s="16">
        <f t="shared" si="27"/>
        <v>1656000</v>
      </c>
    </row>
    <row r="923" spans="1:6" ht="150" x14ac:dyDescent="0.25">
      <c r="A923" s="13">
        <v>40</v>
      </c>
      <c r="B923" s="14" t="s">
        <v>404</v>
      </c>
      <c r="C923" s="316">
        <v>1920</v>
      </c>
      <c r="D923" s="15" t="s">
        <v>31</v>
      </c>
      <c r="E923" s="16">
        <v>2400</v>
      </c>
    </row>
    <row r="924" spans="1:6" ht="135" x14ac:dyDescent="0.25">
      <c r="A924" s="13">
        <v>41</v>
      </c>
      <c r="B924" s="14" t="s">
        <v>326</v>
      </c>
    </row>
    <row r="925" spans="1:6" x14ac:dyDescent="0.25">
      <c r="B925" s="14" t="s">
        <v>309</v>
      </c>
      <c r="C925" s="316">
        <v>1</v>
      </c>
      <c r="D925" s="15" t="s">
        <v>127</v>
      </c>
      <c r="E925" s="16">
        <v>6900</v>
      </c>
    </row>
    <row r="926" spans="1:6" x14ac:dyDescent="0.25">
      <c r="B926" s="14" t="s">
        <v>310</v>
      </c>
      <c r="C926" s="316">
        <v>1</v>
      </c>
      <c r="D926" s="15" t="s">
        <v>127</v>
      </c>
      <c r="E926" s="16">
        <v>7100</v>
      </c>
    </row>
    <row r="927" spans="1:6" x14ac:dyDescent="0.25">
      <c r="B927" s="14" t="s">
        <v>311</v>
      </c>
      <c r="C927" s="316">
        <v>1</v>
      </c>
      <c r="D927" s="15" t="s">
        <v>127</v>
      </c>
      <c r="E927" s="16">
        <v>6900</v>
      </c>
    </row>
    <row r="928" spans="1:6" x14ac:dyDescent="0.25">
      <c r="B928" s="14" t="s">
        <v>312</v>
      </c>
      <c r="C928" s="316">
        <v>1</v>
      </c>
      <c r="D928" s="15" t="s">
        <v>127</v>
      </c>
      <c r="E928" s="16">
        <v>7700</v>
      </c>
    </row>
    <row r="929" spans="1:6" x14ac:dyDescent="0.25">
      <c r="B929" s="14" t="s">
        <v>313</v>
      </c>
      <c r="C929" s="316">
        <v>1</v>
      </c>
      <c r="D929" s="15" t="s">
        <v>127</v>
      </c>
      <c r="E929" s="16">
        <v>8200</v>
      </c>
    </row>
    <row r="930" spans="1:6" x14ac:dyDescent="0.25">
      <c r="B930" s="14" t="s">
        <v>314</v>
      </c>
      <c r="C930" s="316">
        <v>1</v>
      </c>
      <c r="D930" s="15" t="s">
        <v>127</v>
      </c>
      <c r="E930" s="16">
        <v>48000</v>
      </c>
    </row>
    <row r="931" spans="1:6" x14ac:dyDescent="0.25">
      <c r="B931" s="14" t="s">
        <v>315</v>
      </c>
      <c r="C931" s="316">
        <v>1</v>
      </c>
      <c r="D931" s="15" t="s">
        <v>127</v>
      </c>
      <c r="E931" s="16">
        <v>6900</v>
      </c>
    </row>
    <row r="932" spans="1:6" x14ac:dyDescent="0.25">
      <c r="B932" s="14" t="s">
        <v>316</v>
      </c>
      <c r="C932" s="316">
        <v>1</v>
      </c>
      <c r="D932" s="15" t="s">
        <v>127</v>
      </c>
      <c r="E932" s="16">
        <v>7600</v>
      </c>
    </row>
    <row r="933" spans="1:6" ht="45" x14ac:dyDescent="0.25">
      <c r="A933" s="13">
        <v>42</v>
      </c>
      <c r="B933" s="14" t="s">
        <v>403</v>
      </c>
      <c r="C933" s="316">
        <v>90</v>
      </c>
      <c r="D933" s="15" t="s">
        <v>31</v>
      </c>
      <c r="E933" s="16">
        <v>1500</v>
      </c>
      <c r="F933" s="16">
        <f>E933*C933</f>
        <v>135000</v>
      </c>
    </row>
    <row r="934" spans="1:6" ht="45" x14ac:dyDescent="0.25">
      <c r="A934" s="13">
        <v>43</v>
      </c>
      <c r="B934" s="14" t="s">
        <v>388</v>
      </c>
      <c r="C934" s="316">
        <v>18</v>
      </c>
      <c r="D934" s="15" t="s">
        <v>33</v>
      </c>
      <c r="E934" s="16">
        <v>2300</v>
      </c>
      <c r="F934" s="16">
        <f>E934*C934</f>
        <v>41400</v>
      </c>
    </row>
    <row r="935" spans="1:6" ht="90" x14ac:dyDescent="0.25">
      <c r="A935" s="13">
        <v>44</v>
      </c>
      <c r="B935" s="14" t="s">
        <v>366</v>
      </c>
      <c r="C935" s="316">
        <v>5</v>
      </c>
      <c r="D935" s="15" t="s">
        <v>85</v>
      </c>
      <c r="E935" s="16">
        <v>125000</v>
      </c>
      <c r="F935" s="16">
        <f>E935*C935</f>
        <v>625000</v>
      </c>
    </row>
    <row r="937" spans="1:6" x14ac:dyDescent="0.25">
      <c r="B937" s="426" t="s">
        <v>322</v>
      </c>
      <c r="C937" s="428"/>
    </row>
    <row r="939" spans="1:6" x14ac:dyDescent="0.25">
      <c r="B939" s="17" t="s">
        <v>10</v>
      </c>
      <c r="C939" s="31"/>
      <c r="D939" s="18"/>
      <c r="E939" s="239"/>
      <c r="F939" s="239">
        <f>SUM(F878:F935)</f>
        <v>38812660</v>
      </c>
    </row>
    <row r="941" spans="1:6" x14ac:dyDescent="0.25">
      <c r="A941" s="46" t="s">
        <v>0</v>
      </c>
      <c r="B941" s="28" t="s">
        <v>1</v>
      </c>
      <c r="C941" s="321" t="s">
        <v>2</v>
      </c>
      <c r="D941" s="47" t="s">
        <v>3</v>
      </c>
      <c r="E941" s="244" t="s">
        <v>4</v>
      </c>
      <c r="F941" s="244" t="s">
        <v>5</v>
      </c>
    </row>
    <row r="942" spans="1:6" ht="30" x14ac:dyDescent="0.25">
      <c r="A942" s="13">
        <v>1</v>
      </c>
      <c r="B942" s="14" t="s">
        <v>370</v>
      </c>
      <c r="C942" s="316">
        <v>1</v>
      </c>
      <c r="D942" s="15" t="s">
        <v>407</v>
      </c>
      <c r="E942" s="16">
        <v>38000</v>
      </c>
      <c r="F942" s="16">
        <f>E942*C942</f>
        <v>38000</v>
      </c>
    </row>
    <row r="943" spans="1:6" ht="45" x14ac:dyDescent="0.25">
      <c r="A943" s="13">
        <v>2</v>
      </c>
      <c r="B943" s="14" t="s">
        <v>371</v>
      </c>
    </row>
    <row r="944" spans="1:6" ht="30" x14ac:dyDescent="0.25">
      <c r="B944" s="14" t="s">
        <v>408</v>
      </c>
      <c r="C944" s="316">
        <v>1</v>
      </c>
      <c r="D944" s="15" t="s">
        <v>407</v>
      </c>
      <c r="E944" s="16">
        <v>52000</v>
      </c>
      <c r="F944" s="16">
        <f>E944*C944</f>
        <v>52000</v>
      </c>
    </row>
    <row r="945" spans="1:6" x14ac:dyDescent="0.25">
      <c r="B945" s="14" t="s">
        <v>409</v>
      </c>
      <c r="C945" s="316">
        <v>1</v>
      </c>
      <c r="D945" s="15" t="s">
        <v>407</v>
      </c>
      <c r="E945" s="16">
        <v>42000</v>
      </c>
      <c r="F945" s="16">
        <f>E945*C945</f>
        <v>42000</v>
      </c>
    </row>
    <row r="946" spans="1:6" ht="30" x14ac:dyDescent="0.25">
      <c r="B946" s="14" t="s">
        <v>410</v>
      </c>
      <c r="C946" s="316">
        <v>1120</v>
      </c>
      <c r="D946" s="15" t="s">
        <v>31</v>
      </c>
      <c r="E946" s="16">
        <v>40</v>
      </c>
      <c r="F946" s="16">
        <f>E946*C946</f>
        <v>44800</v>
      </c>
    </row>
    <row r="947" spans="1:6" ht="30" x14ac:dyDescent="0.25">
      <c r="B947" s="14" t="s">
        <v>411</v>
      </c>
      <c r="C947" s="316">
        <v>1</v>
      </c>
      <c r="D947" s="15" t="s">
        <v>407</v>
      </c>
      <c r="E947" s="16">
        <v>18000</v>
      </c>
      <c r="F947" s="16">
        <f>E947*C947</f>
        <v>18000</v>
      </c>
    </row>
    <row r="948" spans="1:6" x14ac:dyDescent="0.25">
      <c r="B948" s="14" t="s">
        <v>375</v>
      </c>
      <c r="C948" s="316">
        <v>10</v>
      </c>
      <c r="D948" s="15" t="s">
        <v>407</v>
      </c>
      <c r="E948" s="16">
        <v>7500</v>
      </c>
      <c r="F948" s="16">
        <f>E948*C948</f>
        <v>75000</v>
      </c>
    </row>
    <row r="950" spans="1:6" ht="45" x14ac:dyDescent="0.25">
      <c r="A950" s="13">
        <v>3</v>
      </c>
      <c r="B950" s="14" t="s">
        <v>377</v>
      </c>
      <c r="C950" s="316">
        <v>3511</v>
      </c>
      <c r="D950" s="15" t="s">
        <v>31</v>
      </c>
      <c r="E950" s="16">
        <v>30</v>
      </c>
      <c r="F950" s="16">
        <f t="shared" ref="F950:F962" si="28">E950*C950</f>
        <v>105330</v>
      </c>
    </row>
    <row r="951" spans="1:6" ht="60" x14ac:dyDescent="0.25">
      <c r="A951" s="13">
        <v>4</v>
      </c>
      <c r="B951" s="14" t="s">
        <v>378</v>
      </c>
      <c r="C951" s="316">
        <v>35</v>
      </c>
      <c r="D951" s="15" t="s">
        <v>33</v>
      </c>
      <c r="E951" s="16">
        <v>2050</v>
      </c>
      <c r="F951" s="16">
        <f t="shared" si="28"/>
        <v>71750</v>
      </c>
    </row>
    <row r="952" spans="1:6" ht="45" x14ac:dyDescent="0.25">
      <c r="A952" s="13">
        <v>5</v>
      </c>
      <c r="B952" s="14" t="s">
        <v>388</v>
      </c>
      <c r="C952" s="316">
        <v>18</v>
      </c>
      <c r="D952" s="15" t="s">
        <v>33</v>
      </c>
      <c r="E952" s="16">
        <v>2150</v>
      </c>
      <c r="F952" s="16">
        <f t="shared" si="28"/>
        <v>38700</v>
      </c>
    </row>
    <row r="953" spans="1:6" ht="60" x14ac:dyDescent="0.25">
      <c r="A953" s="13">
        <v>6</v>
      </c>
      <c r="B953" s="14" t="s">
        <v>386</v>
      </c>
      <c r="C953" s="316">
        <v>56</v>
      </c>
      <c r="D953" s="15" t="s">
        <v>33</v>
      </c>
      <c r="E953" s="16">
        <v>2050</v>
      </c>
      <c r="F953" s="16">
        <f t="shared" si="28"/>
        <v>114800</v>
      </c>
    </row>
    <row r="954" spans="1:6" ht="30" x14ac:dyDescent="0.25">
      <c r="A954" s="13">
        <v>7</v>
      </c>
      <c r="B954" s="14" t="s">
        <v>387</v>
      </c>
      <c r="C954" s="316">
        <v>109</v>
      </c>
      <c r="D954" s="15" t="s">
        <v>33</v>
      </c>
      <c r="E954" s="16">
        <v>2050</v>
      </c>
      <c r="F954" s="16">
        <f t="shared" si="28"/>
        <v>223450</v>
      </c>
    </row>
    <row r="955" spans="1:6" ht="45" x14ac:dyDescent="0.25">
      <c r="A955" s="13">
        <v>8</v>
      </c>
      <c r="B955" s="14" t="s">
        <v>379</v>
      </c>
      <c r="C955" s="316">
        <v>82</v>
      </c>
      <c r="D955" s="15" t="s">
        <v>33</v>
      </c>
      <c r="E955" s="16">
        <v>2200</v>
      </c>
      <c r="F955" s="16">
        <f t="shared" si="28"/>
        <v>180400</v>
      </c>
    </row>
    <row r="956" spans="1:6" ht="30" x14ac:dyDescent="0.25">
      <c r="A956" s="13">
        <v>9</v>
      </c>
      <c r="B956" s="14" t="s">
        <v>380</v>
      </c>
      <c r="C956" s="316">
        <v>22</v>
      </c>
      <c r="D956" s="15" t="s">
        <v>33</v>
      </c>
      <c r="E956" s="16">
        <v>2350</v>
      </c>
      <c r="F956" s="16">
        <f t="shared" si="28"/>
        <v>51700</v>
      </c>
    </row>
    <row r="957" spans="1:6" ht="45" x14ac:dyDescent="0.25">
      <c r="A957" s="13">
        <v>10</v>
      </c>
      <c r="B957" s="14" t="s">
        <v>381</v>
      </c>
      <c r="C957" s="316">
        <v>564</v>
      </c>
      <c r="D957" s="15" t="s">
        <v>31</v>
      </c>
      <c r="E957" s="16">
        <v>1700</v>
      </c>
      <c r="F957" s="16">
        <f t="shared" si="28"/>
        <v>958800</v>
      </c>
    </row>
    <row r="958" spans="1:6" ht="45" x14ac:dyDescent="0.25">
      <c r="A958" s="13">
        <v>11</v>
      </c>
      <c r="B958" s="14" t="s">
        <v>396</v>
      </c>
      <c r="C958" s="316">
        <v>62</v>
      </c>
      <c r="D958" s="15" t="s">
        <v>33</v>
      </c>
      <c r="E958" s="16">
        <v>2450</v>
      </c>
      <c r="F958" s="16">
        <f t="shared" si="28"/>
        <v>151900</v>
      </c>
    </row>
    <row r="959" spans="1:6" ht="45" x14ac:dyDescent="0.25">
      <c r="A959" s="13">
        <v>12</v>
      </c>
      <c r="B959" s="14" t="s">
        <v>397</v>
      </c>
      <c r="C959" s="316">
        <v>216</v>
      </c>
      <c r="D959" s="15" t="s">
        <v>31</v>
      </c>
      <c r="E959" s="16">
        <v>1800</v>
      </c>
      <c r="F959" s="16">
        <f t="shared" si="28"/>
        <v>388800</v>
      </c>
    </row>
    <row r="960" spans="1:6" ht="75" x14ac:dyDescent="0.25">
      <c r="A960" s="13">
        <v>13</v>
      </c>
      <c r="B960" s="14" t="s">
        <v>398</v>
      </c>
      <c r="C960" s="316">
        <v>207</v>
      </c>
      <c r="D960" s="15" t="s">
        <v>33</v>
      </c>
      <c r="E960" s="16">
        <v>2050</v>
      </c>
      <c r="F960" s="16">
        <f t="shared" si="28"/>
        <v>424350</v>
      </c>
    </row>
    <row r="961" spans="1:6" ht="30" x14ac:dyDescent="0.25">
      <c r="A961" s="13">
        <v>14</v>
      </c>
      <c r="B961" s="14" t="s">
        <v>383</v>
      </c>
      <c r="C961" s="316">
        <v>22</v>
      </c>
      <c r="D961" s="15" t="s">
        <v>33</v>
      </c>
      <c r="E961" s="16">
        <v>2350</v>
      </c>
      <c r="F961" s="16">
        <f t="shared" si="28"/>
        <v>51700</v>
      </c>
    </row>
    <row r="962" spans="1:6" ht="45" x14ac:dyDescent="0.25">
      <c r="A962" s="13">
        <v>15</v>
      </c>
      <c r="B962" s="14" t="s">
        <v>399</v>
      </c>
      <c r="C962" s="316">
        <v>16</v>
      </c>
      <c r="D962" s="15" t="s">
        <v>33</v>
      </c>
      <c r="E962" s="16">
        <v>2100</v>
      </c>
      <c r="F962" s="16">
        <f t="shared" si="28"/>
        <v>33600</v>
      </c>
    </row>
    <row r="963" spans="1:6" ht="30" x14ac:dyDescent="0.25">
      <c r="A963" s="13">
        <v>16</v>
      </c>
      <c r="B963" s="14" t="s">
        <v>400</v>
      </c>
      <c r="C963" s="316">
        <v>80</v>
      </c>
      <c r="D963" s="15" t="s">
        <v>31</v>
      </c>
      <c r="E963" s="16">
        <v>1700</v>
      </c>
      <c r="F963" s="16">
        <f>E963*C963</f>
        <v>136000</v>
      </c>
    </row>
    <row r="964" spans="1:6" ht="45" x14ac:dyDescent="0.25">
      <c r="A964" s="13">
        <v>17</v>
      </c>
      <c r="B964" s="14" t="s">
        <v>384</v>
      </c>
      <c r="C964" s="316">
        <v>1.44</v>
      </c>
      <c r="D964" s="15" t="s">
        <v>30</v>
      </c>
      <c r="E964" s="16">
        <v>14500</v>
      </c>
      <c r="F964" s="16">
        <f>E964*C964</f>
        <v>20880</v>
      </c>
    </row>
    <row r="965" spans="1:6" ht="30" x14ac:dyDescent="0.25">
      <c r="A965" s="13">
        <v>18</v>
      </c>
      <c r="B965" s="14" t="s">
        <v>385</v>
      </c>
      <c r="C965" s="316">
        <v>32</v>
      </c>
      <c r="D965" s="15" t="s">
        <v>32</v>
      </c>
      <c r="E965" s="16">
        <v>3250</v>
      </c>
      <c r="F965" s="16">
        <f t="shared" ref="F965:F986" si="29">E965*C965</f>
        <v>104000</v>
      </c>
    </row>
    <row r="966" spans="1:6" ht="60" x14ac:dyDescent="0.25">
      <c r="A966" s="13">
        <v>19</v>
      </c>
      <c r="B966" s="14" t="s">
        <v>386</v>
      </c>
      <c r="C966" s="316">
        <v>56</v>
      </c>
      <c r="D966" s="15" t="s">
        <v>33</v>
      </c>
      <c r="E966" s="16">
        <v>2100</v>
      </c>
      <c r="F966" s="16">
        <f t="shared" si="29"/>
        <v>117600</v>
      </c>
    </row>
    <row r="967" spans="1:6" ht="30" x14ac:dyDescent="0.25">
      <c r="A967" s="13">
        <v>20</v>
      </c>
      <c r="B967" s="14" t="s">
        <v>387</v>
      </c>
      <c r="C967" s="316">
        <v>109</v>
      </c>
      <c r="D967" s="15" t="s">
        <v>33</v>
      </c>
      <c r="E967" s="16">
        <v>2050</v>
      </c>
      <c r="F967" s="16">
        <f t="shared" si="29"/>
        <v>223450</v>
      </c>
    </row>
    <row r="968" spans="1:6" ht="45" x14ac:dyDescent="0.25">
      <c r="A968" s="13">
        <v>21</v>
      </c>
      <c r="B968" s="14" t="s">
        <v>388</v>
      </c>
      <c r="C968" s="316">
        <v>18</v>
      </c>
      <c r="D968" s="15" t="s">
        <v>33</v>
      </c>
      <c r="E968" s="16">
        <v>2300</v>
      </c>
      <c r="F968" s="16">
        <f t="shared" si="29"/>
        <v>41400</v>
      </c>
    </row>
    <row r="969" spans="1:6" ht="60" x14ac:dyDescent="0.25">
      <c r="A969" s="13">
        <v>22</v>
      </c>
      <c r="B969" s="14" t="s">
        <v>389</v>
      </c>
      <c r="C969" s="316">
        <v>103</v>
      </c>
      <c r="D969" s="15" t="s">
        <v>33</v>
      </c>
      <c r="E969" s="16">
        <v>2100</v>
      </c>
      <c r="F969" s="16">
        <f t="shared" si="29"/>
        <v>216300</v>
      </c>
    </row>
    <row r="970" spans="1:6" ht="30" x14ac:dyDescent="0.25">
      <c r="A970" s="13">
        <v>23</v>
      </c>
      <c r="B970" s="14" t="s">
        <v>390</v>
      </c>
      <c r="C970" s="316">
        <v>455</v>
      </c>
      <c r="D970" s="15" t="s">
        <v>31</v>
      </c>
      <c r="E970" s="16">
        <v>1700</v>
      </c>
      <c r="F970" s="16">
        <f t="shared" si="29"/>
        <v>773500</v>
      </c>
    </row>
    <row r="971" spans="1:6" ht="60" x14ac:dyDescent="0.25">
      <c r="A971" s="13">
        <v>24</v>
      </c>
      <c r="B971" s="14" t="s">
        <v>391</v>
      </c>
      <c r="C971" s="316">
        <v>6630</v>
      </c>
      <c r="D971" s="15" t="s">
        <v>31</v>
      </c>
      <c r="E971" s="16">
        <v>365</v>
      </c>
      <c r="F971" s="16">
        <f t="shared" si="29"/>
        <v>2419950</v>
      </c>
    </row>
    <row r="972" spans="1:6" ht="90" x14ac:dyDescent="0.25">
      <c r="A972" s="13">
        <v>25</v>
      </c>
      <c r="B972" s="14" t="s">
        <v>402</v>
      </c>
      <c r="C972" s="316">
        <v>1</v>
      </c>
      <c r="D972" s="15" t="s">
        <v>407</v>
      </c>
      <c r="E972" s="16">
        <v>795000</v>
      </c>
      <c r="F972" s="16">
        <f t="shared" si="29"/>
        <v>795000</v>
      </c>
    </row>
    <row r="973" spans="1:6" ht="45" x14ac:dyDescent="0.25">
      <c r="A973" s="13">
        <v>26</v>
      </c>
      <c r="B973" s="14" t="s">
        <v>392</v>
      </c>
      <c r="C973" s="316">
        <v>18292</v>
      </c>
      <c r="D973" s="15" t="s">
        <v>31</v>
      </c>
      <c r="E973" s="16">
        <v>145</v>
      </c>
      <c r="F973" s="16">
        <f t="shared" si="29"/>
        <v>2652340</v>
      </c>
    </row>
    <row r="974" spans="1:6" ht="60" x14ac:dyDescent="0.25">
      <c r="A974" s="13">
        <v>27</v>
      </c>
      <c r="B974" s="14" t="s">
        <v>393</v>
      </c>
      <c r="C974" s="316">
        <v>8100</v>
      </c>
      <c r="D974" s="15" t="s">
        <v>31</v>
      </c>
      <c r="E974" s="16">
        <v>170</v>
      </c>
      <c r="F974" s="16">
        <f t="shared" si="29"/>
        <v>1377000</v>
      </c>
    </row>
    <row r="975" spans="1:6" ht="45" x14ac:dyDescent="0.25">
      <c r="A975" s="13">
        <v>28</v>
      </c>
      <c r="B975" s="14" t="s">
        <v>394</v>
      </c>
      <c r="C975" s="316">
        <v>3445</v>
      </c>
      <c r="D975" s="15" t="s">
        <v>31</v>
      </c>
      <c r="E975" s="16">
        <v>190</v>
      </c>
      <c r="F975" s="16">
        <f t="shared" si="29"/>
        <v>654550</v>
      </c>
    </row>
    <row r="976" spans="1:6" ht="120" x14ac:dyDescent="0.25">
      <c r="A976" s="13">
        <v>29</v>
      </c>
      <c r="B976" s="14" t="s">
        <v>401</v>
      </c>
      <c r="C976" s="316">
        <v>1920</v>
      </c>
      <c r="D976" s="15" t="s">
        <v>31</v>
      </c>
      <c r="E976" s="16">
        <v>3350</v>
      </c>
      <c r="F976" s="16">
        <f t="shared" si="29"/>
        <v>6432000</v>
      </c>
    </row>
    <row r="977" spans="1:6" ht="45" x14ac:dyDescent="0.25">
      <c r="A977" s="13">
        <v>30</v>
      </c>
      <c r="B977" s="14" t="s">
        <v>323</v>
      </c>
      <c r="C977" s="316">
        <v>445</v>
      </c>
      <c r="D977" s="15" t="s">
        <v>33</v>
      </c>
      <c r="E977" s="16">
        <v>620</v>
      </c>
      <c r="F977" s="16">
        <f t="shared" si="29"/>
        <v>275900</v>
      </c>
    </row>
    <row r="978" spans="1:6" ht="90" x14ac:dyDescent="0.25">
      <c r="A978" s="13">
        <v>31</v>
      </c>
      <c r="B978" s="14" t="s">
        <v>328</v>
      </c>
      <c r="C978" s="316">
        <v>6790</v>
      </c>
      <c r="D978" s="15" t="s">
        <v>31</v>
      </c>
      <c r="E978" s="16">
        <v>665</v>
      </c>
      <c r="F978" s="16">
        <f t="shared" si="29"/>
        <v>4515350</v>
      </c>
    </row>
    <row r="979" spans="1:6" ht="90" x14ac:dyDescent="0.25">
      <c r="A979" s="13">
        <v>32</v>
      </c>
      <c r="B979" s="14" t="s">
        <v>329</v>
      </c>
      <c r="C979" s="316">
        <v>6</v>
      </c>
      <c r="D979" s="15" t="s">
        <v>330</v>
      </c>
      <c r="E979" s="16">
        <v>445000</v>
      </c>
      <c r="F979" s="16">
        <f t="shared" si="29"/>
        <v>2670000</v>
      </c>
    </row>
    <row r="980" spans="1:6" ht="135" x14ac:dyDescent="0.25">
      <c r="A980" s="13">
        <v>33</v>
      </c>
      <c r="B980" s="14" t="s">
        <v>325</v>
      </c>
      <c r="C980" s="316">
        <v>2892</v>
      </c>
      <c r="D980" s="15" t="s">
        <v>31</v>
      </c>
      <c r="E980" s="16">
        <v>1350</v>
      </c>
      <c r="F980" s="16">
        <f t="shared" si="29"/>
        <v>3904200</v>
      </c>
    </row>
    <row r="981" spans="1:6" ht="60" x14ac:dyDescent="0.25">
      <c r="A981" s="13">
        <v>34</v>
      </c>
      <c r="B981" s="14" t="s">
        <v>317</v>
      </c>
      <c r="C981" s="316">
        <v>280</v>
      </c>
      <c r="D981" s="15" t="s">
        <v>33</v>
      </c>
      <c r="E981" s="16">
        <v>980</v>
      </c>
      <c r="F981" s="16">
        <f t="shared" si="29"/>
        <v>274400</v>
      </c>
    </row>
    <row r="982" spans="1:6" ht="60" x14ac:dyDescent="0.25">
      <c r="A982" s="13">
        <v>35</v>
      </c>
      <c r="B982" s="14" t="s">
        <v>318</v>
      </c>
      <c r="C982" s="316">
        <v>395</v>
      </c>
      <c r="D982" s="15" t="s">
        <v>33</v>
      </c>
      <c r="E982" s="16">
        <v>980</v>
      </c>
      <c r="F982" s="16">
        <f t="shared" si="29"/>
        <v>387100</v>
      </c>
    </row>
    <row r="983" spans="1:6" x14ac:dyDescent="0.25">
      <c r="A983" s="13">
        <v>36</v>
      </c>
      <c r="B983" s="14" t="s">
        <v>395</v>
      </c>
      <c r="C983" s="316">
        <v>110</v>
      </c>
      <c r="D983" s="15" t="s">
        <v>33</v>
      </c>
      <c r="E983" s="16">
        <v>980</v>
      </c>
      <c r="F983" s="16">
        <f t="shared" si="29"/>
        <v>107800</v>
      </c>
    </row>
    <row r="984" spans="1:6" ht="75" x14ac:dyDescent="0.25">
      <c r="A984" s="13">
        <v>37</v>
      </c>
      <c r="B984" s="14" t="s">
        <v>319</v>
      </c>
      <c r="C984" s="316">
        <v>22850</v>
      </c>
      <c r="D984" s="15" t="s">
        <v>31</v>
      </c>
      <c r="E984" s="16">
        <v>180</v>
      </c>
      <c r="F984" s="16">
        <f t="shared" si="29"/>
        <v>4113000</v>
      </c>
    </row>
    <row r="985" spans="1:6" ht="30" x14ac:dyDescent="0.25">
      <c r="A985" s="13">
        <v>38</v>
      </c>
      <c r="B985" s="14" t="s">
        <v>320</v>
      </c>
      <c r="C985" s="316">
        <v>8100</v>
      </c>
      <c r="D985" s="15" t="s">
        <v>31</v>
      </c>
      <c r="E985" s="16">
        <v>95</v>
      </c>
      <c r="F985" s="16">
        <f t="shared" si="29"/>
        <v>769500</v>
      </c>
    </row>
    <row r="986" spans="1:6" ht="75" x14ac:dyDescent="0.25">
      <c r="A986" s="13">
        <v>39</v>
      </c>
      <c r="B986" s="14" t="s">
        <v>321</v>
      </c>
      <c r="C986" s="316">
        <v>345</v>
      </c>
      <c r="D986" s="15" t="s">
        <v>33</v>
      </c>
      <c r="E986" s="16">
        <v>4800</v>
      </c>
      <c r="F986" s="16">
        <f t="shared" si="29"/>
        <v>1656000</v>
      </c>
    </row>
    <row r="987" spans="1:6" ht="150" x14ac:dyDescent="0.25">
      <c r="A987" s="13">
        <v>40</v>
      </c>
      <c r="B987" s="14" t="s">
        <v>404</v>
      </c>
      <c r="C987" s="316">
        <v>1920</v>
      </c>
      <c r="D987" s="15" t="s">
        <v>31</v>
      </c>
      <c r="E987" s="16">
        <v>2400</v>
      </c>
    </row>
    <row r="988" spans="1:6" ht="135" x14ac:dyDescent="0.25">
      <c r="A988" s="13">
        <v>41</v>
      </c>
      <c r="B988" s="14" t="s">
        <v>326</v>
      </c>
    </row>
    <row r="989" spans="1:6" x14ac:dyDescent="0.25">
      <c r="B989" s="14" t="s">
        <v>309</v>
      </c>
      <c r="C989" s="316">
        <v>1</v>
      </c>
      <c r="D989" s="15" t="s">
        <v>127</v>
      </c>
      <c r="E989" s="16">
        <v>6900</v>
      </c>
    </row>
    <row r="990" spans="1:6" x14ac:dyDescent="0.25">
      <c r="B990" s="14" t="s">
        <v>310</v>
      </c>
      <c r="C990" s="316">
        <v>1</v>
      </c>
      <c r="D990" s="15" t="s">
        <v>127</v>
      </c>
      <c r="E990" s="16">
        <v>7100</v>
      </c>
    </row>
    <row r="991" spans="1:6" x14ac:dyDescent="0.25">
      <c r="B991" s="14" t="s">
        <v>311</v>
      </c>
      <c r="C991" s="316">
        <v>1</v>
      </c>
      <c r="D991" s="15" t="s">
        <v>127</v>
      </c>
      <c r="E991" s="16">
        <v>6900</v>
      </c>
    </row>
    <row r="992" spans="1:6" x14ac:dyDescent="0.25">
      <c r="B992" s="14" t="s">
        <v>312</v>
      </c>
      <c r="C992" s="316">
        <v>1</v>
      </c>
      <c r="D992" s="15" t="s">
        <v>127</v>
      </c>
      <c r="E992" s="16">
        <v>7700</v>
      </c>
    </row>
    <row r="993" spans="1:6" x14ac:dyDescent="0.25">
      <c r="B993" s="14" t="s">
        <v>313</v>
      </c>
      <c r="C993" s="316">
        <v>1</v>
      </c>
      <c r="D993" s="15" t="s">
        <v>127</v>
      </c>
      <c r="E993" s="16">
        <v>8200</v>
      </c>
    </row>
    <row r="994" spans="1:6" x14ac:dyDescent="0.25">
      <c r="B994" s="14" t="s">
        <v>314</v>
      </c>
      <c r="C994" s="316">
        <v>1</v>
      </c>
      <c r="D994" s="15" t="s">
        <v>127</v>
      </c>
      <c r="E994" s="16">
        <v>48000</v>
      </c>
    </row>
    <row r="995" spans="1:6" x14ac:dyDescent="0.25">
      <c r="B995" s="14" t="s">
        <v>315</v>
      </c>
      <c r="C995" s="316">
        <v>1</v>
      </c>
      <c r="D995" s="15" t="s">
        <v>127</v>
      </c>
      <c r="E995" s="16">
        <v>6900</v>
      </c>
    </row>
    <row r="996" spans="1:6" x14ac:dyDescent="0.25">
      <c r="B996" s="14" t="s">
        <v>316</v>
      </c>
      <c r="C996" s="316">
        <v>1</v>
      </c>
      <c r="D996" s="15" t="s">
        <v>127</v>
      </c>
      <c r="E996" s="16">
        <v>7600</v>
      </c>
    </row>
    <row r="997" spans="1:6" ht="45" x14ac:dyDescent="0.25">
      <c r="A997" s="13">
        <v>42</v>
      </c>
      <c r="B997" s="14" t="s">
        <v>403</v>
      </c>
      <c r="C997" s="316">
        <v>90</v>
      </c>
      <c r="D997" s="15" t="s">
        <v>31</v>
      </c>
      <c r="E997" s="16">
        <v>1500</v>
      </c>
      <c r="F997" s="16">
        <f>E997*C997</f>
        <v>135000</v>
      </c>
    </row>
    <row r="998" spans="1:6" ht="45" x14ac:dyDescent="0.25">
      <c r="A998" s="13">
        <v>43</v>
      </c>
      <c r="B998" s="14" t="s">
        <v>388</v>
      </c>
      <c r="C998" s="316">
        <v>18</v>
      </c>
      <c r="D998" s="15" t="s">
        <v>33</v>
      </c>
      <c r="E998" s="16">
        <v>2300</v>
      </c>
      <c r="F998" s="16">
        <f>E998*C998</f>
        <v>41400</v>
      </c>
    </row>
    <row r="999" spans="1:6" ht="90" x14ac:dyDescent="0.25">
      <c r="A999" s="13">
        <v>44</v>
      </c>
      <c r="B999" s="14" t="s">
        <v>366</v>
      </c>
      <c r="C999" s="316">
        <v>5</v>
      </c>
      <c r="D999" s="15" t="s">
        <v>85</v>
      </c>
      <c r="E999" s="16">
        <v>125000</v>
      </c>
      <c r="F999" s="16">
        <f>E999*C999</f>
        <v>625000</v>
      </c>
    </row>
    <row r="1001" spans="1:6" x14ac:dyDescent="0.25">
      <c r="B1001" s="426" t="s">
        <v>322</v>
      </c>
      <c r="C1001" s="428"/>
    </row>
    <row r="1003" spans="1:6" x14ac:dyDescent="0.25">
      <c r="B1003" s="17" t="s">
        <v>10</v>
      </c>
      <c r="C1003" s="31"/>
      <c r="D1003" s="18"/>
      <c r="E1003" s="239"/>
      <c r="F1003" s="239">
        <f>SUM(F942:F999)</f>
        <v>38503700</v>
      </c>
    </row>
    <row r="1005" spans="1:6" x14ac:dyDescent="0.25">
      <c r="A1005" s="46" t="s">
        <v>0</v>
      </c>
      <c r="B1005" s="28" t="s">
        <v>1</v>
      </c>
      <c r="C1005" s="321" t="s">
        <v>2</v>
      </c>
      <c r="D1005" s="47" t="s">
        <v>3</v>
      </c>
      <c r="E1005" s="244" t="s">
        <v>4</v>
      </c>
      <c r="F1005" s="244" t="s">
        <v>5</v>
      </c>
    </row>
    <row r="1006" spans="1:6" ht="30" x14ac:dyDescent="0.25">
      <c r="A1006" s="13">
        <v>1</v>
      </c>
      <c r="B1006" s="14" t="s">
        <v>432</v>
      </c>
      <c r="C1006" s="316">
        <v>744</v>
      </c>
      <c r="D1006" s="15" t="s">
        <v>9</v>
      </c>
      <c r="E1006" s="16">
        <v>60</v>
      </c>
      <c r="F1006" s="16">
        <f t="shared" ref="F1006:F1011" si="30">E1006*C1006</f>
        <v>44640</v>
      </c>
    </row>
    <row r="1007" spans="1:6" ht="45" x14ac:dyDescent="0.25">
      <c r="A1007" s="13">
        <v>2</v>
      </c>
      <c r="B1007" s="14" t="s">
        <v>433</v>
      </c>
      <c r="C1007" s="316">
        <v>6.82</v>
      </c>
      <c r="D1007" s="15" t="s">
        <v>30</v>
      </c>
      <c r="E1007" s="16">
        <v>68000</v>
      </c>
      <c r="F1007" s="16">
        <f t="shared" si="30"/>
        <v>463760</v>
      </c>
    </row>
    <row r="1008" spans="1:6" ht="45" x14ac:dyDescent="0.25">
      <c r="A1008" s="13">
        <v>3</v>
      </c>
      <c r="B1008" s="14" t="s">
        <v>434</v>
      </c>
      <c r="C1008" s="316">
        <v>1</v>
      </c>
      <c r="D1008" s="15" t="s">
        <v>11</v>
      </c>
      <c r="E1008" s="16">
        <v>159500</v>
      </c>
      <c r="F1008" s="16">
        <f t="shared" si="30"/>
        <v>159500</v>
      </c>
    </row>
    <row r="1009" spans="1:6" ht="30" x14ac:dyDescent="0.25">
      <c r="A1009" s="13">
        <v>4</v>
      </c>
      <c r="B1009" s="14" t="s">
        <v>435</v>
      </c>
      <c r="C1009" s="316">
        <v>1450</v>
      </c>
      <c r="D1009" s="15" t="s">
        <v>9</v>
      </c>
      <c r="E1009" s="16">
        <v>160</v>
      </c>
      <c r="F1009" s="16">
        <f t="shared" si="30"/>
        <v>232000</v>
      </c>
    </row>
    <row r="1010" spans="1:6" ht="30" x14ac:dyDescent="0.25">
      <c r="A1010" s="13">
        <v>5</v>
      </c>
      <c r="B1010" s="14" t="s">
        <v>436</v>
      </c>
      <c r="C1010" s="316">
        <v>34</v>
      </c>
      <c r="D1010" s="15" t="s">
        <v>33</v>
      </c>
      <c r="E1010" s="16">
        <v>3800</v>
      </c>
      <c r="F1010" s="16">
        <f t="shared" si="30"/>
        <v>129200</v>
      </c>
    </row>
    <row r="1011" spans="1:6" ht="45" x14ac:dyDescent="0.25">
      <c r="A1011" s="13">
        <v>6</v>
      </c>
      <c r="B1011" s="14" t="s">
        <v>437</v>
      </c>
      <c r="C1011" s="316">
        <v>4950</v>
      </c>
      <c r="D1011" s="15" t="s">
        <v>9</v>
      </c>
      <c r="E1011" s="16">
        <v>140</v>
      </c>
      <c r="F1011" s="16">
        <f t="shared" si="30"/>
        <v>693000</v>
      </c>
    </row>
    <row r="1013" spans="1:6" ht="15.75" x14ac:dyDescent="0.25">
      <c r="B1013" s="35" t="s">
        <v>10</v>
      </c>
      <c r="C1013" s="317"/>
      <c r="D1013" s="36"/>
      <c r="E1013" s="240"/>
      <c r="F1013" s="240">
        <f>SUM(F1006:F1011)</f>
        <v>1722100</v>
      </c>
    </row>
    <row r="1015" spans="1:6" x14ac:dyDescent="0.25">
      <c r="A1015" s="46" t="s">
        <v>0</v>
      </c>
      <c r="B1015" s="28" t="s">
        <v>1</v>
      </c>
      <c r="C1015" s="321" t="s">
        <v>2</v>
      </c>
      <c r="D1015" s="47" t="s">
        <v>3</v>
      </c>
      <c r="E1015" s="244" t="s">
        <v>4</v>
      </c>
      <c r="F1015" s="244" t="s">
        <v>5</v>
      </c>
    </row>
    <row r="1016" spans="1:6" ht="75" x14ac:dyDescent="0.25">
      <c r="A1016" s="13">
        <v>1</v>
      </c>
      <c r="B1016" s="14" t="s">
        <v>438</v>
      </c>
      <c r="C1016" s="316">
        <v>110</v>
      </c>
      <c r="D1016" s="15" t="s">
        <v>33</v>
      </c>
      <c r="E1016" s="16">
        <v>1850</v>
      </c>
      <c r="F1016" s="16">
        <f>C1016*E1016</f>
        <v>203500</v>
      </c>
    </row>
    <row r="1017" spans="1:6" ht="90" x14ac:dyDescent="0.25">
      <c r="A1017" s="13">
        <v>2</v>
      </c>
      <c r="B1017" s="14" t="s">
        <v>439</v>
      </c>
      <c r="C1017" s="316">
        <v>450</v>
      </c>
      <c r="D1017" s="15" t="s">
        <v>31</v>
      </c>
      <c r="E1017" s="16">
        <v>1550</v>
      </c>
      <c r="F1017" s="16">
        <f>E1017*C1017</f>
        <v>697500</v>
      </c>
    </row>
    <row r="1019" spans="1:6" x14ac:dyDescent="0.25">
      <c r="B1019" s="17" t="s">
        <v>10</v>
      </c>
      <c r="C1019" s="31"/>
      <c r="D1019" s="18"/>
      <c r="E1019" s="239"/>
      <c r="F1019" s="239">
        <f>SUM(F1016:F1017)</f>
        <v>901000</v>
      </c>
    </row>
    <row r="1021" spans="1:6" x14ac:dyDescent="0.25">
      <c r="A1021" s="46" t="s">
        <v>0</v>
      </c>
      <c r="B1021" s="28" t="s">
        <v>1</v>
      </c>
      <c r="C1021" s="321" t="s">
        <v>2</v>
      </c>
      <c r="D1021" s="47" t="s">
        <v>3</v>
      </c>
      <c r="E1021" s="244" t="s">
        <v>4</v>
      </c>
      <c r="F1021" s="244" t="s">
        <v>5</v>
      </c>
    </row>
    <row r="1022" spans="1:6" ht="75" x14ac:dyDescent="0.25">
      <c r="A1022" s="13">
        <v>1</v>
      </c>
      <c r="B1022" s="14" t="s">
        <v>440</v>
      </c>
      <c r="C1022" s="316">
        <v>55</v>
      </c>
      <c r="D1022" s="15" t="s">
        <v>33</v>
      </c>
      <c r="E1022" s="16">
        <v>1900</v>
      </c>
      <c r="F1022" s="16">
        <f>E1022*C1022</f>
        <v>104500</v>
      </c>
    </row>
    <row r="1023" spans="1:6" ht="75" x14ac:dyDescent="0.25">
      <c r="A1023" s="13">
        <v>2</v>
      </c>
      <c r="B1023" s="14" t="s">
        <v>441</v>
      </c>
      <c r="C1023" s="316">
        <v>147</v>
      </c>
      <c r="D1023" s="15" t="s">
        <v>33</v>
      </c>
      <c r="E1023" s="16">
        <v>1850</v>
      </c>
      <c r="F1023" s="16">
        <f t="shared" ref="F1023:F1086" si="31">E1023*C1023</f>
        <v>271950</v>
      </c>
    </row>
    <row r="1024" spans="1:6" ht="90" x14ac:dyDescent="0.25">
      <c r="A1024" s="13">
        <v>3</v>
      </c>
      <c r="B1024" s="14" t="s">
        <v>442</v>
      </c>
      <c r="C1024" s="316">
        <v>780</v>
      </c>
      <c r="D1024" s="15" t="s">
        <v>31</v>
      </c>
      <c r="E1024" s="16">
        <v>1550</v>
      </c>
      <c r="F1024" s="16">
        <f t="shared" si="31"/>
        <v>1209000</v>
      </c>
    </row>
    <row r="1026" spans="1:6" x14ac:dyDescent="0.25">
      <c r="B1026" s="17" t="s">
        <v>10</v>
      </c>
      <c r="C1026" s="31"/>
      <c r="D1026" s="18"/>
      <c r="E1026" s="239"/>
      <c r="F1026" s="239">
        <f>SUM(F1022:F1024)</f>
        <v>1585450</v>
      </c>
    </row>
    <row r="1028" spans="1:6" x14ac:dyDescent="0.25">
      <c r="A1028" s="46" t="s">
        <v>446</v>
      </c>
      <c r="B1028" s="28" t="s">
        <v>1</v>
      </c>
      <c r="C1028" s="321" t="s">
        <v>2</v>
      </c>
      <c r="D1028" s="47" t="s">
        <v>3</v>
      </c>
      <c r="E1028" s="244" t="s">
        <v>4</v>
      </c>
      <c r="F1028" s="244" t="s">
        <v>5</v>
      </c>
    </row>
    <row r="1029" spans="1:6" ht="45" x14ac:dyDescent="0.25">
      <c r="A1029" s="13">
        <v>1</v>
      </c>
      <c r="B1029" s="14" t="s">
        <v>443</v>
      </c>
      <c r="C1029" s="316">
        <v>1</v>
      </c>
      <c r="D1029" s="15" t="s">
        <v>11</v>
      </c>
      <c r="E1029" s="16">
        <v>144000</v>
      </c>
      <c r="F1029" s="16">
        <f t="shared" si="31"/>
        <v>144000</v>
      </c>
    </row>
    <row r="1030" spans="1:6" ht="60" x14ac:dyDescent="0.25">
      <c r="A1030" s="13">
        <v>2</v>
      </c>
      <c r="B1030" s="14" t="s">
        <v>444</v>
      </c>
      <c r="C1030" s="316">
        <v>6</v>
      </c>
      <c r="D1030" s="15" t="s">
        <v>445</v>
      </c>
      <c r="E1030" s="16">
        <v>85000</v>
      </c>
      <c r="F1030" s="16">
        <f t="shared" si="31"/>
        <v>510000</v>
      </c>
    </row>
    <row r="1032" spans="1:6" x14ac:dyDescent="0.25">
      <c r="B1032" s="17" t="s">
        <v>224</v>
      </c>
      <c r="C1032" s="31"/>
      <c r="D1032" s="18"/>
      <c r="E1032" s="239"/>
      <c r="F1032" s="239">
        <f>SUM(F1030,F1029)</f>
        <v>654000</v>
      </c>
    </row>
    <row r="1034" spans="1:6" x14ac:dyDescent="0.25">
      <c r="A1034" s="46" t="s">
        <v>0</v>
      </c>
      <c r="B1034" s="28" t="s">
        <v>1</v>
      </c>
      <c r="C1034" s="321" t="s">
        <v>2</v>
      </c>
      <c r="D1034" s="47" t="s">
        <v>3</v>
      </c>
      <c r="E1034" s="244" t="s">
        <v>4</v>
      </c>
      <c r="F1034" s="244" t="s">
        <v>5</v>
      </c>
    </row>
    <row r="1035" spans="1:6" ht="60" x14ac:dyDescent="0.25">
      <c r="A1035" s="13">
        <v>1</v>
      </c>
      <c r="B1035" s="14" t="s">
        <v>447</v>
      </c>
      <c r="C1035" s="316">
        <v>6150</v>
      </c>
      <c r="D1035" s="15" t="s">
        <v>9</v>
      </c>
      <c r="E1035" s="16">
        <v>80</v>
      </c>
      <c r="F1035" s="16">
        <f t="shared" si="31"/>
        <v>492000</v>
      </c>
    </row>
    <row r="1036" spans="1:6" ht="60" x14ac:dyDescent="0.25">
      <c r="A1036" s="13">
        <v>2</v>
      </c>
      <c r="B1036" s="14" t="s">
        <v>448</v>
      </c>
      <c r="C1036" s="316">
        <v>2661</v>
      </c>
      <c r="D1036" s="15" t="s">
        <v>9</v>
      </c>
      <c r="E1036" s="16">
        <v>90</v>
      </c>
      <c r="F1036" s="16">
        <f t="shared" si="31"/>
        <v>239490</v>
      </c>
    </row>
    <row r="1037" spans="1:6" ht="45" x14ac:dyDescent="0.25">
      <c r="A1037" s="13">
        <v>3</v>
      </c>
      <c r="B1037" s="14" t="s">
        <v>449</v>
      </c>
      <c r="C1037" s="316">
        <v>2123</v>
      </c>
      <c r="D1037" s="15" t="s">
        <v>9</v>
      </c>
      <c r="E1037" s="16">
        <v>95</v>
      </c>
      <c r="F1037" s="16">
        <f t="shared" si="31"/>
        <v>201685</v>
      </c>
    </row>
    <row r="1038" spans="1:6" ht="30" x14ac:dyDescent="0.25">
      <c r="A1038" s="13">
        <v>4</v>
      </c>
      <c r="B1038" s="14" t="s">
        <v>450</v>
      </c>
      <c r="C1038" s="316">
        <v>1</v>
      </c>
      <c r="D1038" s="15" t="s">
        <v>11</v>
      </c>
      <c r="E1038" s="16">
        <v>42000</v>
      </c>
      <c r="F1038" s="16">
        <f t="shared" si="31"/>
        <v>42000</v>
      </c>
    </row>
    <row r="1039" spans="1:6" ht="45" x14ac:dyDescent="0.25">
      <c r="A1039" s="13">
        <v>5</v>
      </c>
      <c r="B1039" s="14" t="s">
        <v>451</v>
      </c>
      <c r="C1039" s="316">
        <v>1</v>
      </c>
      <c r="D1039" s="15" t="s">
        <v>11</v>
      </c>
      <c r="E1039" s="16">
        <v>95000</v>
      </c>
      <c r="F1039" s="16">
        <f t="shared" si="31"/>
        <v>95000</v>
      </c>
    </row>
    <row r="1040" spans="1:6" ht="45" x14ac:dyDescent="0.25">
      <c r="A1040" s="13">
        <v>6</v>
      </c>
      <c r="B1040" s="14" t="s">
        <v>452</v>
      </c>
      <c r="C1040" s="316">
        <v>1</v>
      </c>
      <c r="D1040" s="15" t="s">
        <v>11</v>
      </c>
      <c r="E1040" s="16">
        <v>125000</v>
      </c>
      <c r="F1040" s="16">
        <f t="shared" si="31"/>
        <v>125000</v>
      </c>
    </row>
    <row r="1041" spans="1:6" ht="75" x14ac:dyDescent="0.25">
      <c r="A1041" s="13">
        <v>7</v>
      </c>
      <c r="B1041" s="14" t="s">
        <v>453</v>
      </c>
      <c r="C1041" s="316">
        <v>1</v>
      </c>
      <c r="D1041" s="15" t="s">
        <v>11</v>
      </c>
      <c r="E1041" s="16">
        <v>265000</v>
      </c>
      <c r="F1041" s="16">
        <f t="shared" si="31"/>
        <v>265000</v>
      </c>
    </row>
    <row r="1042" spans="1:6" ht="45" x14ac:dyDescent="0.25">
      <c r="A1042" s="13">
        <v>8</v>
      </c>
      <c r="B1042" s="14" t="s">
        <v>454</v>
      </c>
      <c r="C1042" s="316">
        <v>8</v>
      </c>
      <c r="D1042" s="15" t="s">
        <v>127</v>
      </c>
      <c r="E1042" s="16">
        <v>20785</v>
      </c>
      <c r="F1042" s="16">
        <f t="shared" si="31"/>
        <v>166280</v>
      </c>
    </row>
    <row r="1044" spans="1:6" ht="15.75" x14ac:dyDescent="0.25">
      <c r="B1044" s="35" t="s">
        <v>10</v>
      </c>
      <c r="C1044" s="317"/>
      <c r="D1044" s="36"/>
      <c r="E1044" s="240"/>
      <c r="F1044" s="240">
        <f>SUM(F1035:F1036,F1038,F1042,F1042,F1041,F1040,F1039,F1037)</f>
        <v>1792735</v>
      </c>
    </row>
    <row r="1046" spans="1:6" x14ac:dyDescent="0.25">
      <c r="A1046" s="46" t="s">
        <v>0</v>
      </c>
      <c r="B1046" s="28" t="s">
        <v>1</v>
      </c>
      <c r="C1046" s="321" t="s">
        <v>2</v>
      </c>
      <c r="D1046" s="47" t="s">
        <v>3</v>
      </c>
      <c r="E1046" s="244" t="s">
        <v>4</v>
      </c>
      <c r="F1046" s="244" t="s">
        <v>5</v>
      </c>
    </row>
    <row r="1047" spans="1:6" ht="30" x14ac:dyDescent="0.25">
      <c r="A1047" s="13">
        <v>1</v>
      </c>
      <c r="B1047" s="14" t="s">
        <v>455</v>
      </c>
      <c r="C1047" s="316">
        <v>348</v>
      </c>
      <c r="D1047" s="15" t="s">
        <v>9</v>
      </c>
      <c r="E1047" s="16">
        <v>350</v>
      </c>
      <c r="F1047" s="16">
        <f t="shared" si="31"/>
        <v>121800</v>
      </c>
    </row>
    <row r="1048" spans="1:6" ht="45" x14ac:dyDescent="0.25">
      <c r="A1048" s="13">
        <v>2</v>
      </c>
      <c r="B1048" s="14" t="s">
        <v>456</v>
      </c>
      <c r="C1048" s="316">
        <v>245</v>
      </c>
      <c r="D1048" s="15" t="s">
        <v>9</v>
      </c>
      <c r="E1048" s="16">
        <v>670</v>
      </c>
      <c r="F1048" s="16">
        <f t="shared" si="31"/>
        <v>164150</v>
      </c>
    </row>
    <row r="1049" spans="1:6" ht="45" x14ac:dyDescent="0.25">
      <c r="A1049" s="13">
        <v>3</v>
      </c>
      <c r="B1049" s="14" t="s">
        <v>457</v>
      </c>
      <c r="C1049" s="316">
        <v>1</v>
      </c>
      <c r="D1049" s="15" t="s">
        <v>11</v>
      </c>
      <c r="E1049" s="16">
        <v>36000</v>
      </c>
      <c r="F1049" s="16">
        <f t="shared" si="31"/>
        <v>36000</v>
      </c>
    </row>
    <row r="1050" spans="1:6" ht="45" x14ac:dyDescent="0.25">
      <c r="A1050" s="13">
        <v>4</v>
      </c>
      <c r="B1050" s="14" t="s">
        <v>458</v>
      </c>
      <c r="C1050" s="316">
        <v>1</v>
      </c>
      <c r="D1050" s="15" t="s">
        <v>11</v>
      </c>
      <c r="E1050" s="16">
        <v>248000</v>
      </c>
      <c r="F1050" s="16">
        <f t="shared" si="31"/>
        <v>248000</v>
      </c>
    </row>
    <row r="1051" spans="1:6" ht="30" x14ac:dyDescent="0.25">
      <c r="A1051" s="13">
        <v>5</v>
      </c>
      <c r="B1051" s="14" t="s">
        <v>459</v>
      </c>
      <c r="C1051" s="316">
        <v>1</v>
      </c>
      <c r="D1051" s="15" t="s">
        <v>11</v>
      </c>
      <c r="E1051" s="16">
        <v>118000</v>
      </c>
      <c r="F1051" s="16">
        <f t="shared" si="31"/>
        <v>118000</v>
      </c>
    </row>
    <row r="1052" spans="1:6" ht="30" x14ac:dyDescent="0.25">
      <c r="A1052" s="13">
        <v>6</v>
      </c>
      <c r="B1052" s="14" t="s">
        <v>460</v>
      </c>
      <c r="C1052" s="316">
        <v>320</v>
      </c>
      <c r="D1052" s="15" t="s">
        <v>9</v>
      </c>
      <c r="E1052" s="16">
        <v>170</v>
      </c>
      <c r="F1052" s="16">
        <f t="shared" si="31"/>
        <v>54400</v>
      </c>
    </row>
    <row r="1054" spans="1:6" ht="15.75" x14ac:dyDescent="0.25">
      <c r="B1054" s="35" t="s">
        <v>224</v>
      </c>
      <c r="C1054" s="317"/>
      <c r="D1054" s="36"/>
      <c r="E1054" s="240"/>
      <c r="F1054" s="240">
        <f>SUM(F1047:F1052)</f>
        <v>742350</v>
      </c>
    </row>
    <row r="1056" spans="1:6" x14ac:dyDescent="0.25">
      <c r="A1056" s="46" t="s">
        <v>0</v>
      </c>
      <c r="B1056" s="28" t="s">
        <v>1</v>
      </c>
      <c r="C1056" s="321" t="s">
        <v>2</v>
      </c>
      <c r="D1056" s="47" t="s">
        <v>3</v>
      </c>
      <c r="E1056" s="244" t="s">
        <v>4</v>
      </c>
      <c r="F1056" s="244" t="s">
        <v>5</v>
      </c>
    </row>
    <row r="1057" spans="1:6" ht="30" x14ac:dyDescent="0.25">
      <c r="A1057" s="13">
        <v>1</v>
      </c>
      <c r="B1057" s="14" t="s">
        <v>461</v>
      </c>
      <c r="C1057" s="316">
        <v>1</v>
      </c>
      <c r="D1057" s="15" t="s">
        <v>11</v>
      </c>
      <c r="E1057" s="16">
        <v>8000</v>
      </c>
      <c r="F1057" s="16">
        <f t="shared" si="31"/>
        <v>8000</v>
      </c>
    </row>
    <row r="1058" spans="1:6" ht="30" x14ac:dyDescent="0.25">
      <c r="A1058" s="13">
        <v>2</v>
      </c>
      <c r="B1058" s="14" t="s">
        <v>462</v>
      </c>
      <c r="C1058" s="316">
        <v>1</v>
      </c>
      <c r="D1058" s="15" t="s">
        <v>11</v>
      </c>
      <c r="E1058" s="16">
        <v>12500</v>
      </c>
      <c r="F1058" s="16">
        <f t="shared" si="31"/>
        <v>12500</v>
      </c>
    </row>
    <row r="1059" spans="1:6" ht="45" x14ac:dyDescent="0.25">
      <c r="A1059" s="13">
        <v>3</v>
      </c>
      <c r="B1059" s="14" t="s">
        <v>463</v>
      </c>
      <c r="C1059" s="316">
        <v>15</v>
      </c>
      <c r="D1059" s="15" t="s">
        <v>464</v>
      </c>
      <c r="E1059" s="16">
        <v>4950</v>
      </c>
      <c r="F1059" s="16">
        <f t="shared" si="31"/>
        <v>74250</v>
      </c>
    </row>
    <row r="1061" spans="1:6" x14ac:dyDescent="0.25">
      <c r="B1061" s="17" t="s">
        <v>10</v>
      </c>
      <c r="C1061" s="31"/>
      <c r="D1061" s="18"/>
      <c r="E1061" s="239"/>
      <c r="F1061" s="239">
        <f>SUM(F1057:F1059)</f>
        <v>94750</v>
      </c>
    </row>
    <row r="1063" spans="1:6" x14ac:dyDescent="0.25">
      <c r="A1063" s="46" t="s">
        <v>0</v>
      </c>
      <c r="B1063" s="28" t="s">
        <v>1</v>
      </c>
      <c r="C1063" s="321" t="s">
        <v>2</v>
      </c>
      <c r="D1063" s="47" t="s">
        <v>3</v>
      </c>
      <c r="E1063" s="244" t="s">
        <v>4</v>
      </c>
      <c r="F1063" s="244" t="s">
        <v>5</v>
      </c>
    </row>
    <row r="1064" spans="1:6" ht="45" x14ac:dyDescent="0.25">
      <c r="A1064" s="13">
        <v>1</v>
      </c>
      <c r="B1064" s="14" t="s">
        <v>465</v>
      </c>
      <c r="C1064" s="316">
        <v>1</v>
      </c>
      <c r="D1064" s="15" t="s">
        <v>11</v>
      </c>
      <c r="E1064" s="16">
        <v>87500</v>
      </c>
      <c r="F1064" s="16">
        <f t="shared" si="31"/>
        <v>87500</v>
      </c>
    </row>
    <row r="1065" spans="1:6" ht="60" x14ac:dyDescent="0.25">
      <c r="A1065" s="13">
        <v>2</v>
      </c>
      <c r="B1065" s="14" t="s">
        <v>466</v>
      </c>
      <c r="C1065" s="316">
        <v>402</v>
      </c>
      <c r="D1065" s="15" t="s">
        <v>31</v>
      </c>
      <c r="E1065" s="16">
        <v>450</v>
      </c>
      <c r="F1065" s="16">
        <f t="shared" si="31"/>
        <v>180900</v>
      </c>
    </row>
    <row r="1066" spans="1:6" ht="90" x14ac:dyDescent="0.25">
      <c r="A1066" s="13">
        <v>3</v>
      </c>
      <c r="B1066" s="14" t="s">
        <v>467</v>
      </c>
      <c r="C1066" s="316">
        <v>1</v>
      </c>
      <c r="D1066" s="15" t="s">
        <v>11</v>
      </c>
      <c r="E1066" s="16">
        <v>664000</v>
      </c>
    </row>
    <row r="1067" spans="1:6" ht="45" x14ac:dyDescent="0.25">
      <c r="A1067" s="13">
        <v>4</v>
      </c>
      <c r="B1067" s="14" t="s">
        <v>468</v>
      </c>
      <c r="C1067" s="316">
        <v>1</v>
      </c>
      <c r="D1067" s="15" t="s">
        <v>11</v>
      </c>
      <c r="E1067" s="16">
        <v>527500</v>
      </c>
    </row>
    <row r="1068" spans="1:6" ht="60" x14ac:dyDescent="0.25">
      <c r="A1068" s="13">
        <v>5</v>
      </c>
      <c r="B1068" s="14" t="s">
        <v>469</v>
      </c>
      <c r="C1068" s="316">
        <v>1</v>
      </c>
      <c r="D1068" s="15" t="s">
        <v>11</v>
      </c>
      <c r="E1068" s="16">
        <v>213800</v>
      </c>
      <c r="F1068" s="16">
        <f t="shared" si="31"/>
        <v>213800</v>
      </c>
    </row>
    <row r="1069" spans="1:6" ht="45" x14ac:dyDescent="0.25">
      <c r="A1069" s="13">
        <v>6</v>
      </c>
      <c r="B1069" s="14" t="s">
        <v>470</v>
      </c>
      <c r="C1069" s="316">
        <v>1</v>
      </c>
      <c r="D1069" s="15" t="s">
        <v>11</v>
      </c>
      <c r="E1069" s="16">
        <v>163500</v>
      </c>
      <c r="F1069" s="16">
        <f t="shared" si="31"/>
        <v>163500</v>
      </c>
    </row>
    <row r="1070" spans="1:6" ht="75" x14ac:dyDescent="0.25">
      <c r="A1070" s="13">
        <v>7</v>
      </c>
      <c r="B1070" s="14" t="s">
        <v>471</v>
      </c>
      <c r="C1070" s="316">
        <v>320</v>
      </c>
      <c r="D1070" s="15" t="s">
        <v>33</v>
      </c>
      <c r="E1070" s="16">
        <v>2650</v>
      </c>
      <c r="F1070" s="16">
        <f t="shared" si="31"/>
        <v>848000</v>
      </c>
    </row>
    <row r="1071" spans="1:6" ht="75" x14ac:dyDescent="0.25">
      <c r="A1071" s="13">
        <v>8</v>
      </c>
      <c r="B1071" s="14" t="s">
        <v>472</v>
      </c>
      <c r="C1071" s="316">
        <v>1</v>
      </c>
      <c r="D1071" s="15" t="s">
        <v>11</v>
      </c>
      <c r="E1071" s="16">
        <v>26000</v>
      </c>
      <c r="F1071" s="16">
        <f t="shared" si="31"/>
        <v>26000</v>
      </c>
    </row>
    <row r="1072" spans="1:6" ht="30" x14ac:dyDescent="0.25">
      <c r="A1072" s="13">
        <v>9</v>
      </c>
      <c r="B1072" s="14" t="s">
        <v>473</v>
      </c>
      <c r="C1072" s="316">
        <v>1</v>
      </c>
      <c r="D1072" s="15" t="s">
        <v>11</v>
      </c>
      <c r="E1072" s="16">
        <v>35000</v>
      </c>
      <c r="F1072" s="16">
        <f t="shared" si="31"/>
        <v>35000</v>
      </c>
    </row>
    <row r="1073" spans="1:6" ht="120" x14ac:dyDescent="0.25">
      <c r="A1073" s="13">
        <v>10</v>
      </c>
      <c r="B1073" s="14" t="s">
        <v>474</v>
      </c>
      <c r="C1073" s="316">
        <v>1</v>
      </c>
      <c r="D1073" s="15" t="s">
        <v>11</v>
      </c>
      <c r="E1073" s="16">
        <v>106000</v>
      </c>
      <c r="F1073" s="16">
        <f t="shared" si="31"/>
        <v>106000</v>
      </c>
    </row>
    <row r="1075" spans="1:6" x14ac:dyDescent="0.25">
      <c r="B1075" s="17" t="s">
        <v>224</v>
      </c>
      <c r="C1075" s="31"/>
      <c r="D1075" s="18"/>
      <c r="E1075" s="239"/>
      <c r="F1075" s="239">
        <f>+SUM(F1064:F1073)</f>
        <v>1660700</v>
      </c>
    </row>
    <row r="1077" spans="1:6" x14ac:dyDescent="0.25">
      <c r="A1077" s="46" t="s">
        <v>0</v>
      </c>
      <c r="B1077" s="28" t="s">
        <v>1</v>
      </c>
      <c r="C1077" s="321" t="s">
        <v>2</v>
      </c>
      <c r="D1077" s="47" t="s">
        <v>3</v>
      </c>
      <c r="E1077" s="244" t="s">
        <v>4</v>
      </c>
      <c r="F1077" s="244" t="s">
        <v>5</v>
      </c>
    </row>
    <row r="1078" spans="1:6" ht="90" x14ac:dyDescent="0.25">
      <c r="A1078" s="13">
        <v>1</v>
      </c>
      <c r="B1078" s="14" t="s">
        <v>475</v>
      </c>
      <c r="C1078" s="316">
        <v>9811</v>
      </c>
      <c r="D1078" s="15" t="s">
        <v>9</v>
      </c>
      <c r="E1078" s="16">
        <v>195</v>
      </c>
      <c r="F1078" s="16">
        <f t="shared" si="31"/>
        <v>1913145</v>
      </c>
    </row>
    <row r="1079" spans="1:6" ht="75" x14ac:dyDescent="0.25">
      <c r="A1079" s="13">
        <v>2</v>
      </c>
      <c r="B1079" s="14" t="s">
        <v>476</v>
      </c>
      <c r="C1079" s="316">
        <v>4410</v>
      </c>
      <c r="D1079" s="15" t="s">
        <v>9</v>
      </c>
      <c r="E1079" s="16">
        <v>125</v>
      </c>
      <c r="F1079" s="16">
        <f t="shared" si="31"/>
        <v>551250</v>
      </c>
    </row>
    <row r="1080" spans="1:6" ht="45" x14ac:dyDescent="0.25">
      <c r="A1080" s="13">
        <v>3</v>
      </c>
      <c r="B1080" s="14" t="s">
        <v>477</v>
      </c>
      <c r="C1080" s="316">
        <v>1170</v>
      </c>
      <c r="D1080" s="15" t="s">
        <v>9</v>
      </c>
      <c r="E1080" s="16">
        <v>180</v>
      </c>
      <c r="F1080" s="16">
        <f t="shared" si="31"/>
        <v>210600</v>
      </c>
    </row>
    <row r="1081" spans="1:6" ht="30" x14ac:dyDescent="0.25">
      <c r="A1081" s="13">
        <v>4</v>
      </c>
      <c r="B1081" s="14" t="s">
        <v>478</v>
      </c>
      <c r="C1081" s="316">
        <v>2780</v>
      </c>
      <c r="D1081" s="15" t="s">
        <v>9</v>
      </c>
      <c r="E1081" s="16">
        <v>90</v>
      </c>
      <c r="F1081" s="16">
        <f t="shared" si="31"/>
        <v>250200</v>
      </c>
    </row>
    <row r="1082" spans="1:6" ht="45" x14ac:dyDescent="0.25">
      <c r="A1082" s="13">
        <v>5</v>
      </c>
      <c r="B1082" s="14" t="s">
        <v>479</v>
      </c>
      <c r="C1082" s="316">
        <v>850</v>
      </c>
      <c r="D1082" s="15" t="s">
        <v>9</v>
      </c>
      <c r="F1082" s="16">
        <f t="shared" si="31"/>
        <v>0</v>
      </c>
    </row>
    <row r="1083" spans="1:6" ht="75" x14ac:dyDescent="0.25">
      <c r="A1083" s="13">
        <v>6</v>
      </c>
      <c r="B1083" s="14" t="s">
        <v>480</v>
      </c>
      <c r="C1083" s="316">
        <v>8195</v>
      </c>
      <c r="D1083" s="15" t="s">
        <v>9</v>
      </c>
      <c r="E1083" s="16">
        <v>165</v>
      </c>
      <c r="F1083" s="16">
        <f t="shared" si="31"/>
        <v>1352175</v>
      </c>
    </row>
    <row r="1084" spans="1:6" ht="45" x14ac:dyDescent="0.25">
      <c r="A1084" s="13">
        <v>7</v>
      </c>
      <c r="B1084" s="14" t="s">
        <v>481</v>
      </c>
      <c r="C1084" s="316">
        <v>8195</v>
      </c>
      <c r="D1084" s="15" t="s">
        <v>9</v>
      </c>
      <c r="E1084" s="16">
        <v>225</v>
      </c>
      <c r="F1084" s="16">
        <f t="shared" si="31"/>
        <v>1843875</v>
      </c>
    </row>
    <row r="1085" spans="1:6" ht="30" x14ac:dyDescent="0.25">
      <c r="A1085" s="13">
        <v>8</v>
      </c>
      <c r="B1085" s="14" t="s">
        <v>482</v>
      </c>
      <c r="C1085" s="316">
        <v>1084</v>
      </c>
      <c r="D1085" s="15" t="s">
        <v>9</v>
      </c>
      <c r="E1085" s="16">
        <v>325</v>
      </c>
      <c r="F1085" s="16">
        <f t="shared" si="31"/>
        <v>352300</v>
      </c>
    </row>
    <row r="1086" spans="1:6" ht="60" x14ac:dyDescent="0.25">
      <c r="A1086" s="13">
        <v>9</v>
      </c>
      <c r="B1086" s="14" t="s">
        <v>483</v>
      </c>
      <c r="C1086" s="316">
        <v>1</v>
      </c>
      <c r="D1086" s="15" t="s">
        <v>11</v>
      </c>
      <c r="E1086" s="16">
        <v>385000</v>
      </c>
      <c r="F1086" s="16">
        <f t="shared" si="31"/>
        <v>385000</v>
      </c>
    </row>
    <row r="1087" spans="1:6" ht="60" x14ac:dyDescent="0.25">
      <c r="A1087" s="13">
        <v>10</v>
      </c>
      <c r="B1087" s="14" t="s">
        <v>484</v>
      </c>
      <c r="C1087" s="316">
        <v>1</v>
      </c>
      <c r="D1087" s="15" t="s">
        <v>11</v>
      </c>
      <c r="E1087" s="16">
        <v>85000</v>
      </c>
      <c r="F1087" s="16">
        <f t="shared" ref="F1087:F1149" si="32">E1087*C1087</f>
        <v>85000</v>
      </c>
    </row>
    <row r="1088" spans="1:6" ht="75" x14ac:dyDescent="0.25">
      <c r="A1088" s="13">
        <v>11</v>
      </c>
      <c r="B1088" s="14" t="s">
        <v>485</v>
      </c>
      <c r="C1088" s="316">
        <v>1</v>
      </c>
      <c r="D1088" s="15" t="s">
        <v>11</v>
      </c>
      <c r="E1088" s="16">
        <v>115000</v>
      </c>
      <c r="F1088" s="16">
        <f t="shared" si="32"/>
        <v>115000</v>
      </c>
    </row>
    <row r="1089" spans="1:6" ht="105" x14ac:dyDescent="0.25">
      <c r="A1089" s="13">
        <v>12</v>
      </c>
      <c r="B1089" s="14" t="s">
        <v>486</v>
      </c>
      <c r="C1089" s="316">
        <v>1</v>
      </c>
      <c r="D1089" s="15" t="s">
        <v>11</v>
      </c>
      <c r="E1089" s="16">
        <v>165000</v>
      </c>
      <c r="F1089" s="16">
        <f t="shared" si="32"/>
        <v>165000</v>
      </c>
    </row>
    <row r="1091" spans="1:6" x14ac:dyDescent="0.25">
      <c r="B1091" s="17" t="s">
        <v>224</v>
      </c>
      <c r="C1091" s="31"/>
      <c r="D1091" s="18"/>
      <c r="E1091" s="239"/>
      <c r="F1091" s="239">
        <f>SUM(F1078:F1089)</f>
        <v>7223545</v>
      </c>
    </row>
    <row r="1093" spans="1:6" x14ac:dyDescent="0.25">
      <c r="A1093" s="46" t="s">
        <v>0</v>
      </c>
      <c r="B1093" s="28" t="s">
        <v>1</v>
      </c>
      <c r="C1093" s="321" t="s">
        <v>2</v>
      </c>
      <c r="D1093" s="47" t="s">
        <v>3</v>
      </c>
      <c r="E1093" s="244" t="s">
        <v>4</v>
      </c>
      <c r="F1093" s="244" t="s">
        <v>5</v>
      </c>
    </row>
    <row r="1094" spans="1:6" ht="45" x14ac:dyDescent="0.25">
      <c r="A1094" s="13">
        <v>1</v>
      </c>
      <c r="B1094" s="14" t="s">
        <v>487</v>
      </c>
      <c r="C1094" s="316">
        <v>1</v>
      </c>
      <c r="D1094" s="15" t="s">
        <v>11</v>
      </c>
      <c r="E1094" s="16">
        <v>65000</v>
      </c>
      <c r="F1094" s="16">
        <f t="shared" si="32"/>
        <v>65000</v>
      </c>
    </row>
    <row r="1095" spans="1:6" x14ac:dyDescent="0.25">
      <c r="A1095" s="13">
        <v>2</v>
      </c>
      <c r="B1095" s="14" t="s">
        <v>488</v>
      </c>
      <c r="C1095" s="316">
        <v>3.2</v>
      </c>
      <c r="D1095" s="15" t="s">
        <v>30</v>
      </c>
      <c r="E1095" s="16">
        <v>7500</v>
      </c>
      <c r="F1095" s="16">
        <f t="shared" si="32"/>
        <v>24000</v>
      </c>
    </row>
    <row r="1096" spans="1:6" ht="60" x14ac:dyDescent="0.25">
      <c r="A1096" s="13">
        <v>3</v>
      </c>
      <c r="B1096" s="14" t="s">
        <v>489</v>
      </c>
      <c r="C1096" s="316">
        <v>5</v>
      </c>
      <c r="D1096" s="15" t="s">
        <v>180</v>
      </c>
      <c r="E1096" s="16">
        <v>22000</v>
      </c>
      <c r="F1096" s="16">
        <f t="shared" si="32"/>
        <v>110000</v>
      </c>
    </row>
    <row r="1097" spans="1:6" ht="45" x14ac:dyDescent="0.25">
      <c r="A1097" s="13">
        <v>4</v>
      </c>
      <c r="B1097" s="14" t="s">
        <v>491</v>
      </c>
      <c r="C1097" s="316">
        <v>80</v>
      </c>
      <c r="D1097" s="15" t="s">
        <v>33</v>
      </c>
      <c r="E1097" s="16">
        <v>1850</v>
      </c>
      <c r="F1097" s="16">
        <f t="shared" si="32"/>
        <v>148000</v>
      </c>
    </row>
    <row r="1098" spans="1:6" ht="30" x14ac:dyDescent="0.25">
      <c r="A1098" s="13">
        <v>5</v>
      </c>
      <c r="B1098" s="14" t="s">
        <v>490</v>
      </c>
      <c r="C1098" s="316">
        <v>91</v>
      </c>
      <c r="D1098" s="15" t="s">
        <v>33</v>
      </c>
      <c r="E1098" s="16">
        <v>1750</v>
      </c>
      <c r="F1098" s="16">
        <f t="shared" si="32"/>
        <v>159250</v>
      </c>
    </row>
    <row r="1099" spans="1:6" ht="45" x14ac:dyDescent="0.25">
      <c r="A1099" s="13">
        <v>6</v>
      </c>
      <c r="B1099" s="14" t="s">
        <v>492</v>
      </c>
      <c r="C1099" s="316">
        <v>117</v>
      </c>
      <c r="D1099" s="15" t="s">
        <v>33</v>
      </c>
      <c r="E1099" s="16">
        <v>1850</v>
      </c>
      <c r="F1099" s="16">
        <f t="shared" si="32"/>
        <v>216450</v>
      </c>
    </row>
    <row r="1100" spans="1:6" ht="60" x14ac:dyDescent="0.25">
      <c r="A1100" s="13">
        <v>7</v>
      </c>
      <c r="B1100" s="14" t="s">
        <v>493</v>
      </c>
      <c r="C1100" s="316">
        <v>720</v>
      </c>
      <c r="D1100" s="15" t="s">
        <v>31</v>
      </c>
      <c r="E1100" s="16">
        <v>1650</v>
      </c>
      <c r="F1100" s="16">
        <f t="shared" si="32"/>
        <v>1188000</v>
      </c>
    </row>
    <row r="1101" spans="1:6" ht="60" x14ac:dyDescent="0.25">
      <c r="A1101" s="13">
        <v>8</v>
      </c>
      <c r="B1101" s="14" t="s">
        <v>494</v>
      </c>
      <c r="C1101" s="316">
        <v>3</v>
      </c>
      <c r="D1101" s="15" t="s">
        <v>180</v>
      </c>
      <c r="E1101" s="16">
        <v>18000</v>
      </c>
      <c r="F1101" s="16">
        <f t="shared" si="32"/>
        <v>54000</v>
      </c>
    </row>
    <row r="1102" spans="1:6" ht="45" x14ac:dyDescent="0.25">
      <c r="A1102" s="13">
        <v>9</v>
      </c>
      <c r="B1102" s="14" t="s">
        <v>495</v>
      </c>
      <c r="C1102" s="316">
        <v>1840</v>
      </c>
      <c r="D1102" s="15" t="s">
        <v>31</v>
      </c>
      <c r="E1102" s="16">
        <v>420</v>
      </c>
      <c r="F1102" s="16">
        <f t="shared" si="32"/>
        <v>772800</v>
      </c>
    </row>
    <row r="1103" spans="1:6" ht="90" x14ac:dyDescent="0.25">
      <c r="A1103" s="13">
        <v>10</v>
      </c>
      <c r="B1103" s="14" t="s">
        <v>496</v>
      </c>
      <c r="C1103" s="316">
        <v>1030</v>
      </c>
      <c r="D1103" s="15" t="s">
        <v>31</v>
      </c>
      <c r="E1103" s="16">
        <v>1950</v>
      </c>
      <c r="F1103" s="16">
        <f t="shared" si="32"/>
        <v>2008500</v>
      </c>
    </row>
    <row r="1104" spans="1:6" ht="30" x14ac:dyDescent="0.25">
      <c r="A1104" s="13">
        <v>11</v>
      </c>
      <c r="B1104" s="14" t="s">
        <v>497</v>
      </c>
      <c r="C1104" s="316">
        <v>1480</v>
      </c>
      <c r="D1104" s="15" t="s">
        <v>31</v>
      </c>
      <c r="E1104" s="16">
        <v>160</v>
      </c>
      <c r="F1104" s="16">
        <f t="shared" si="32"/>
        <v>236800</v>
      </c>
    </row>
    <row r="1105" spans="1:9" ht="45" x14ac:dyDescent="0.25">
      <c r="A1105" s="13">
        <v>12</v>
      </c>
      <c r="B1105" s="14" t="s">
        <v>498</v>
      </c>
      <c r="C1105" s="316">
        <v>1820</v>
      </c>
      <c r="D1105" s="15" t="s">
        <v>31</v>
      </c>
      <c r="E1105" s="16">
        <v>165</v>
      </c>
      <c r="F1105" s="16">
        <f t="shared" si="32"/>
        <v>300300</v>
      </c>
    </row>
    <row r="1106" spans="1:9" ht="45" x14ac:dyDescent="0.25">
      <c r="A1106" s="13">
        <v>13</v>
      </c>
      <c r="B1106" s="14" t="s">
        <v>499</v>
      </c>
      <c r="C1106" s="316">
        <v>1480</v>
      </c>
      <c r="D1106" s="15" t="s">
        <v>31</v>
      </c>
      <c r="E1106" s="16">
        <v>110</v>
      </c>
      <c r="F1106" s="16">
        <f t="shared" si="32"/>
        <v>162800</v>
      </c>
    </row>
    <row r="1108" spans="1:9" x14ac:dyDescent="0.25">
      <c r="B1108" s="17" t="s">
        <v>224</v>
      </c>
      <c r="C1108" s="31"/>
      <c r="D1108" s="18"/>
      <c r="E1108" s="239"/>
      <c r="F1108" s="239">
        <f>SUM(F1094:F1106)</f>
        <v>5445900</v>
      </c>
    </row>
    <row r="1110" spans="1:9" x14ac:dyDescent="0.25">
      <c r="A1110" s="46" t="s">
        <v>0</v>
      </c>
      <c r="B1110" s="28" t="s">
        <v>1</v>
      </c>
      <c r="C1110" s="321" t="s">
        <v>506</v>
      </c>
      <c r="D1110" s="47" t="s">
        <v>508</v>
      </c>
      <c r="E1110" s="244" t="s">
        <v>507</v>
      </c>
      <c r="F1110" s="244" t="s">
        <v>234</v>
      </c>
    </row>
    <row r="1111" spans="1:9" x14ac:dyDescent="0.25">
      <c r="A1111" s="13">
        <v>1</v>
      </c>
      <c r="B1111" s="14" t="s">
        <v>501</v>
      </c>
      <c r="C1111" s="316">
        <v>14275050</v>
      </c>
      <c r="D1111" s="15" t="s">
        <v>509</v>
      </c>
      <c r="E1111" s="16">
        <v>14000000</v>
      </c>
      <c r="F1111" s="16">
        <f t="shared" ref="F1111:F1116" si="33">C1111-E1111</f>
        <v>275050</v>
      </c>
    </row>
    <row r="1112" spans="1:9" x14ac:dyDescent="0.25">
      <c r="A1112" s="13">
        <v>2</v>
      </c>
      <c r="B1112" s="14" t="s">
        <v>500</v>
      </c>
      <c r="C1112" s="316">
        <v>1048750</v>
      </c>
      <c r="D1112" s="15" t="s">
        <v>509</v>
      </c>
      <c r="E1112" s="16">
        <v>1000000</v>
      </c>
      <c r="F1112" s="16">
        <f t="shared" si="33"/>
        <v>48750</v>
      </c>
    </row>
    <row r="1113" spans="1:9" x14ac:dyDescent="0.25">
      <c r="A1113" s="13">
        <v>3</v>
      </c>
      <c r="B1113" s="14" t="s">
        <v>502</v>
      </c>
      <c r="C1113" s="316">
        <v>562000</v>
      </c>
      <c r="D1113" s="15" t="s">
        <v>509</v>
      </c>
      <c r="E1113" s="16">
        <v>562000</v>
      </c>
      <c r="F1113" s="16">
        <f t="shared" si="33"/>
        <v>0</v>
      </c>
    </row>
    <row r="1114" spans="1:9" x14ac:dyDescent="0.25">
      <c r="A1114" s="13">
        <v>4</v>
      </c>
      <c r="B1114" s="14" t="s">
        <v>503</v>
      </c>
      <c r="C1114" s="316">
        <v>924150</v>
      </c>
      <c r="D1114" s="15" t="s">
        <v>509</v>
      </c>
      <c r="E1114" s="16">
        <v>924150</v>
      </c>
      <c r="F1114" s="16">
        <f t="shared" si="33"/>
        <v>0</v>
      </c>
    </row>
    <row r="1115" spans="1:9" ht="75" x14ac:dyDescent="0.25">
      <c r="A1115" s="13">
        <v>5</v>
      </c>
      <c r="B1115" s="14" t="s">
        <v>504</v>
      </c>
      <c r="C1115" s="316">
        <v>1490100</v>
      </c>
      <c r="D1115" s="15" t="s">
        <v>509</v>
      </c>
      <c r="E1115" s="16">
        <v>797100</v>
      </c>
      <c r="F1115" s="16">
        <f t="shared" si="33"/>
        <v>693000</v>
      </c>
    </row>
    <row r="1116" spans="1:9" ht="90" x14ac:dyDescent="0.25">
      <c r="A1116" s="13">
        <v>6</v>
      </c>
      <c r="B1116" s="14" t="s">
        <v>505</v>
      </c>
      <c r="C1116" s="316">
        <v>1625700</v>
      </c>
      <c r="D1116" s="15" t="s">
        <v>509</v>
      </c>
      <c r="E1116" s="16">
        <v>0</v>
      </c>
      <c r="F1116" s="16">
        <f t="shared" si="33"/>
        <v>1625700</v>
      </c>
      <c r="I1116" s="34" t="s">
        <v>517</v>
      </c>
    </row>
    <row r="1117" spans="1:9" ht="30" x14ac:dyDescent="0.25">
      <c r="A1117" s="13">
        <v>7</v>
      </c>
      <c r="B1117" s="14" t="s">
        <v>511</v>
      </c>
      <c r="C1117" s="316">
        <v>212000</v>
      </c>
      <c r="D1117" s="15" t="s">
        <v>509</v>
      </c>
      <c r="E1117" s="16">
        <v>0</v>
      </c>
      <c r="F1117" s="16">
        <v>212000</v>
      </c>
    </row>
    <row r="1119" spans="1:9" x14ac:dyDescent="0.25">
      <c r="B1119" s="17" t="s">
        <v>510</v>
      </c>
      <c r="C1119" s="31"/>
      <c r="D1119" s="18"/>
      <c r="E1119" s="239"/>
      <c r="F1119" s="239">
        <f>SUM(F1111:F1117)</f>
        <v>2854500</v>
      </c>
    </row>
    <row r="1121" spans="1:6" x14ac:dyDescent="0.25">
      <c r="A1121" s="46" t="s">
        <v>0</v>
      </c>
      <c r="B1121" s="28" t="s">
        <v>1</v>
      </c>
      <c r="C1121" s="321" t="s">
        <v>2</v>
      </c>
      <c r="D1121" s="47" t="s">
        <v>3</v>
      </c>
      <c r="E1121" s="244" t="s">
        <v>4</v>
      </c>
      <c r="F1121" s="244" t="s">
        <v>5</v>
      </c>
    </row>
    <row r="1122" spans="1:6" ht="18.75" x14ac:dyDescent="0.25">
      <c r="B1122" s="68" t="s">
        <v>512</v>
      </c>
      <c r="F1122" s="16">
        <f t="shared" si="32"/>
        <v>0</v>
      </c>
    </row>
    <row r="1123" spans="1:6" ht="30" x14ac:dyDescent="0.25">
      <c r="A1123" s="13">
        <v>1</v>
      </c>
      <c r="B1123" s="14" t="s">
        <v>513</v>
      </c>
      <c r="C1123" s="316">
        <v>1320</v>
      </c>
      <c r="D1123" s="15" t="s">
        <v>9</v>
      </c>
      <c r="E1123" s="16">
        <v>0</v>
      </c>
      <c r="F1123" s="16">
        <f t="shared" si="32"/>
        <v>0</v>
      </c>
    </row>
    <row r="1124" spans="1:6" x14ac:dyDescent="0.25">
      <c r="A1124" s="13">
        <v>2</v>
      </c>
      <c r="B1124" s="14" t="s">
        <v>514</v>
      </c>
      <c r="C1124" s="316">
        <v>280</v>
      </c>
      <c r="D1124" s="15" t="s">
        <v>9</v>
      </c>
      <c r="E1124" s="16">
        <v>0</v>
      </c>
      <c r="F1124" s="16">
        <f t="shared" si="32"/>
        <v>0</v>
      </c>
    </row>
    <row r="1125" spans="1:6" x14ac:dyDescent="0.25">
      <c r="A1125" s="13">
        <v>3</v>
      </c>
      <c r="B1125" s="14" t="s">
        <v>515</v>
      </c>
      <c r="D1125" s="15" t="s">
        <v>9</v>
      </c>
      <c r="E1125" s="16">
        <v>0</v>
      </c>
      <c r="F1125" s="16">
        <f t="shared" si="32"/>
        <v>0</v>
      </c>
    </row>
    <row r="1126" spans="1:6" x14ac:dyDescent="0.25">
      <c r="A1126" s="13">
        <v>3.1</v>
      </c>
      <c r="B1126" s="14" t="s">
        <v>526</v>
      </c>
      <c r="C1126" s="316">
        <v>40</v>
      </c>
      <c r="D1126" s="15" t="s">
        <v>9</v>
      </c>
      <c r="E1126" s="16">
        <v>0</v>
      </c>
      <c r="F1126" s="16">
        <f t="shared" si="32"/>
        <v>0</v>
      </c>
    </row>
    <row r="1127" spans="1:6" x14ac:dyDescent="0.25">
      <c r="A1127" s="13">
        <v>3.2</v>
      </c>
      <c r="B1127" s="14" t="s">
        <v>527</v>
      </c>
      <c r="C1127" s="316">
        <v>170</v>
      </c>
      <c r="D1127" s="15" t="s">
        <v>9</v>
      </c>
      <c r="E1127" s="16">
        <v>0</v>
      </c>
      <c r="F1127" s="16">
        <f t="shared" si="32"/>
        <v>0</v>
      </c>
    </row>
    <row r="1128" spans="1:6" x14ac:dyDescent="0.25">
      <c r="A1128" s="13">
        <v>4</v>
      </c>
      <c r="B1128" s="14" t="s">
        <v>516</v>
      </c>
      <c r="C1128" s="316">
        <v>320</v>
      </c>
      <c r="D1128" s="15" t="s">
        <v>9</v>
      </c>
      <c r="E1128" s="16">
        <v>0</v>
      </c>
      <c r="F1128" s="16">
        <f t="shared" si="32"/>
        <v>0</v>
      </c>
    </row>
    <row r="1129" spans="1:6" x14ac:dyDescent="0.25">
      <c r="A1129" s="13">
        <v>5</v>
      </c>
      <c r="B1129" s="14" t="s">
        <v>518</v>
      </c>
      <c r="C1129" s="316">
        <v>85</v>
      </c>
      <c r="D1129" s="15" t="s">
        <v>9</v>
      </c>
      <c r="E1129" s="16">
        <v>0</v>
      </c>
      <c r="F1129" s="16">
        <f t="shared" si="32"/>
        <v>0</v>
      </c>
    </row>
    <row r="1130" spans="1:6" x14ac:dyDescent="0.25">
      <c r="A1130" s="13">
        <v>6</v>
      </c>
      <c r="B1130" s="14" t="s">
        <v>519</v>
      </c>
      <c r="C1130" s="316">
        <v>90</v>
      </c>
      <c r="D1130" s="15" t="s">
        <v>9</v>
      </c>
      <c r="E1130" s="16">
        <v>0</v>
      </c>
      <c r="F1130" s="16">
        <f t="shared" si="32"/>
        <v>0</v>
      </c>
    </row>
    <row r="1131" spans="1:6" x14ac:dyDescent="0.25">
      <c r="A1131" s="13">
        <v>7</v>
      </c>
      <c r="B1131" s="14" t="s">
        <v>520</v>
      </c>
      <c r="C1131" s="316">
        <v>335</v>
      </c>
      <c r="D1131" s="15" t="s">
        <v>9</v>
      </c>
      <c r="E1131" s="16">
        <v>0</v>
      </c>
      <c r="F1131" s="16">
        <f t="shared" si="32"/>
        <v>0</v>
      </c>
    </row>
    <row r="1132" spans="1:6" x14ac:dyDescent="0.25">
      <c r="A1132" s="13">
        <v>8</v>
      </c>
      <c r="B1132" s="14" t="s">
        <v>521</v>
      </c>
      <c r="C1132" s="316">
        <v>174</v>
      </c>
      <c r="D1132" s="15" t="s">
        <v>9</v>
      </c>
      <c r="E1132" s="16">
        <v>0</v>
      </c>
      <c r="F1132" s="16">
        <f t="shared" si="32"/>
        <v>0</v>
      </c>
    </row>
    <row r="1133" spans="1:6" x14ac:dyDescent="0.25">
      <c r="A1133" s="13">
        <v>9</v>
      </c>
      <c r="B1133" s="14" t="s">
        <v>519</v>
      </c>
      <c r="C1133" s="316">
        <v>45</v>
      </c>
      <c r="D1133" s="15" t="s">
        <v>9</v>
      </c>
      <c r="E1133" s="16">
        <v>0</v>
      </c>
      <c r="F1133" s="16">
        <f t="shared" si="32"/>
        <v>0</v>
      </c>
    </row>
    <row r="1134" spans="1:6" x14ac:dyDescent="0.25">
      <c r="A1134" s="13">
        <v>10</v>
      </c>
      <c r="B1134" s="14" t="s">
        <v>522</v>
      </c>
      <c r="C1134" s="316">
        <v>185</v>
      </c>
      <c r="D1134" s="15" t="s">
        <v>9</v>
      </c>
      <c r="E1134" s="16">
        <v>0</v>
      </c>
      <c r="F1134" s="16">
        <f t="shared" si="32"/>
        <v>0</v>
      </c>
    </row>
    <row r="1135" spans="1:6" x14ac:dyDescent="0.25">
      <c r="A1135" s="13">
        <v>11</v>
      </c>
      <c r="B1135" s="14" t="s">
        <v>523</v>
      </c>
      <c r="C1135" s="316">
        <v>160</v>
      </c>
      <c r="D1135" s="15" t="s">
        <v>9</v>
      </c>
      <c r="E1135" s="16">
        <v>0</v>
      </c>
      <c r="F1135" s="16">
        <f t="shared" si="32"/>
        <v>0</v>
      </c>
    </row>
    <row r="1136" spans="1:6" x14ac:dyDescent="0.25">
      <c r="A1136" s="13">
        <v>12</v>
      </c>
      <c r="B1136" s="14" t="s">
        <v>519</v>
      </c>
      <c r="C1136" s="316">
        <v>45</v>
      </c>
      <c r="D1136" s="15" t="s">
        <v>9</v>
      </c>
      <c r="E1136" s="16">
        <v>0</v>
      </c>
      <c r="F1136" s="16">
        <f t="shared" si="32"/>
        <v>0</v>
      </c>
    </row>
    <row r="1137" spans="1:6" x14ac:dyDescent="0.25">
      <c r="A1137" s="13">
        <v>13</v>
      </c>
      <c r="B1137" s="14" t="s">
        <v>522</v>
      </c>
      <c r="C1137" s="316">
        <v>170</v>
      </c>
      <c r="D1137" s="15" t="s">
        <v>9</v>
      </c>
      <c r="E1137" s="16">
        <v>0</v>
      </c>
      <c r="F1137" s="16">
        <f t="shared" si="32"/>
        <v>0</v>
      </c>
    </row>
    <row r="1138" spans="1:6" x14ac:dyDescent="0.25">
      <c r="A1138" s="13">
        <v>14</v>
      </c>
      <c r="B1138" s="14" t="s">
        <v>524</v>
      </c>
      <c r="C1138" s="316">
        <v>593</v>
      </c>
      <c r="D1138" s="15" t="s">
        <v>9</v>
      </c>
      <c r="E1138" s="16">
        <v>0</v>
      </c>
      <c r="F1138" s="16">
        <f t="shared" si="32"/>
        <v>0</v>
      </c>
    </row>
    <row r="1139" spans="1:6" x14ac:dyDescent="0.25">
      <c r="A1139" s="13">
        <v>15</v>
      </c>
      <c r="B1139" s="14" t="s">
        <v>525</v>
      </c>
      <c r="C1139" s="316">
        <v>80</v>
      </c>
      <c r="D1139" s="15" t="s">
        <v>9</v>
      </c>
      <c r="E1139" s="16">
        <v>0</v>
      </c>
      <c r="F1139" s="16">
        <f t="shared" si="32"/>
        <v>0</v>
      </c>
    </row>
    <row r="1140" spans="1:6" ht="18.75" x14ac:dyDescent="0.25">
      <c r="B1140" s="68" t="s">
        <v>528</v>
      </c>
      <c r="F1140" s="16">
        <f t="shared" si="32"/>
        <v>0</v>
      </c>
    </row>
    <row r="1141" spans="1:6" x14ac:dyDescent="0.25">
      <c r="A1141" s="13">
        <v>1</v>
      </c>
      <c r="B1141" s="14" t="s">
        <v>529</v>
      </c>
      <c r="C1141" s="316">
        <v>85</v>
      </c>
      <c r="D1141" s="15" t="s">
        <v>180</v>
      </c>
      <c r="E1141" s="16">
        <v>0</v>
      </c>
      <c r="F1141" s="16">
        <f t="shared" si="32"/>
        <v>0</v>
      </c>
    </row>
    <row r="1142" spans="1:6" x14ac:dyDescent="0.25">
      <c r="A1142" s="13">
        <v>2</v>
      </c>
      <c r="B1142" s="14" t="s">
        <v>530</v>
      </c>
      <c r="C1142" s="316">
        <v>22</v>
      </c>
      <c r="D1142" s="15" t="s">
        <v>180</v>
      </c>
      <c r="E1142" s="16">
        <v>0</v>
      </c>
      <c r="F1142" s="16">
        <f t="shared" si="32"/>
        <v>0</v>
      </c>
    </row>
    <row r="1143" spans="1:6" x14ac:dyDescent="0.25">
      <c r="A1143" s="13">
        <v>3</v>
      </c>
      <c r="B1143" s="14" t="s">
        <v>531</v>
      </c>
      <c r="C1143" s="316">
        <v>280</v>
      </c>
      <c r="D1143" s="15" t="s">
        <v>180</v>
      </c>
      <c r="E1143" s="16">
        <v>0</v>
      </c>
      <c r="F1143" s="16">
        <f t="shared" si="32"/>
        <v>0</v>
      </c>
    </row>
    <row r="1144" spans="1:6" x14ac:dyDescent="0.25">
      <c r="A1144" s="13">
        <v>4</v>
      </c>
      <c r="B1144" s="14" t="s">
        <v>532</v>
      </c>
      <c r="C1144" s="316">
        <v>26</v>
      </c>
      <c r="D1144" s="15" t="s">
        <v>180</v>
      </c>
      <c r="E1144" s="16">
        <v>0</v>
      </c>
      <c r="F1144" s="16">
        <f t="shared" si="32"/>
        <v>0</v>
      </c>
    </row>
    <row r="1145" spans="1:6" x14ac:dyDescent="0.25">
      <c r="A1145" s="13">
        <v>5</v>
      </c>
      <c r="B1145" s="14" t="s">
        <v>533</v>
      </c>
      <c r="C1145" s="316">
        <v>200</v>
      </c>
      <c r="D1145" s="15" t="s">
        <v>9</v>
      </c>
      <c r="E1145" s="16">
        <v>0</v>
      </c>
      <c r="F1145" s="16">
        <f t="shared" si="32"/>
        <v>0</v>
      </c>
    </row>
    <row r="1148" spans="1:6" x14ac:dyDescent="0.25">
      <c r="A1148" s="46" t="s">
        <v>0</v>
      </c>
      <c r="B1148" s="28" t="s">
        <v>1</v>
      </c>
      <c r="C1148" s="321" t="s">
        <v>2</v>
      </c>
      <c r="D1148" s="47" t="s">
        <v>3</v>
      </c>
      <c r="E1148" s="244" t="s">
        <v>4</v>
      </c>
      <c r="F1148" s="244" t="s">
        <v>5</v>
      </c>
    </row>
    <row r="1149" spans="1:6" ht="75" x14ac:dyDescent="0.25">
      <c r="A1149" s="13">
        <v>1</v>
      </c>
      <c r="B1149" s="14" t="s">
        <v>534</v>
      </c>
      <c r="C1149" s="316">
        <v>1200</v>
      </c>
      <c r="D1149" s="15" t="s">
        <v>9</v>
      </c>
      <c r="E1149" s="16">
        <v>1520</v>
      </c>
      <c r="F1149" s="16">
        <f t="shared" si="32"/>
        <v>1824000</v>
      </c>
    </row>
    <row r="1151" spans="1:6" x14ac:dyDescent="0.25">
      <c r="B1151" s="17" t="s">
        <v>10</v>
      </c>
      <c r="C1151" s="31"/>
      <c r="D1151" s="18"/>
      <c r="E1151" s="239"/>
      <c r="F1151" s="239">
        <v>1824000</v>
      </c>
    </row>
    <row r="1153" spans="1:6" x14ac:dyDescent="0.25">
      <c r="A1153" s="46" t="s">
        <v>0</v>
      </c>
      <c r="B1153" s="28" t="s">
        <v>1</v>
      </c>
      <c r="C1153" s="321" t="s">
        <v>2</v>
      </c>
      <c r="D1153" s="47" t="s">
        <v>3</v>
      </c>
      <c r="E1153" s="244" t="s">
        <v>4</v>
      </c>
      <c r="F1153" s="244" t="s">
        <v>5</v>
      </c>
    </row>
    <row r="1154" spans="1:6" x14ac:dyDescent="0.25">
      <c r="A1154" s="13">
        <v>1</v>
      </c>
      <c r="B1154" s="14" t="s">
        <v>535</v>
      </c>
      <c r="C1154" s="316">
        <v>30</v>
      </c>
      <c r="D1154" s="15" t="s">
        <v>11</v>
      </c>
      <c r="E1154" s="16">
        <v>0</v>
      </c>
      <c r="F1154" s="16">
        <f t="shared" ref="F1154:F1208" si="34">E1154*C1154</f>
        <v>0</v>
      </c>
    </row>
    <row r="1155" spans="1:6" x14ac:dyDescent="0.25">
      <c r="A1155" s="13">
        <v>2</v>
      </c>
      <c r="B1155" s="14" t="s">
        <v>536</v>
      </c>
      <c r="C1155" s="316">
        <v>80</v>
      </c>
      <c r="D1155" s="15" t="s">
        <v>11</v>
      </c>
      <c r="E1155" s="16">
        <v>0</v>
      </c>
      <c r="F1155" s="16">
        <f t="shared" si="34"/>
        <v>0</v>
      </c>
    </row>
    <row r="1156" spans="1:6" x14ac:dyDescent="0.25">
      <c r="A1156" s="13">
        <v>3</v>
      </c>
      <c r="B1156" s="14" t="s">
        <v>537</v>
      </c>
      <c r="C1156" s="316">
        <v>2.2999999999999998</v>
      </c>
      <c r="D1156" s="15" t="s">
        <v>30</v>
      </c>
      <c r="E1156" s="16">
        <v>0</v>
      </c>
      <c r="F1156" s="16">
        <f t="shared" si="34"/>
        <v>0</v>
      </c>
    </row>
    <row r="1157" spans="1:6" x14ac:dyDescent="0.25">
      <c r="A1157" s="13">
        <v>4</v>
      </c>
      <c r="B1157" s="14" t="s">
        <v>538</v>
      </c>
      <c r="C1157" s="316">
        <v>2</v>
      </c>
      <c r="D1157" s="15" t="s">
        <v>30</v>
      </c>
      <c r="E1157" s="16">
        <v>0</v>
      </c>
      <c r="F1157" s="16">
        <f t="shared" si="34"/>
        <v>0</v>
      </c>
    </row>
    <row r="1158" spans="1:6" x14ac:dyDescent="0.25">
      <c r="A1158" s="13">
        <v>5</v>
      </c>
      <c r="B1158" s="14" t="s">
        <v>539</v>
      </c>
      <c r="C1158" s="316">
        <v>1</v>
      </c>
      <c r="D1158" s="15" t="s">
        <v>180</v>
      </c>
      <c r="E1158" s="16">
        <v>0</v>
      </c>
      <c r="F1158" s="16">
        <f t="shared" si="34"/>
        <v>0</v>
      </c>
    </row>
    <row r="1159" spans="1:6" x14ac:dyDescent="0.25">
      <c r="A1159" s="13">
        <v>6</v>
      </c>
      <c r="B1159" s="14" t="s">
        <v>540</v>
      </c>
      <c r="C1159" s="316">
        <v>6</v>
      </c>
      <c r="D1159" s="15" t="s">
        <v>180</v>
      </c>
      <c r="E1159" s="16">
        <v>0</v>
      </c>
      <c r="F1159" s="16">
        <f t="shared" si="34"/>
        <v>0</v>
      </c>
    </row>
    <row r="1160" spans="1:6" x14ac:dyDescent="0.25">
      <c r="A1160" s="13">
        <v>7</v>
      </c>
      <c r="B1160" s="14" t="s">
        <v>541</v>
      </c>
      <c r="C1160" s="316">
        <v>520</v>
      </c>
      <c r="D1160" s="15" t="s">
        <v>33</v>
      </c>
      <c r="E1160" s="16">
        <v>0</v>
      </c>
      <c r="F1160" s="16">
        <f t="shared" si="34"/>
        <v>0</v>
      </c>
    </row>
    <row r="1161" spans="1:6" x14ac:dyDescent="0.25">
      <c r="A1161" s="13">
        <v>8</v>
      </c>
      <c r="B1161" s="14" t="s">
        <v>542</v>
      </c>
      <c r="C1161" s="316">
        <v>60</v>
      </c>
      <c r="D1161" s="15" t="s">
        <v>180</v>
      </c>
      <c r="E1161" s="16">
        <v>0</v>
      </c>
      <c r="F1161" s="16">
        <f t="shared" si="34"/>
        <v>0</v>
      </c>
    </row>
    <row r="1162" spans="1:6" x14ac:dyDescent="0.25">
      <c r="A1162" s="13">
        <v>9</v>
      </c>
      <c r="B1162" s="14" t="s">
        <v>543</v>
      </c>
      <c r="C1162" s="316">
        <v>110</v>
      </c>
      <c r="D1162" s="15" t="s">
        <v>33</v>
      </c>
      <c r="E1162" s="16">
        <v>0</v>
      </c>
      <c r="F1162" s="16">
        <f t="shared" si="34"/>
        <v>0</v>
      </c>
    </row>
    <row r="1163" spans="1:6" x14ac:dyDescent="0.25">
      <c r="A1163" s="13">
        <v>10</v>
      </c>
      <c r="B1163" s="14" t="s">
        <v>544</v>
      </c>
      <c r="C1163" s="316">
        <v>500</v>
      </c>
      <c r="D1163" s="15" t="s">
        <v>11</v>
      </c>
      <c r="E1163" s="16">
        <v>0</v>
      </c>
      <c r="F1163" s="16">
        <f t="shared" si="34"/>
        <v>0</v>
      </c>
    </row>
    <row r="1164" spans="1:6" x14ac:dyDescent="0.25">
      <c r="A1164" s="13">
        <v>11</v>
      </c>
      <c r="B1164" s="14" t="s">
        <v>545</v>
      </c>
      <c r="E1164" s="16">
        <v>0</v>
      </c>
      <c r="F1164" s="16">
        <f t="shared" si="34"/>
        <v>0</v>
      </c>
    </row>
    <row r="1165" spans="1:6" x14ac:dyDescent="0.25">
      <c r="B1165" s="14" t="s">
        <v>546</v>
      </c>
      <c r="C1165" s="316">
        <v>4</v>
      </c>
      <c r="D1165" s="15" t="s">
        <v>11</v>
      </c>
      <c r="E1165" s="16">
        <v>0</v>
      </c>
      <c r="F1165" s="16">
        <f t="shared" si="34"/>
        <v>0</v>
      </c>
    </row>
    <row r="1166" spans="1:6" x14ac:dyDescent="0.25">
      <c r="B1166" s="14" t="s">
        <v>547</v>
      </c>
      <c r="C1166" s="316">
        <v>2</v>
      </c>
      <c r="D1166" s="15" t="s">
        <v>11</v>
      </c>
      <c r="E1166" s="16">
        <v>0</v>
      </c>
      <c r="F1166" s="16">
        <f t="shared" si="34"/>
        <v>0</v>
      </c>
    </row>
    <row r="1167" spans="1:6" x14ac:dyDescent="0.25">
      <c r="B1167" s="14" t="s">
        <v>548</v>
      </c>
      <c r="C1167" s="316">
        <v>4</v>
      </c>
      <c r="D1167" s="15" t="s">
        <v>11</v>
      </c>
      <c r="E1167" s="16">
        <v>0</v>
      </c>
      <c r="F1167" s="16">
        <f t="shared" si="34"/>
        <v>0</v>
      </c>
    </row>
    <row r="1168" spans="1:6" x14ac:dyDescent="0.25">
      <c r="B1168" s="14" t="s">
        <v>549</v>
      </c>
      <c r="C1168" s="316">
        <v>10</v>
      </c>
      <c r="D1168" s="15" t="s">
        <v>11</v>
      </c>
      <c r="E1168" s="16">
        <v>0</v>
      </c>
      <c r="F1168" s="16">
        <f t="shared" si="34"/>
        <v>0</v>
      </c>
    </row>
    <row r="1169" spans="1:6" x14ac:dyDescent="0.25">
      <c r="B1169" s="14" t="s">
        <v>550</v>
      </c>
      <c r="C1169" s="316">
        <v>5</v>
      </c>
      <c r="D1169" s="15" t="s">
        <v>11</v>
      </c>
      <c r="E1169" s="16">
        <v>0</v>
      </c>
      <c r="F1169" s="16">
        <f t="shared" si="34"/>
        <v>0</v>
      </c>
    </row>
    <row r="1170" spans="1:6" x14ac:dyDescent="0.25">
      <c r="B1170" s="14" t="s">
        <v>551</v>
      </c>
      <c r="C1170" s="316">
        <v>5</v>
      </c>
      <c r="D1170" s="15" t="s">
        <v>11</v>
      </c>
      <c r="E1170" s="16">
        <v>0</v>
      </c>
      <c r="F1170" s="16">
        <f t="shared" si="34"/>
        <v>0</v>
      </c>
    </row>
    <row r="1171" spans="1:6" x14ac:dyDescent="0.25">
      <c r="B1171" s="14" t="s">
        <v>552</v>
      </c>
      <c r="C1171" s="316">
        <v>5</v>
      </c>
      <c r="D1171" s="15" t="s">
        <v>11</v>
      </c>
      <c r="E1171" s="16">
        <v>0</v>
      </c>
      <c r="F1171" s="16">
        <f t="shared" si="34"/>
        <v>0</v>
      </c>
    </row>
    <row r="1172" spans="1:6" x14ac:dyDescent="0.25">
      <c r="B1172" s="14" t="s">
        <v>553</v>
      </c>
      <c r="C1172" s="316">
        <v>4</v>
      </c>
      <c r="D1172" s="15" t="s">
        <v>11</v>
      </c>
      <c r="E1172" s="16">
        <v>0</v>
      </c>
      <c r="F1172" s="16">
        <f t="shared" si="34"/>
        <v>0</v>
      </c>
    </row>
    <row r="1173" spans="1:6" x14ac:dyDescent="0.25">
      <c r="B1173" s="14" t="s">
        <v>554</v>
      </c>
      <c r="C1173" s="316">
        <v>2</v>
      </c>
      <c r="D1173" s="15" t="s">
        <v>11</v>
      </c>
      <c r="E1173" s="16">
        <v>0</v>
      </c>
      <c r="F1173" s="16">
        <f t="shared" si="34"/>
        <v>0</v>
      </c>
    </row>
    <row r="1174" spans="1:6" x14ac:dyDescent="0.25">
      <c r="B1174" s="14" t="s">
        <v>555</v>
      </c>
      <c r="C1174" s="316">
        <v>5</v>
      </c>
      <c r="D1174" s="15" t="s">
        <v>11</v>
      </c>
      <c r="E1174" s="16">
        <v>0</v>
      </c>
      <c r="F1174" s="16">
        <f t="shared" si="34"/>
        <v>0</v>
      </c>
    </row>
    <row r="1175" spans="1:6" x14ac:dyDescent="0.25">
      <c r="B1175" s="14" t="s">
        <v>556</v>
      </c>
      <c r="C1175" s="316">
        <v>5</v>
      </c>
      <c r="D1175" s="15" t="s">
        <v>11</v>
      </c>
      <c r="E1175" s="16">
        <v>0</v>
      </c>
      <c r="F1175" s="16">
        <f t="shared" si="34"/>
        <v>0</v>
      </c>
    </row>
    <row r="1176" spans="1:6" x14ac:dyDescent="0.25">
      <c r="B1176" s="14" t="s">
        <v>557</v>
      </c>
      <c r="C1176" s="316">
        <v>4</v>
      </c>
      <c r="D1176" s="15" t="s">
        <v>11</v>
      </c>
      <c r="E1176" s="16">
        <v>0</v>
      </c>
      <c r="F1176" s="16">
        <f t="shared" si="34"/>
        <v>0</v>
      </c>
    </row>
    <row r="1177" spans="1:6" x14ac:dyDescent="0.25">
      <c r="B1177" s="14" t="s">
        <v>558</v>
      </c>
      <c r="D1177" s="15" t="s">
        <v>11</v>
      </c>
      <c r="E1177" s="16">
        <v>0</v>
      </c>
      <c r="F1177" s="16">
        <f t="shared" si="34"/>
        <v>0</v>
      </c>
    </row>
    <row r="1178" spans="1:6" x14ac:dyDescent="0.25">
      <c r="B1178" s="14" t="s">
        <v>559</v>
      </c>
      <c r="C1178" s="316">
        <v>2</v>
      </c>
      <c r="D1178" s="15" t="s">
        <v>11</v>
      </c>
      <c r="E1178" s="16">
        <v>0</v>
      </c>
      <c r="F1178" s="16">
        <f t="shared" si="34"/>
        <v>0</v>
      </c>
    </row>
    <row r="1179" spans="1:6" x14ac:dyDescent="0.25">
      <c r="B1179" s="14" t="s">
        <v>560</v>
      </c>
      <c r="C1179" s="316">
        <v>2</v>
      </c>
      <c r="D1179" s="15" t="s">
        <v>11</v>
      </c>
      <c r="E1179" s="16">
        <v>0</v>
      </c>
      <c r="F1179" s="16">
        <f t="shared" si="34"/>
        <v>0</v>
      </c>
    </row>
    <row r="1180" spans="1:6" x14ac:dyDescent="0.25">
      <c r="B1180" s="14" t="s">
        <v>561</v>
      </c>
      <c r="C1180" s="316">
        <v>4</v>
      </c>
      <c r="D1180" s="15" t="s">
        <v>11</v>
      </c>
      <c r="E1180" s="16">
        <v>0</v>
      </c>
      <c r="F1180" s="16">
        <f t="shared" si="34"/>
        <v>0</v>
      </c>
    </row>
    <row r="1181" spans="1:6" x14ac:dyDescent="0.25">
      <c r="B1181" s="14" t="s">
        <v>562</v>
      </c>
      <c r="C1181" s="316">
        <v>2</v>
      </c>
      <c r="D1181" s="15" t="s">
        <v>11</v>
      </c>
      <c r="E1181" s="16">
        <v>0</v>
      </c>
      <c r="F1181" s="16">
        <f t="shared" si="34"/>
        <v>0</v>
      </c>
    </row>
    <row r="1182" spans="1:6" x14ac:dyDescent="0.25">
      <c r="B1182" s="14" t="s">
        <v>563</v>
      </c>
      <c r="C1182" s="316">
        <v>250</v>
      </c>
      <c r="D1182" s="15" t="s">
        <v>582</v>
      </c>
      <c r="E1182" s="16">
        <v>0</v>
      </c>
      <c r="F1182" s="16">
        <f t="shared" si="34"/>
        <v>0</v>
      </c>
    </row>
    <row r="1183" spans="1:6" x14ac:dyDescent="0.25">
      <c r="B1183" s="14" t="s">
        <v>564</v>
      </c>
      <c r="C1183" s="316">
        <v>1</v>
      </c>
      <c r="D1183" s="15" t="s">
        <v>11</v>
      </c>
      <c r="E1183" s="16">
        <v>0</v>
      </c>
      <c r="F1183" s="16">
        <f t="shared" si="34"/>
        <v>0</v>
      </c>
    </row>
    <row r="1184" spans="1:6" x14ac:dyDescent="0.25">
      <c r="A1184" s="13">
        <v>12</v>
      </c>
      <c r="B1184" s="14" t="s">
        <v>565</v>
      </c>
      <c r="C1184" s="316">
        <v>20</v>
      </c>
      <c r="D1184" s="15" t="s">
        <v>180</v>
      </c>
      <c r="E1184" s="16">
        <v>0</v>
      </c>
      <c r="F1184" s="16">
        <f t="shared" si="34"/>
        <v>0</v>
      </c>
    </row>
    <row r="1185" spans="1:6" x14ac:dyDescent="0.25">
      <c r="A1185" s="13">
        <v>13</v>
      </c>
      <c r="B1185" s="14" t="s">
        <v>566</v>
      </c>
      <c r="C1185" s="316">
        <v>40</v>
      </c>
      <c r="D1185" s="15" t="s">
        <v>33</v>
      </c>
      <c r="E1185" s="16">
        <v>0</v>
      </c>
      <c r="F1185" s="16">
        <f t="shared" si="34"/>
        <v>0</v>
      </c>
    </row>
    <row r="1186" spans="1:6" x14ac:dyDescent="0.25">
      <c r="A1186" s="13">
        <v>14</v>
      </c>
      <c r="B1186" s="14" t="s">
        <v>567</v>
      </c>
      <c r="C1186" s="316">
        <v>30</v>
      </c>
      <c r="D1186" s="15" t="s">
        <v>583</v>
      </c>
      <c r="E1186" s="16">
        <v>0</v>
      </c>
      <c r="F1186" s="16">
        <f t="shared" si="34"/>
        <v>0</v>
      </c>
    </row>
    <row r="1187" spans="1:6" x14ac:dyDescent="0.25">
      <c r="A1187" s="13">
        <v>15</v>
      </c>
      <c r="B1187" s="14" t="s">
        <v>568</v>
      </c>
      <c r="C1187" s="316">
        <v>16</v>
      </c>
      <c r="D1187" s="15" t="s">
        <v>583</v>
      </c>
      <c r="E1187" s="16">
        <v>0</v>
      </c>
      <c r="F1187" s="16">
        <f t="shared" si="34"/>
        <v>0</v>
      </c>
    </row>
    <row r="1188" spans="1:6" x14ac:dyDescent="0.25">
      <c r="A1188" s="13">
        <v>16</v>
      </c>
      <c r="B1188" s="14" t="s">
        <v>569</v>
      </c>
      <c r="C1188" s="316">
        <v>1</v>
      </c>
      <c r="D1188" s="15" t="s">
        <v>584</v>
      </c>
      <c r="E1188" s="16">
        <v>0</v>
      </c>
      <c r="F1188" s="16">
        <f t="shared" si="34"/>
        <v>0</v>
      </c>
    </row>
    <row r="1189" spans="1:6" x14ac:dyDescent="0.25">
      <c r="A1189" s="13">
        <v>17</v>
      </c>
      <c r="B1189" s="14" t="s">
        <v>570</v>
      </c>
      <c r="C1189" s="316">
        <v>3</v>
      </c>
      <c r="D1189" s="15" t="s">
        <v>584</v>
      </c>
      <c r="E1189" s="16">
        <v>0</v>
      </c>
      <c r="F1189" s="16">
        <f t="shared" si="34"/>
        <v>0</v>
      </c>
    </row>
    <row r="1190" spans="1:6" x14ac:dyDescent="0.25">
      <c r="A1190" s="13">
        <v>18</v>
      </c>
      <c r="B1190" s="14" t="s">
        <v>571</v>
      </c>
      <c r="C1190" s="316">
        <v>5</v>
      </c>
      <c r="D1190" s="15" t="s">
        <v>584</v>
      </c>
      <c r="E1190" s="16">
        <v>0</v>
      </c>
      <c r="F1190" s="16">
        <f t="shared" si="34"/>
        <v>0</v>
      </c>
    </row>
    <row r="1191" spans="1:6" x14ac:dyDescent="0.25">
      <c r="A1191" s="13">
        <v>19</v>
      </c>
      <c r="B1191" s="14" t="s">
        <v>572</v>
      </c>
      <c r="C1191" s="316">
        <v>1</v>
      </c>
      <c r="D1191" s="15" t="s">
        <v>584</v>
      </c>
      <c r="E1191" s="16">
        <v>0</v>
      </c>
      <c r="F1191" s="16">
        <f t="shared" si="34"/>
        <v>0</v>
      </c>
    </row>
    <row r="1192" spans="1:6" x14ac:dyDescent="0.25">
      <c r="A1192" s="13">
        <v>20</v>
      </c>
      <c r="B1192" s="14" t="s">
        <v>573</v>
      </c>
      <c r="C1192" s="316">
        <v>1</v>
      </c>
      <c r="D1192" s="15" t="s">
        <v>11</v>
      </c>
      <c r="E1192" s="16">
        <v>0</v>
      </c>
      <c r="F1192" s="16">
        <f t="shared" si="34"/>
        <v>0</v>
      </c>
    </row>
    <row r="1193" spans="1:6" x14ac:dyDescent="0.25">
      <c r="A1193" s="13">
        <v>21</v>
      </c>
      <c r="B1193" s="14" t="s">
        <v>574</v>
      </c>
      <c r="C1193" s="316">
        <v>5</v>
      </c>
      <c r="D1193" s="15" t="s">
        <v>11</v>
      </c>
      <c r="E1193" s="16">
        <v>0</v>
      </c>
      <c r="F1193" s="16">
        <f t="shared" si="34"/>
        <v>0</v>
      </c>
    </row>
    <row r="1194" spans="1:6" x14ac:dyDescent="0.25">
      <c r="A1194" s="13">
        <v>22</v>
      </c>
      <c r="B1194" s="14" t="s">
        <v>575</v>
      </c>
      <c r="C1194" s="316">
        <v>1</v>
      </c>
      <c r="D1194" s="15" t="s">
        <v>11</v>
      </c>
      <c r="E1194" s="16">
        <v>0</v>
      </c>
      <c r="F1194" s="16">
        <f t="shared" si="34"/>
        <v>0</v>
      </c>
    </row>
    <row r="1195" spans="1:6" x14ac:dyDescent="0.25">
      <c r="A1195" s="13">
        <v>23</v>
      </c>
      <c r="B1195" s="14" t="s">
        <v>576</v>
      </c>
      <c r="C1195" s="316">
        <v>1</v>
      </c>
      <c r="D1195" s="15" t="s">
        <v>11</v>
      </c>
      <c r="E1195" s="16">
        <v>0</v>
      </c>
      <c r="F1195" s="16">
        <f t="shared" si="34"/>
        <v>0</v>
      </c>
    </row>
    <row r="1196" spans="1:6" x14ac:dyDescent="0.25">
      <c r="A1196" s="13">
        <v>24</v>
      </c>
      <c r="B1196" s="14" t="s">
        <v>577</v>
      </c>
      <c r="C1196" s="316">
        <v>3</v>
      </c>
      <c r="D1196" s="15" t="s">
        <v>11</v>
      </c>
      <c r="E1196" s="16">
        <v>0</v>
      </c>
      <c r="F1196" s="16">
        <f t="shared" si="34"/>
        <v>0</v>
      </c>
    </row>
    <row r="1197" spans="1:6" x14ac:dyDescent="0.25">
      <c r="A1197" s="13">
        <v>25</v>
      </c>
      <c r="B1197" s="14" t="s">
        <v>578</v>
      </c>
      <c r="C1197" s="316">
        <v>168</v>
      </c>
      <c r="D1197" s="15" t="s">
        <v>31</v>
      </c>
      <c r="E1197" s="16">
        <v>0</v>
      </c>
      <c r="F1197" s="16">
        <f t="shared" si="34"/>
        <v>0</v>
      </c>
    </row>
    <row r="1198" spans="1:6" x14ac:dyDescent="0.25">
      <c r="A1198" s="13">
        <v>26</v>
      </c>
      <c r="B1198" s="14" t="s">
        <v>579</v>
      </c>
      <c r="C1198" s="316">
        <v>40</v>
      </c>
      <c r="D1198" s="15" t="s">
        <v>31</v>
      </c>
      <c r="E1198" s="16">
        <v>0</v>
      </c>
      <c r="F1198" s="16">
        <f t="shared" si="34"/>
        <v>0</v>
      </c>
    </row>
    <row r="1199" spans="1:6" x14ac:dyDescent="0.25">
      <c r="A1199" s="13">
        <v>27</v>
      </c>
      <c r="B1199" s="14" t="s">
        <v>580</v>
      </c>
      <c r="C1199" s="316">
        <v>10</v>
      </c>
      <c r="D1199" s="15" t="s">
        <v>585</v>
      </c>
      <c r="E1199" s="16">
        <v>0</v>
      </c>
      <c r="F1199" s="16">
        <f t="shared" si="34"/>
        <v>0</v>
      </c>
    </row>
    <row r="1200" spans="1:6" x14ac:dyDescent="0.25">
      <c r="A1200" s="13">
        <v>28</v>
      </c>
      <c r="B1200" s="14" t="s">
        <v>581</v>
      </c>
      <c r="C1200" s="316">
        <v>2</v>
      </c>
      <c r="D1200" s="15" t="s">
        <v>585</v>
      </c>
      <c r="E1200" s="16">
        <v>0</v>
      </c>
      <c r="F1200" s="16">
        <f t="shared" si="34"/>
        <v>0</v>
      </c>
    </row>
    <row r="1201" spans="1:6" x14ac:dyDescent="0.25">
      <c r="F1201" s="16">
        <f t="shared" si="34"/>
        <v>0</v>
      </c>
    </row>
    <row r="1202" spans="1:6" x14ac:dyDescent="0.25">
      <c r="A1202" s="46" t="s">
        <v>0</v>
      </c>
      <c r="B1202" s="28" t="s">
        <v>1</v>
      </c>
      <c r="C1202" s="321" t="s">
        <v>2</v>
      </c>
      <c r="D1202" s="47" t="s">
        <v>3</v>
      </c>
      <c r="E1202" s="244" t="s">
        <v>4</v>
      </c>
      <c r="F1202" s="244" t="s">
        <v>5</v>
      </c>
    </row>
    <row r="1203" spans="1:6" ht="30" x14ac:dyDescent="0.25">
      <c r="A1203" s="13">
        <v>1</v>
      </c>
      <c r="B1203" s="14" t="s">
        <v>586</v>
      </c>
      <c r="C1203" s="316">
        <v>40</v>
      </c>
      <c r="D1203" s="15" t="s">
        <v>31</v>
      </c>
      <c r="E1203" s="16">
        <v>80</v>
      </c>
      <c r="F1203" s="16">
        <f t="shared" si="34"/>
        <v>3200</v>
      </c>
    </row>
    <row r="1204" spans="1:6" ht="30" x14ac:dyDescent="0.25">
      <c r="A1204" s="13">
        <v>2</v>
      </c>
      <c r="B1204" s="14" t="s">
        <v>587</v>
      </c>
      <c r="C1204" s="316">
        <v>580</v>
      </c>
      <c r="D1204" s="15" t="s">
        <v>31</v>
      </c>
      <c r="E1204" s="16">
        <v>90</v>
      </c>
      <c r="F1204" s="16">
        <f t="shared" si="34"/>
        <v>52200</v>
      </c>
    </row>
    <row r="1206" spans="1:6" x14ac:dyDescent="0.25">
      <c r="B1206" s="17" t="s">
        <v>224</v>
      </c>
      <c r="C1206" s="31"/>
      <c r="D1206" s="18"/>
      <c r="E1206" s="239"/>
      <c r="F1206" s="239">
        <f>SUM(F1203:F1204)</f>
        <v>55400</v>
      </c>
    </row>
    <row r="1208" spans="1:6" x14ac:dyDescent="0.25">
      <c r="F1208" s="16">
        <f t="shared" si="34"/>
        <v>0</v>
      </c>
    </row>
    <row r="1209" spans="1:6" x14ac:dyDescent="0.25">
      <c r="A1209" s="46" t="s">
        <v>0</v>
      </c>
      <c r="B1209" s="28" t="s">
        <v>1</v>
      </c>
      <c r="C1209" s="321" t="s">
        <v>2</v>
      </c>
      <c r="D1209" s="47" t="s">
        <v>3</v>
      </c>
      <c r="E1209" s="244" t="s">
        <v>4</v>
      </c>
      <c r="F1209" s="244" t="s">
        <v>5</v>
      </c>
    </row>
    <row r="1210" spans="1:6" ht="90" x14ac:dyDescent="0.25">
      <c r="A1210" s="13">
        <v>1</v>
      </c>
      <c r="B1210" s="14" t="s">
        <v>475</v>
      </c>
      <c r="C1210" s="316">
        <v>9811</v>
      </c>
      <c r="D1210" s="15" t="s">
        <v>9</v>
      </c>
      <c r="E1210" s="16">
        <v>195</v>
      </c>
      <c r="F1210" s="16">
        <f t="shared" ref="F1210:F1221" si="35">E1210*C1210</f>
        <v>1913145</v>
      </c>
    </row>
    <row r="1211" spans="1:6" ht="75" x14ac:dyDescent="0.25">
      <c r="A1211" s="13">
        <v>2</v>
      </c>
      <c r="B1211" s="14" t="s">
        <v>476</v>
      </c>
      <c r="C1211" s="316">
        <v>4410</v>
      </c>
      <c r="D1211" s="15" t="s">
        <v>9</v>
      </c>
      <c r="E1211" s="16">
        <v>125</v>
      </c>
      <c r="F1211" s="16">
        <f t="shared" si="35"/>
        <v>551250</v>
      </c>
    </row>
    <row r="1212" spans="1:6" ht="45" x14ac:dyDescent="0.25">
      <c r="A1212" s="13">
        <v>3</v>
      </c>
      <c r="B1212" s="14" t="s">
        <v>477</v>
      </c>
      <c r="C1212" s="316">
        <v>1170</v>
      </c>
      <c r="D1212" s="15" t="s">
        <v>9</v>
      </c>
      <c r="E1212" s="16">
        <v>180</v>
      </c>
      <c r="F1212" s="16">
        <f t="shared" si="35"/>
        <v>210600</v>
      </c>
    </row>
    <row r="1213" spans="1:6" ht="30" x14ac:dyDescent="0.25">
      <c r="A1213" s="13">
        <v>4</v>
      </c>
      <c r="B1213" s="14" t="s">
        <v>478</v>
      </c>
      <c r="C1213" s="316">
        <v>2780</v>
      </c>
      <c r="D1213" s="15" t="s">
        <v>9</v>
      </c>
      <c r="E1213" s="16">
        <v>90</v>
      </c>
      <c r="F1213" s="16">
        <f t="shared" si="35"/>
        <v>250200</v>
      </c>
    </row>
    <row r="1214" spans="1:6" ht="45" x14ac:dyDescent="0.25">
      <c r="A1214" s="13">
        <v>5</v>
      </c>
      <c r="B1214" s="14" t="s">
        <v>479</v>
      </c>
      <c r="C1214" s="316">
        <v>800</v>
      </c>
      <c r="D1214" s="15" t="s">
        <v>9</v>
      </c>
      <c r="E1214" s="16">
        <v>850</v>
      </c>
      <c r="F1214" s="16">
        <f t="shared" si="35"/>
        <v>680000</v>
      </c>
    </row>
    <row r="1215" spans="1:6" ht="75" x14ac:dyDescent="0.25">
      <c r="A1215" s="13">
        <v>6</v>
      </c>
      <c r="B1215" s="14" t="s">
        <v>480</v>
      </c>
      <c r="C1215" s="316">
        <v>8195</v>
      </c>
      <c r="D1215" s="15" t="s">
        <v>9</v>
      </c>
      <c r="E1215" s="16">
        <v>165</v>
      </c>
      <c r="F1215" s="16">
        <f t="shared" si="35"/>
        <v>1352175</v>
      </c>
    </row>
    <row r="1216" spans="1:6" ht="45" x14ac:dyDescent="0.25">
      <c r="A1216" s="13">
        <v>7</v>
      </c>
      <c r="B1216" s="14" t="s">
        <v>481</v>
      </c>
      <c r="C1216" s="316">
        <v>8195</v>
      </c>
      <c r="D1216" s="15" t="s">
        <v>9</v>
      </c>
      <c r="E1216" s="16">
        <v>225</v>
      </c>
      <c r="F1216" s="16">
        <f t="shared" si="35"/>
        <v>1843875</v>
      </c>
    </row>
    <row r="1217" spans="1:9" ht="30" x14ac:dyDescent="0.25">
      <c r="A1217" s="13">
        <v>8</v>
      </c>
      <c r="B1217" s="14" t="s">
        <v>482</v>
      </c>
      <c r="C1217" s="316">
        <v>1084</v>
      </c>
      <c r="D1217" s="15" t="s">
        <v>9</v>
      </c>
      <c r="E1217" s="16">
        <v>325</v>
      </c>
      <c r="F1217" s="16">
        <f t="shared" si="35"/>
        <v>352300</v>
      </c>
    </row>
    <row r="1218" spans="1:9" ht="60" x14ac:dyDescent="0.25">
      <c r="A1218" s="13">
        <v>9</v>
      </c>
      <c r="B1218" s="14" t="s">
        <v>483</v>
      </c>
      <c r="C1218" s="316">
        <v>1</v>
      </c>
      <c r="D1218" s="15" t="s">
        <v>11</v>
      </c>
      <c r="E1218" s="16">
        <v>385000</v>
      </c>
      <c r="F1218" s="16">
        <f t="shared" si="35"/>
        <v>385000</v>
      </c>
    </row>
    <row r="1219" spans="1:9" ht="60" x14ac:dyDescent="0.25">
      <c r="A1219" s="13">
        <v>10</v>
      </c>
      <c r="B1219" s="14" t="s">
        <v>484</v>
      </c>
      <c r="C1219" s="316">
        <v>1</v>
      </c>
      <c r="D1219" s="15" t="s">
        <v>11</v>
      </c>
      <c r="E1219" s="16">
        <v>85000</v>
      </c>
      <c r="F1219" s="16">
        <f t="shared" si="35"/>
        <v>85000</v>
      </c>
    </row>
    <row r="1220" spans="1:9" ht="75" x14ac:dyDescent="0.25">
      <c r="A1220" s="13">
        <v>11</v>
      </c>
      <c r="B1220" s="14" t="s">
        <v>485</v>
      </c>
      <c r="C1220" s="316">
        <v>1</v>
      </c>
      <c r="D1220" s="15" t="s">
        <v>11</v>
      </c>
      <c r="E1220" s="16">
        <v>115000</v>
      </c>
      <c r="F1220" s="16">
        <f t="shared" si="35"/>
        <v>115000</v>
      </c>
    </row>
    <row r="1221" spans="1:9" ht="105" x14ac:dyDescent="0.25">
      <c r="A1221" s="13">
        <v>12</v>
      </c>
      <c r="B1221" s="14" t="s">
        <v>486</v>
      </c>
      <c r="C1221" s="316">
        <v>1</v>
      </c>
      <c r="D1221" s="15" t="s">
        <v>11</v>
      </c>
      <c r="E1221" s="16">
        <v>165000</v>
      </c>
      <c r="F1221" s="16">
        <f t="shared" si="35"/>
        <v>165000</v>
      </c>
    </row>
    <row r="1222" spans="1:9" ht="90" x14ac:dyDescent="0.25">
      <c r="A1222" s="13">
        <v>13</v>
      </c>
      <c r="B1222" s="14" t="s">
        <v>329</v>
      </c>
      <c r="C1222" s="316">
        <v>1</v>
      </c>
      <c r="D1222" s="15" t="s">
        <v>330</v>
      </c>
      <c r="E1222" s="16">
        <v>548750</v>
      </c>
      <c r="F1222" s="16">
        <f>(C1222*E1222)</f>
        <v>548750</v>
      </c>
    </row>
    <row r="1223" spans="1:9" ht="45" x14ac:dyDescent="0.25">
      <c r="A1223" s="13">
        <v>14</v>
      </c>
      <c r="B1223" s="14" t="s">
        <v>342</v>
      </c>
      <c r="C1223" s="316">
        <v>1224</v>
      </c>
      <c r="D1223" s="15" t="s">
        <v>9</v>
      </c>
      <c r="E1223" s="16">
        <v>685</v>
      </c>
      <c r="F1223" s="16">
        <f>(C1223*E1223)</f>
        <v>838440</v>
      </c>
    </row>
    <row r="1224" spans="1:9" ht="45" x14ac:dyDescent="0.25">
      <c r="A1224" s="13">
        <v>16</v>
      </c>
      <c r="B1224" s="14" t="s">
        <v>246</v>
      </c>
      <c r="C1224" s="316">
        <v>1500</v>
      </c>
      <c r="D1224" s="15" t="s">
        <v>9</v>
      </c>
      <c r="E1224" s="16">
        <v>180</v>
      </c>
      <c r="F1224" s="16">
        <f>(C1224*E1224)</f>
        <v>270000</v>
      </c>
    </row>
    <row r="1225" spans="1:9" x14ac:dyDescent="0.25">
      <c r="A1225" s="13">
        <v>17</v>
      </c>
      <c r="B1225" s="14" t="s">
        <v>590</v>
      </c>
      <c r="I1225" s="69"/>
    </row>
    <row r="1226" spans="1:9" x14ac:dyDescent="0.25">
      <c r="B1226" s="14">
        <v>13</v>
      </c>
      <c r="C1226" s="316">
        <v>40</v>
      </c>
      <c r="D1226" s="15" t="s">
        <v>127</v>
      </c>
      <c r="E1226" s="16">
        <v>1400</v>
      </c>
      <c r="F1226" s="16">
        <f>E1226*C1226</f>
        <v>56000</v>
      </c>
    </row>
    <row r="1227" spans="1:9" x14ac:dyDescent="0.25">
      <c r="B1227" s="14">
        <v>15</v>
      </c>
      <c r="C1227" s="316">
        <v>8</v>
      </c>
      <c r="D1227" s="15" t="s">
        <v>127</v>
      </c>
      <c r="E1227" s="16">
        <v>2800</v>
      </c>
      <c r="F1227" s="16">
        <f>E1227*C1227</f>
        <v>22400</v>
      </c>
    </row>
    <row r="1228" spans="1:9" ht="45" x14ac:dyDescent="0.25">
      <c r="B1228" s="14" t="s">
        <v>588</v>
      </c>
      <c r="C1228" s="316">
        <v>2</v>
      </c>
      <c r="D1228" s="15" t="s">
        <v>11</v>
      </c>
      <c r="E1228" s="16">
        <v>70000</v>
      </c>
      <c r="F1228" s="16">
        <f>E1228*C1228</f>
        <v>140000</v>
      </c>
    </row>
    <row r="1229" spans="1:9" x14ac:dyDescent="0.25">
      <c r="A1229" s="13">
        <v>18</v>
      </c>
      <c r="B1229" s="14" t="s">
        <v>589</v>
      </c>
    </row>
    <row r="1230" spans="1:9" x14ac:dyDescent="0.25">
      <c r="B1230" s="14" t="s">
        <v>591</v>
      </c>
      <c r="C1230" s="316">
        <v>30</v>
      </c>
      <c r="D1230" s="15" t="s">
        <v>127</v>
      </c>
      <c r="E1230" s="16">
        <v>5500</v>
      </c>
      <c r="F1230" s="16">
        <f>E1230*C1230</f>
        <v>165000</v>
      </c>
    </row>
    <row r="1231" spans="1:9" x14ac:dyDescent="0.25">
      <c r="B1231" s="14" t="s">
        <v>592</v>
      </c>
      <c r="C1231" s="316">
        <v>48</v>
      </c>
      <c r="D1231" s="15" t="s">
        <v>127</v>
      </c>
      <c r="E1231" s="16">
        <v>4200</v>
      </c>
      <c r="F1231" s="16">
        <f>E1231*C1231</f>
        <v>201600</v>
      </c>
    </row>
    <row r="1232" spans="1:9" x14ac:dyDescent="0.25">
      <c r="B1232" s="14" t="s">
        <v>593</v>
      </c>
      <c r="C1232" s="316">
        <v>15</v>
      </c>
      <c r="D1232" s="15" t="s">
        <v>127</v>
      </c>
      <c r="E1232" s="16">
        <v>4500</v>
      </c>
      <c r="F1232" s="16">
        <f>E1232*C1232</f>
        <v>67500</v>
      </c>
    </row>
    <row r="1233" spans="1:6" x14ac:dyDescent="0.25">
      <c r="B1233" s="14" t="s">
        <v>594</v>
      </c>
      <c r="C1233" s="316">
        <v>8</v>
      </c>
      <c r="D1233" s="15" t="s">
        <v>127</v>
      </c>
      <c r="E1233" s="16">
        <v>16000</v>
      </c>
      <c r="F1233" s="16">
        <f>E1233*C1233</f>
        <v>128000</v>
      </c>
    </row>
    <row r="1235" spans="1:6" ht="15.75" x14ac:dyDescent="0.25">
      <c r="B1235" s="35" t="s">
        <v>224</v>
      </c>
      <c r="C1235" s="317"/>
      <c r="D1235" s="36"/>
      <c r="E1235" s="240"/>
      <c r="F1235" s="240">
        <f>SUM(F1233,F1232,F1231,F1230,F1228,F1227,F1226,F1224,F1223,F1222,F1221,F1220,F1219,F1218,F1217,F1216,F1215,F1214,F1213,F1212,F1211,F1210)</f>
        <v>10341235</v>
      </c>
    </row>
    <row r="1237" spans="1:6" x14ac:dyDescent="0.25">
      <c r="A1237" s="46" t="s">
        <v>0</v>
      </c>
      <c r="B1237" s="28" t="s">
        <v>1</v>
      </c>
      <c r="C1237" s="321" t="s">
        <v>2</v>
      </c>
      <c r="D1237" s="47" t="s">
        <v>3</v>
      </c>
      <c r="E1237" s="244" t="s">
        <v>4</v>
      </c>
      <c r="F1237" s="244" t="s">
        <v>5</v>
      </c>
    </row>
    <row r="1238" spans="1:6" x14ac:dyDescent="0.25">
      <c r="A1238" s="13">
        <v>1</v>
      </c>
      <c r="B1238" s="14" t="s">
        <v>595</v>
      </c>
      <c r="C1238" s="316">
        <v>1</v>
      </c>
      <c r="D1238" s="15" t="s">
        <v>30</v>
      </c>
      <c r="E1238" s="16">
        <v>7500</v>
      </c>
      <c r="F1238" s="16">
        <v>0</v>
      </c>
    </row>
    <row r="1239" spans="1:6" x14ac:dyDescent="0.25">
      <c r="A1239" s="13">
        <v>2</v>
      </c>
      <c r="B1239" s="14" t="s">
        <v>596</v>
      </c>
      <c r="C1239" s="316">
        <v>1</v>
      </c>
      <c r="D1239" s="15" t="s">
        <v>9</v>
      </c>
      <c r="E1239" s="16">
        <v>320</v>
      </c>
      <c r="F1239" s="16">
        <f>E1239*C1239</f>
        <v>320</v>
      </c>
    </row>
    <row r="1240" spans="1:6" x14ac:dyDescent="0.25">
      <c r="A1240" s="13">
        <v>3</v>
      </c>
      <c r="B1240" s="14" t="s">
        <v>597</v>
      </c>
      <c r="C1240" s="316">
        <v>1</v>
      </c>
      <c r="D1240" s="15" t="s">
        <v>641</v>
      </c>
      <c r="E1240" s="16">
        <v>0</v>
      </c>
      <c r="F1240" s="16">
        <f t="shared" ref="F1240:F1278" si="36">E1240*C1240</f>
        <v>0</v>
      </c>
    </row>
    <row r="1241" spans="1:6" x14ac:dyDescent="0.25">
      <c r="A1241" s="13">
        <v>4</v>
      </c>
      <c r="B1241" s="14" t="s">
        <v>598</v>
      </c>
      <c r="C1241" s="316">
        <v>1</v>
      </c>
      <c r="D1241" s="15" t="s">
        <v>30</v>
      </c>
      <c r="E1241" s="16">
        <v>18000</v>
      </c>
      <c r="F1241" s="16">
        <f t="shared" si="36"/>
        <v>18000</v>
      </c>
    </row>
    <row r="1242" spans="1:6" x14ac:dyDescent="0.25">
      <c r="A1242" s="13">
        <v>5</v>
      </c>
      <c r="B1242" s="14" t="s">
        <v>601</v>
      </c>
      <c r="C1242" s="316">
        <v>1</v>
      </c>
      <c r="D1242" s="15" t="s">
        <v>30</v>
      </c>
      <c r="E1242" s="16">
        <v>8500</v>
      </c>
      <c r="F1242" s="16">
        <f t="shared" si="36"/>
        <v>8500</v>
      </c>
    </row>
    <row r="1243" spans="1:6" x14ac:dyDescent="0.25">
      <c r="A1243" s="13">
        <v>6</v>
      </c>
      <c r="B1243" s="14" t="s">
        <v>602</v>
      </c>
      <c r="C1243" s="316">
        <v>1</v>
      </c>
      <c r="D1243" s="15" t="s">
        <v>30</v>
      </c>
      <c r="E1243" s="16">
        <v>9000</v>
      </c>
      <c r="F1243" s="16">
        <f t="shared" si="36"/>
        <v>9000</v>
      </c>
    </row>
    <row r="1244" spans="1:6" x14ac:dyDescent="0.25">
      <c r="A1244" s="13">
        <v>7</v>
      </c>
      <c r="B1244" s="14" t="s">
        <v>599</v>
      </c>
      <c r="C1244" s="316">
        <v>1</v>
      </c>
      <c r="D1244" s="15" t="s">
        <v>30</v>
      </c>
      <c r="E1244" s="16">
        <v>18000</v>
      </c>
      <c r="F1244" s="16">
        <f t="shared" si="36"/>
        <v>18000</v>
      </c>
    </row>
    <row r="1245" spans="1:6" x14ac:dyDescent="0.25">
      <c r="A1245" s="13">
        <v>8</v>
      </c>
      <c r="B1245" s="14" t="s">
        <v>600</v>
      </c>
      <c r="C1245" s="316">
        <v>1</v>
      </c>
      <c r="D1245" s="15" t="s">
        <v>30</v>
      </c>
      <c r="E1245" s="16">
        <v>18000</v>
      </c>
      <c r="F1245" s="16">
        <f t="shared" si="36"/>
        <v>18000</v>
      </c>
    </row>
    <row r="1246" spans="1:6" x14ac:dyDescent="0.25">
      <c r="A1246" s="13">
        <v>9</v>
      </c>
      <c r="B1246" s="14" t="s">
        <v>643</v>
      </c>
      <c r="C1246" s="316">
        <v>1</v>
      </c>
      <c r="D1246" s="15" t="s">
        <v>641</v>
      </c>
      <c r="E1246" s="16">
        <v>28000</v>
      </c>
      <c r="F1246" s="16">
        <f t="shared" si="36"/>
        <v>28000</v>
      </c>
    </row>
    <row r="1247" spans="1:6" x14ac:dyDescent="0.25">
      <c r="A1247" s="13">
        <v>10</v>
      </c>
      <c r="B1247" s="14" t="s">
        <v>642</v>
      </c>
      <c r="C1247" s="316">
        <v>1</v>
      </c>
      <c r="D1247" s="15" t="s">
        <v>641</v>
      </c>
      <c r="E1247" s="16">
        <v>22000</v>
      </c>
      <c r="F1247" s="16">
        <f t="shared" si="36"/>
        <v>22000</v>
      </c>
    </row>
    <row r="1248" spans="1:6" x14ac:dyDescent="0.25">
      <c r="A1248" s="13">
        <v>11</v>
      </c>
      <c r="B1248" s="14" t="s">
        <v>604</v>
      </c>
      <c r="C1248" s="316">
        <v>1</v>
      </c>
      <c r="D1248" s="15" t="s">
        <v>33</v>
      </c>
      <c r="E1248" s="16">
        <v>1900</v>
      </c>
      <c r="F1248" s="16">
        <f t="shared" si="36"/>
        <v>1900</v>
      </c>
    </row>
    <row r="1249" spans="1:6" x14ac:dyDescent="0.25">
      <c r="A1249" s="13">
        <v>12</v>
      </c>
      <c r="B1249" s="14" t="s">
        <v>603</v>
      </c>
      <c r="C1249" s="316">
        <v>1</v>
      </c>
      <c r="D1249" s="15" t="s">
        <v>33</v>
      </c>
      <c r="E1249" s="16">
        <v>1750</v>
      </c>
      <c r="F1249" s="16">
        <f t="shared" si="36"/>
        <v>1750</v>
      </c>
    </row>
    <row r="1250" spans="1:6" x14ac:dyDescent="0.25">
      <c r="A1250" s="13">
        <v>13</v>
      </c>
      <c r="B1250" s="14" t="s">
        <v>605</v>
      </c>
      <c r="C1250" s="316">
        <v>1</v>
      </c>
      <c r="D1250" s="15" t="s">
        <v>9</v>
      </c>
      <c r="E1250" s="16">
        <v>1700</v>
      </c>
      <c r="F1250" s="16">
        <f t="shared" si="36"/>
        <v>1700</v>
      </c>
    </row>
    <row r="1251" spans="1:6" x14ac:dyDescent="0.25">
      <c r="A1251" s="13">
        <v>14</v>
      </c>
      <c r="B1251" s="14" t="s">
        <v>606</v>
      </c>
      <c r="C1251" s="316">
        <v>1</v>
      </c>
      <c r="D1251" s="15" t="s">
        <v>641</v>
      </c>
      <c r="E1251" s="16">
        <v>310000</v>
      </c>
      <c r="F1251" s="16">
        <f>E1251*C1251</f>
        <v>310000</v>
      </c>
    </row>
    <row r="1252" spans="1:6" x14ac:dyDescent="0.25">
      <c r="A1252" s="13">
        <v>15</v>
      </c>
      <c r="B1252" s="14" t="s">
        <v>607</v>
      </c>
      <c r="C1252" s="316">
        <v>1</v>
      </c>
      <c r="D1252" s="15" t="s">
        <v>32</v>
      </c>
      <c r="E1252" s="16">
        <v>680</v>
      </c>
      <c r="F1252" s="16">
        <f t="shared" si="36"/>
        <v>680</v>
      </c>
    </row>
    <row r="1253" spans="1:6" x14ac:dyDescent="0.25">
      <c r="A1253" s="13">
        <v>16</v>
      </c>
      <c r="B1253" s="14" t="s">
        <v>644</v>
      </c>
      <c r="C1253" s="316">
        <v>1</v>
      </c>
      <c r="D1253" s="15" t="s">
        <v>9</v>
      </c>
      <c r="E1253" s="16">
        <v>640</v>
      </c>
      <c r="F1253" s="16">
        <f t="shared" si="36"/>
        <v>640</v>
      </c>
    </row>
    <row r="1254" spans="1:6" x14ac:dyDescent="0.25">
      <c r="A1254" s="13">
        <v>17</v>
      </c>
      <c r="B1254" s="14" t="s">
        <v>645</v>
      </c>
      <c r="C1254" s="316">
        <v>1</v>
      </c>
      <c r="D1254" s="15" t="s">
        <v>9</v>
      </c>
      <c r="E1254" s="16">
        <v>460</v>
      </c>
      <c r="F1254" s="16">
        <f t="shared" si="36"/>
        <v>460</v>
      </c>
    </row>
    <row r="1255" spans="1:6" x14ac:dyDescent="0.25">
      <c r="A1255" s="13">
        <v>18</v>
      </c>
      <c r="B1255" s="14" t="s">
        <v>608</v>
      </c>
      <c r="C1255" s="316">
        <v>1</v>
      </c>
      <c r="D1255" s="15" t="s">
        <v>9</v>
      </c>
      <c r="E1255" s="16">
        <v>140</v>
      </c>
      <c r="F1255" s="16">
        <f t="shared" si="36"/>
        <v>140</v>
      </c>
    </row>
    <row r="1256" spans="1:6" x14ac:dyDescent="0.25">
      <c r="A1256" s="13">
        <v>19</v>
      </c>
      <c r="B1256" s="14" t="s">
        <v>609</v>
      </c>
      <c r="C1256" s="316">
        <v>1</v>
      </c>
      <c r="D1256" s="15" t="s">
        <v>9</v>
      </c>
      <c r="E1256" s="16">
        <v>280</v>
      </c>
      <c r="F1256" s="16">
        <f t="shared" si="36"/>
        <v>280</v>
      </c>
    </row>
    <row r="1257" spans="1:6" x14ac:dyDescent="0.25">
      <c r="A1257" s="13">
        <v>20</v>
      </c>
      <c r="B1257" s="14" t="s">
        <v>610</v>
      </c>
      <c r="C1257" s="316">
        <v>1</v>
      </c>
      <c r="D1257" s="15" t="s">
        <v>9</v>
      </c>
      <c r="E1257" s="16">
        <v>95</v>
      </c>
      <c r="F1257" s="16">
        <f t="shared" si="36"/>
        <v>95</v>
      </c>
    </row>
    <row r="1258" spans="1:6" x14ac:dyDescent="0.25">
      <c r="A1258" s="13">
        <v>21</v>
      </c>
      <c r="B1258" s="14" t="s">
        <v>611</v>
      </c>
      <c r="C1258" s="316">
        <v>1</v>
      </c>
      <c r="D1258" s="15" t="s">
        <v>9</v>
      </c>
      <c r="E1258" s="16">
        <v>95</v>
      </c>
      <c r="F1258" s="16">
        <f t="shared" si="36"/>
        <v>95</v>
      </c>
    </row>
    <row r="1259" spans="1:6" x14ac:dyDescent="0.25">
      <c r="A1259" s="13">
        <v>22</v>
      </c>
      <c r="B1259" s="14" t="s">
        <v>612</v>
      </c>
      <c r="C1259" s="316">
        <v>1</v>
      </c>
      <c r="D1259" s="15" t="s">
        <v>9</v>
      </c>
      <c r="E1259" s="16">
        <v>45</v>
      </c>
      <c r="F1259" s="16">
        <f t="shared" si="36"/>
        <v>45</v>
      </c>
    </row>
    <row r="1260" spans="1:6" ht="30" x14ac:dyDescent="0.25">
      <c r="A1260" s="13">
        <v>23</v>
      </c>
      <c r="B1260" s="14" t="s">
        <v>613</v>
      </c>
      <c r="C1260" s="316">
        <v>1</v>
      </c>
      <c r="D1260" s="15" t="s">
        <v>9</v>
      </c>
      <c r="E1260" s="16">
        <v>2200</v>
      </c>
      <c r="F1260" s="16">
        <f t="shared" si="36"/>
        <v>2200</v>
      </c>
    </row>
    <row r="1261" spans="1:6" x14ac:dyDescent="0.25">
      <c r="A1261" s="13">
        <v>24</v>
      </c>
      <c r="B1261" s="14" t="s">
        <v>614</v>
      </c>
      <c r="C1261" s="316">
        <v>1</v>
      </c>
      <c r="D1261" s="15" t="s">
        <v>9</v>
      </c>
      <c r="E1261" s="16">
        <v>1400</v>
      </c>
      <c r="F1261" s="16">
        <f t="shared" si="36"/>
        <v>1400</v>
      </c>
    </row>
    <row r="1262" spans="1:6" x14ac:dyDescent="0.25">
      <c r="A1262" s="13">
        <v>25</v>
      </c>
      <c r="B1262" s="14" t="s">
        <v>615</v>
      </c>
      <c r="C1262" s="316">
        <v>1</v>
      </c>
      <c r="D1262" s="15" t="s">
        <v>33</v>
      </c>
      <c r="E1262" s="16">
        <v>850</v>
      </c>
      <c r="F1262" s="16">
        <f t="shared" si="36"/>
        <v>850</v>
      </c>
    </row>
    <row r="1263" spans="1:6" x14ac:dyDescent="0.25">
      <c r="A1263" s="13">
        <v>26</v>
      </c>
      <c r="B1263" s="14" t="s">
        <v>622</v>
      </c>
      <c r="C1263" s="316">
        <v>1</v>
      </c>
      <c r="D1263" s="15" t="s">
        <v>33</v>
      </c>
      <c r="E1263" s="16">
        <v>600</v>
      </c>
      <c r="F1263" s="16">
        <f t="shared" si="36"/>
        <v>600</v>
      </c>
    </row>
    <row r="1264" spans="1:6" x14ac:dyDescent="0.25">
      <c r="A1264" s="13">
        <v>27</v>
      </c>
      <c r="B1264" s="14" t="s">
        <v>616</v>
      </c>
      <c r="C1264" s="316">
        <v>1</v>
      </c>
      <c r="D1264" s="15" t="s">
        <v>33</v>
      </c>
      <c r="E1264" s="16">
        <v>480</v>
      </c>
      <c r="F1264" s="16">
        <f t="shared" si="36"/>
        <v>480</v>
      </c>
    </row>
    <row r="1265" spans="1:6" x14ac:dyDescent="0.25">
      <c r="A1265" s="13">
        <v>28</v>
      </c>
      <c r="B1265" s="14" t="s">
        <v>617</v>
      </c>
      <c r="C1265" s="316">
        <v>1</v>
      </c>
      <c r="D1265" s="15" t="s">
        <v>9</v>
      </c>
      <c r="E1265" s="16">
        <v>60</v>
      </c>
      <c r="F1265" s="16">
        <f t="shared" si="36"/>
        <v>60</v>
      </c>
    </row>
    <row r="1266" spans="1:6" x14ac:dyDescent="0.25">
      <c r="A1266" s="13">
        <v>29</v>
      </c>
      <c r="B1266" s="14" t="s">
        <v>618</v>
      </c>
      <c r="C1266" s="316">
        <v>1</v>
      </c>
      <c r="D1266" s="15" t="s">
        <v>9</v>
      </c>
      <c r="E1266" s="16">
        <v>490</v>
      </c>
      <c r="F1266" s="16">
        <f t="shared" si="36"/>
        <v>490</v>
      </c>
    </row>
    <row r="1267" spans="1:6" x14ac:dyDescent="0.25">
      <c r="A1267" s="13">
        <v>30</v>
      </c>
      <c r="B1267" s="14" t="s">
        <v>619</v>
      </c>
      <c r="C1267" s="316">
        <v>1</v>
      </c>
      <c r="D1267" s="15" t="s">
        <v>9</v>
      </c>
      <c r="E1267" s="16">
        <v>360</v>
      </c>
      <c r="F1267" s="16">
        <f t="shared" si="36"/>
        <v>360</v>
      </c>
    </row>
    <row r="1268" spans="1:6" x14ac:dyDescent="0.25">
      <c r="A1268" s="13">
        <v>31</v>
      </c>
      <c r="B1268" s="14" t="s">
        <v>620</v>
      </c>
      <c r="C1268" s="316">
        <v>1</v>
      </c>
      <c r="D1268" s="15" t="s">
        <v>9</v>
      </c>
      <c r="E1268" s="16">
        <v>340</v>
      </c>
      <c r="F1268" s="16">
        <f t="shared" si="36"/>
        <v>340</v>
      </c>
    </row>
    <row r="1269" spans="1:6" ht="30" x14ac:dyDescent="0.25">
      <c r="A1269" s="13">
        <v>32</v>
      </c>
      <c r="B1269" s="14" t="s">
        <v>621</v>
      </c>
      <c r="C1269" s="316">
        <v>1</v>
      </c>
      <c r="D1269" s="15" t="s">
        <v>33</v>
      </c>
      <c r="E1269" s="16">
        <v>4500</v>
      </c>
      <c r="F1269" s="16">
        <f t="shared" si="36"/>
        <v>4500</v>
      </c>
    </row>
    <row r="1270" spans="1:6" x14ac:dyDescent="0.25">
      <c r="A1270" s="13">
        <v>33</v>
      </c>
      <c r="B1270" s="14" t="s">
        <v>623</v>
      </c>
      <c r="F1270" s="16">
        <f t="shared" si="36"/>
        <v>0</v>
      </c>
    </row>
    <row r="1271" spans="1:6" x14ac:dyDescent="0.25">
      <c r="A1271" s="13">
        <v>34</v>
      </c>
      <c r="B1271" s="14" t="s">
        <v>624</v>
      </c>
      <c r="C1271" s="316">
        <v>1</v>
      </c>
      <c r="D1271" s="15" t="s">
        <v>641</v>
      </c>
      <c r="E1271" s="16">
        <v>7500</v>
      </c>
      <c r="F1271" s="16">
        <f t="shared" si="36"/>
        <v>7500</v>
      </c>
    </row>
    <row r="1272" spans="1:6" x14ac:dyDescent="0.25">
      <c r="A1272" s="13">
        <v>35</v>
      </c>
      <c r="B1272" s="14" t="s">
        <v>625</v>
      </c>
      <c r="C1272" s="316">
        <v>1</v>
      </c>
      <c r="D1272" s="15" t="s">
        <v>641</v>
      </c>
      <c r="E1272" s="16">
        <v>8500</v>
      </c>
      <c r="F1272" s="16">
        <f t="shared" si="36"/>
        <v>8500</v>
      </c>
    </row>
    <row r="1273" spans="1:6" x14ac:dyDescent="0.25">
      <c r="A1273" s="13">
        <v>36</v>
      </c>
      <c r="B1273" s="14" t="s">
        <v>626</v>
      </c>
      <c r="C1273" s="316">
        <v>1</v>
      </c>
      <c r="D1273" s="15" t="s">
        <v>641</v>
      </c>
      <c r="E1273" s="16">
        <v>18000</v>
      </c>
      <c r="F1273" s="16">
        <f t="shared" si="36"/>
        <v>18000</v>
      </c>
    </row>
    <row r="1274" spans="1:6" x14ac:dyDescent="0.25">
      <c r="A1274" s="13">
        <v>37</v>
      </c>
      <c r="B1274" s="14" t="s">
        <v>627</v>
      </c>
      <c r="C1274" s="316">
        <v>1</v>
      </c>
      <c r="D1274" s="15" t="s">
        <v>641</v>
      </c>
      <c r="E1274" s="16">
        <v>6500</v>
      </c>
      <c r="F1274" s="16">
        <f t="shared" si="36"/>
        <v>6500</v>
      </c>
    </row>
    <row r="1275" spans="1:6" x14ac:dyDescent="0.25">
      <c r="A1275" s="13">
        <v>38</v>
      </c>
      <c r="B1275" s="14" t="s">
        <v>628</v>
      </c>
      <c r="F1275" s="16">
        <f t="shared" si="36"/>
        <v>0</v>
      </c>
    </row>
    <row r="1276" spans="1:6" x14ac:dyDescent="0.25">
      <c r="A1276" s="13">
        <v>39</v>
      </c>
      <c r="B1276" s="14" t="s">
        <v>629</v>
      </c>
      <c r="C1276" s="316">
        <v>1</v>
      </c>
      <c r="D1276" s="15" t="s">
        <v>641</v>
      </c>
      <c r="E1276" s="16">
        <v>4500</v>
      </c>
      <c r="F1276" s="16">
        <f t="shared" si="36"/>
        <v>4500</v>
      </c>
    </row>
    <row r="1277" spans="1:6" x14ac:dyDescent="0.25">
      <c r="A1277" s="13">
        <v>40</v>
      </c>
      <c r="B1277" s="14" t="s">
        <v>630</v>
      </c>
      <c r="C1277" s="316">
        <v>1</v>
      </c>
      <c r="D1277" s="15" t="s">
        <v>641</v>
      </c>
      <c r="E1277" s="16">
        <v>3500</v>
      </c>
      <c r="F1277" s="16">
        <f t="shared" si="36"/>
        <v>3500</v>
      </c>
    </row>
    <row r="1278" spans="1:6" x14ac:dyDescent="0.25">
      <c r="A1278" s="13">
        <v>41</v>
      </c>
      <c r="B1278" s="14" t="s">
        <v>631</v>
      </c>
      <c r="C1278" s="316">
        <v>1</v>
      </c>
      <c r="D1278" s="15" t="s">
        <v>641</v>
      </c>
      <c r="E1278" s="16">
        <v>3500</v>
      </c>
      <c r="F1278" s="16">
        <f t="shared" si="36"/>
        <v>3500</v>
      </c>
    </row>
    <row r="1279" spans="1:6" x14ac:dyDescent="0.25">
      <c r="A1279" s="13">
        <v>42</v>
      </c>
      <c r="B1279" s="14" t="s">
        <v>632</v>
      </c>
      <c r="C1279" s="316">
        <v>1</v>
      </c>
      <c r="D1279" s="15" t="s">
        <v>641</v>
      </c>
      <c r="E1279" s="16">
        <v>4500</v>
      </c>
      <c r="F1279" s="16">
        <f t="shared" ref="F1279:F1342" si="37">E1279*C1279</f>
        <v>4500</v>
      </c>
    </row>
    <row r="1280" spans="1:6" x14ac:dyDescent="0.25">
      <c r="A1280" s="13">
        <v>43</v>
      </c>
      <c r="B1280" s="14" t="s">
        <v>633</v>
      </c>
      <c r="C1280" s="316">
        <v>1</v>
      </c>
      <c r="D1280" s="15" t="s">
        <v>641</v>
      </c>
      <c r="E1280" s="16">
        <v>0</v>
      </c>
      <c r="F1280" s="16">
        <f t="shared" si="37"/>
        <v>0</v>
      </c>
    </row>
    <row r="1281" spans="1:6" x14ac:dyDescent="0.25">
      <c r="A1281" s="13">
        <v>44</v>
      </c>
      <c r="B1281" s="14" t="s">
        <v>636</v>
      </c>
      <c r="C1281" s="316">
        <v>1</v>
      </c>
      <c r="D1281" s="15" t="s">
        <v>641</v>
      </c>
      <c r="E1281" s="16">
        <v>0</v>
      </c>
      <c r="F1281" s="16">
        <f t="shared" si="37"/>
        <v>0</v>
      </c>
    </row>
    <row r="1282" spans="1:6" x14ac:dyDescent="0.25">
      <c r="A1282" s="13">
        <v>45</v>
      </c>
      <c r="B1282" s="14" t="s">
        <v>635</v>
      </c>
      <c r="C1282" s="316">
        <v>1</v>
      </c>
      <c r="D1282" s="15" t="s">
        <v>641</v>
      </c>
      <c r="E1282" s="16">
        <v>0</v>
      </c>
      <c r="F1282" s="16">
        <f t="shared" si="37"/>
        <v>0</v>
      </c>
    </row>
    <row r="1283" spans="1:6" x14ac:dyDescent="0.25">
      <c r="A1283" s="13">
        <v>46</v>
      </c>
      <c r="B1283" s="14" t="s">
        <v>634</v>
      </c>
      <c r="C1283" s="316">
        <v>1</v>
      </c>
      <c r="D1283" s="15" t="s">
        <v>641</v>
      </c>
      <c r="E1283" s="16">
        <v>0</v>
      </c>
      <c r="F1283" s="16">
        <f t="shared" si="37"/>
        <v>0</v>
      </c>
    </row>
    <row r="1284" spans="1:6" x14ac:dyDescent="0.25">
      <c r="A1284" s="13">
        <v>47</v>
      </c>
      <c r="B1284" s="14" t="s">
        <v>637</v>
      </c>
      <c r="C1284" s="316">
        <v>1</v>
      </c>
      <c r="D1284" s="15" t="s">
        <v>641</v>
      </c>
      <c r="E1284" s="16">
        <v>0</v>
      </c>
      <c r="F1284" s="16">
        <f t="shared" si="37"/>
        <v>0</v>
      </c>
    </row>
    <row r="1285" spans="1:6" x14ac:dyDescent="0.25">
      <c r="A1285" s="13">
        <v>48</v>
      </c>
      <c r="B1285" s="14" t="s">
        <v>638</v>
      </c>
      <c r="C1285" s="316">
        <v>1</v>
      </c>
      <c r="D1285" s="15" t="s">
        <v>641</v>
      </c>
      <c r="E1285" s="16">
        <v>18000</v>
      </c>
      <c r="F1285" s="16">
        <f t="shared" si="37"/>
        <v>18000</v>
      </c>
    </row>
    <row r="1286" spans="1:6" x14ac:dyDescent="0.25">
      <c r="A1286" s="13">
        <v>49</v>
      </c>
      <c r="B1286" s="14" t="s">
        <v>639</v>
      </c>
      <c r="C1286" s="316">
        <v>1</v>
      </c>
      <c r="D1286" s="15" t="s">
        <v>641</v>
      </c>
      <c r="E1286" s="16">
        <v>16000</v>
      </c>
      <c r="F1286" s="16">
        <f t="shared" si="37"/>
        <v>16000</v>
      </c>
    </row>
    <row r="1287" spans="1:6" ht="30" x14ac:dyDescent="0.25">
      <c r="A1287" s="13">
        <v>50</v>
      </c>
      <c r="B1287" s="14" t="s">
        <v>640</v>
      </c>
      <c r="C1287" s="316">
        <v>1</v>
      </c>
      <c r="D1287" s="15" t="s">
        <v>641</v>
      </c>
      <c r="E1287" s="16">
        <v>4500</v>
      </c>
      <c r="F1287" s="16">
        <f t="shared" si="37"/>
        <v>4500</v>
      </c>
    </row>
    <row r="1289" spans="1:6" x14ac:dyDescent="0.25">
      <c r="B1289" s="17" t="s">
        <v>224</v>
      </c>
      <c r="C1289" s="31"/>
      <c r="D1289" s="18"/>
      <c r="E1289" s="239"/>
      <c r="F1289" s="239">
        <f>SUM(F1238:F1287)</f>
        <v>545885</v>
      </c>
    </row>
    <row r="1291" spans="1:6" x14ac:dyDescent="0.25">
      <c r="A1291" s="46" t="s">
        <v>0</v>
      </c>
      <c r="B1291" s="28" t="s">
        <v>1</v>
      </c>
      <c r="C1291" s="321" t="s">
        <v>2</v>
      </c>
      <c r="D1291" s="47" t="s">
        <v>3</v>
      </c>
      <c r="E1291" s="244" t="s">
        <v>4</v>
      </c>
      <c r="F1291" s="244" t="s">
        <v>5</v>
      </c>
    </row>
    <row r="1292" spans="1:6" ht="90" x14ac:dyDescent="0.25">
      <c r="A1292" s="13">
        <v>1</v>
      </c>
      <c r="B1292" s="14" t="s">
        <v>646</v>
      </c>
      <c r="C1292" s="316">
        <v>2020</v>
      </c>
      <c r="D1292" s="15" t="s">
        <v>9</v>
      </c>
      <c r="E1292" s="16">
        <v>2100</v>
      </c>
      <c r="F1292" s="16">
        <f t="shared" si="37"/>
        <v>4242000</v>
      </c>
    </row>
    <row r="1293" spans="1:6" ht="30" x14ac:dyDescent="0.25">
      <c r="A1293" s="13">
        <v>2</v>
      </c>
      <c r="B1293" s="14" t="s">
        <v>647</v>
      </c>
      <c r="C1293" s="316">
        <v>320</v>
      </c>
      <c r="D1293" s="15" t="s">
        <v>33</v>
      </c>
      <c r="E1293" s="16">
        <v>1200</v>
      </c>
      <c r="F1293" s="16">
        <f t="shared" si="37"/>
        <v>384000</v>
      </c>
    </row>
    <row r="1294" spans="1:6" ht="45" x14ac:dyDescent="0.25">
      <c r="A1294" s="13">
        <v>3</v>
      </c>
      <c r="B1294" s="14" t="s">
        <v>649</v>
      </c>
      <c r="C1294" s="316">
        <v>90</v>
      </c>
      <c r="D1294" s="15" t="s">
        <v>33</v>
      </c>
      <c r="E1294" s="16">
        <v>1200</v>
      </c>
      <c r="F1294" s="16">
        <f t="shared" si="37"/>
        <v>108000</v>
      </c>
    </row>
    <row r="1295" spans="1:6" ht="60" x14ac:dyDescent="0.25">
      <c r="A1295" s="13">
        <v>4</v>
      </c>
      <c r="B1295" s="14" t="s">
        <v>648</v>
      </c>
      <c r="C1295" s="316">
        <v>93</v>
      </c>
      <c r="D1295" s="15" t="s">
        <v>33</v>
      </c>
      <c r="E1295" s="16">
        <v>1250</v>
      </c>
      <c r="F1295" s="16">
        <f t="shared" si="37"/>
        <v>116250</v>
      </c>
    </row>
    <row r="1297" spans="1:6" x14ac:dyDescent="0.25">
      <c r="B1297" s="17" t="s">
        <v>10</v>
      </c>
      <c r="C1297" s="31"/>
      <c r="D1297" s="18"/>
      <c r="E1297" s="239"/>
      <c r="F1297" s="239">
        <f>SUM(F1292:F1295)</f>
        <v>4850250</v>
      </c>
    </row>
    <row r="1299" spans="1:6" x14ac:dyDescent="0.25">
      <c r="A1299" s="46" t="s">
        <v>0</v>
      </c>
      <c r="B1299" s="28" t="s">
        <v>1</v>
      </c>
      <c r="C1299" s="321" t="s">
        <v>2</v>
      </c>
      <c r="D1299" s="47" t="s">
        <v>3</v>
      </c>
      <c r="E1299" s="244" t="s">
        <v>4</v>
      </c>
      <c r="F1299" s="244" t="s">
        <v>5</v>
      </c>
    </row>
    <row r="1300" spans="1:6" ht="45" x14ac:dyDescent="0.25">
      <c r="A1300" s="13">
        <v>1</v>
      </c>
      <c r="B1300" s="14" t="s">
        <v>651</v>
      </c>
      <c r="C1300" s="316">
        <v>1</v>
      </c>
      <c r="D1300" s="15" t="s">
        <v>11</v>
      </c>
      <c r="E1300" s="16">
        <v>22000</v>
      </c>
      <c r="F1300" s="16">
        <f t="shared" si="37"/>
        <v>22000</v>
      </c>
    </row>
    <row r="1301" spans="1:6" ht="60" x14ac:dyDescent="0.25">
      <c r="A1301" s="13">
        <v>2</v>
      </c>
      <c r="B1301" s="14" t="s">
        <v>650</v>
      </c>
      <c r="C1301" s="316">
        <v>223</v>
      </c>
      <c r="D1301" s="15" t="s">
        <v>31</v>
      </c>
      <c r="E1301" s="16">
        <v>280</v>
      </c>
      <c r="F1301" s="16">
        <f t="shared" si="37"/>
        <v>62440</v>
      </c>
    </row>
    <row r="1302" spans="1:6" ht="30" x14ac:dyDescent="0.25">
      <c r="A1302" s="13">
        <v>3</v>
      </c>
      <c r="B1302" s="14" t="s">
        <v>652</v>
      </c>
      <c r="C1302" s="316">
        <v>1</v>
      </c>
      <c r="D1302" s="15" t="s">
        <v>11</v>
      </c>
      <c r="E1302" s="16">
        <v>25000</v>
      </c>
      <c r="F1302" s="16">
        <f t="shared" si="37"/>
        <v>25000</v>
      </c>
    </row>
    <row r="1303" spans="1:6" ht="30" x14ac:dyDescent="0.25">
      <c r="A1303" s="13">
        <v>4</v>
      </c>
      <c r="B1303" s="14" t="s">
        <v>653</v>
      </c>
      <c r="C1303" s="316">
        <v>1</v>
      </c>
      <c r="D1303" s="15" t="s">
        <v>11</v>
      </c>
      <c r="E1303" s="16">
        <v>30000</v>
      </c>
      <c r="F1303" s="16">
        <f t="shared" si="37"/>
        <v>30000</v>
      </c>
    </row>
    <row r="1304" spans="1:6" ht="30" x14ac:dyDescent="0.25">
      <c r="A1304" s="13">
        <v>5</v>
      </c>
      <c r="B1304" s="14" t="s">
        <v>654</v>
      </c>
      <c r="C1304" s="316">
        <v>74</v>
      </c>
      <c r="D1304" s="15" t="s">
        <v>33</v>
      </c>
      <c r="E1304" s="16">
        <v>1650</v>
      </c>
      <c r="F1304" s="16">
        <f t="shared" si="37"/>
        <v>122100</v>
      </c>
    </row>
    <row r="1305" spans="1:6" ht="30" x14ac:dyDescent="0.25">
      <c r="A1305" s="13">
        <v>6</v>
      </c>
      <c r="B1305" s="14" t="s">
        <v>655</v>
      </c>
      <c r="C1305" s="316">
        <v>1</v>
      </c>
      <c r="D1305" s="15" t="s">
        <v>11</v>
      </c>
      <c r="E1305" s="16">
        <v>46000</v>
      </c>
      <c r="F1305" s="16">
        <f t="shared" si="37"/>
        <v>46000</v>
      </c>
    </row>
    <row r="1306" spans="1:6" ht="45" x14ac:dyDescent="0.25">
      <c r="A1306" s="13">
        <v>7</v>
      </c>
      <c r="B1306" s="14" t="s">
        <v>656</v>
      </c>
      <c r="C1306" s="316">
        <v>4947</v>
      </c>
      <c r="D1306" s="15" t="s">
        <v>31</v>
      </c>
      <c r="E1306" s="16">
        <v>160</v>
      </c>
      <c r="F1306" s="16">
        <f t="shared" si="37"/>
        <v>791520</v>
      </c>
    </row>
    <row r="1307" spans="1:6" ht="30" x14ac:dyDescent="0.25">
      <c r="A1307" s="13">
        <v>8</v>
      </c>
      <c r="B1307" s="14" t="s">
        <v>657</v>
      </c>
      <c r="C1307" s="316">
        <v>1</v>
      </c>
      <c r="D1307" s="15" t="s">
        <v>11</v>
      </c>
      <c r="E1307" s="16">
        <v>24300</v>
      </c>
      <c r="F1307" s="16">
        <f t="shared" si="37"/>
        <v>24300</v>
      </c>
    </row>
    <row r="1308" spans="1:6" ht="30" x14ac:dyDescent="0.25">
      <c r="A1308" s="13">
        <v>9</v>
      </c>
      <c r="B1308" s="14" t="s">
        <v>674</v>
      </c>
      <c r="C1308" s="316">
        <v>1</v>
      </c>
      <c r="D1308" s="15" t="s">
        <v>11</v>
      </c>
      <c r="E1308" s="16">
        <v>8500</v>
      </c>
      <c r="F1308" s="16">
        <f t="shared" si="37"/>
        <v>8500</v>
      </c>
    </row>
    <row r="1309" spans="1:6" x14ac:dyDescent="0.25">
      <c r="A1309" s="13">
        <v>10</v>
      </c>
      <c r="B1309" s="14" t="s">
        <v>658</v>
      </c>
      <c r="C1309" s="316">
        <v>1</v>
      </c>
      <c r="D1309" s="15" t="s">
        <v>11</v>
      </c>
      <c r="E1309" s="16">
        <v>28000</v>
      </c>
      <c r="F1309" s="16">
        <f t="shared" si="37"/>
        <v>28000</v>
      </c>
    </row>
    <row r="1310" spans="1:6" ht="30" x14ac:dyDescent="0.25">
      <c r="A1310" s="13">
        <v>11</v>
      </c>
      <c r="B1310" s="14" t="s">
        <v>659</v>
      </c>
      <c r="C1310" s="316">
        <v>1034</v>
      </c>
      <c r="D1310" s="15" t="s">
        <v>31</v>
      </c>
      <c r="E1310" s="16">
        <v>145</v>
      </c>
      <c r="F1310" s="16">
        <f t="shared" si="37"/>
        <v>149930</v>
      </c>
    </row>
    <row r="1311" spans="1:6" ht="30" x14ac:dyDescent="0.25">
      <c r="A1311" s="13">
        <v>12</v>
      </c>
      <c r="B1311" s="14" t="s">
        <v>660</v>
      </c>
      <c r="C1311" s="316">
        <v>520</v>
      </c>
      <c r="D1311" s="15" t="s">
        <v>31</v>
      </c>
      <c r="E1311" s="16">
        <v>420</v>
      </c>
      <c r="F1311" s="16">
        <f t="shared" si="37"/>
        <v>218400</v>
      </c>
    </row>
    <row r="1312" spans="1:6" ht="45" x14ac:dyDescent="0.25">
      <c r="A1312" s="13">
        <v>13</v>
      </c>
      <c r="B1312" s="14" t="s">
        <v>661</v>
      </c>
      <c r="C1312" s="316">
        <v>828</v>
      </c>
      <c r="D1312" s="15" t="s">
        <v>31</v>
      </c>
      <c r="E1312" s="16">
        <v>680</v>
      </c>
      <c r="F1312" s="16">
        <f t="shared" si="37"/>
        <v>563040</v>
      </c>
    </row>
    <row r="1313" spans="1:12" ht="30" x14ac:dyDescent="0.25">
      <c r="A1313" s="13">
        <v>14</v>
      </c>
      <c r="B1313" s="14" t="s">
        <v>662</v>
      </c>
      <c r="C1313" s="316">
        <v>75</v>
      </c>
      <c r="D1313" s="15" t="s">
        <v>33</v>
      </c>
      <c r="E1313" s="16">
        <v>1850</v>
      </c>
      <c r="F1313" s="16">
        <f t="shared" si="37"/>
        <v>138750</v>
      </c>
      <c r="I1313" s="34" t="s">
        <v>675</v>
      </c>
    </row>
    <row r="1314" spans="1:12" ht="45" x14ac:dyDescent="0.25">
      <c r="A1314" s="13">
        <v>15</v>
      </c>
      <c r="B1314" s="14" t="s">
        <v>663</v>
      </c>
      <c r="C1314" s="316">
        <v>520</v>
      </c>
      <c r="D1314" s="15" t="s">
        <v>31</v>
      </c>
      <c r="E1314" s="16">
        <v>750</v>
      </c>
      <c r="F1314" s="16">
        <f t="shared" si="37"/>
        <v>390000</v>
      </c>
    </row>
    <row r="1315" spans="1:12" ht="60" x14ac:dyDescent="0.25">
      <c r="A1315" s="13">
        <v>16</v>
      </c>
      <c r="B1315" s="14" t="s">
        <v>664</v>
      </c>
      <c r="C1315" s="316">
        <v>5494</v>
      </c>
      <c r="D1315" s="15" t="s">
        <v>31</v>
      </c>
      <c r="E1315" s="16">
        <v>90</v>
      </c>
      <c r="F1315" s="16">
        <f t="shared" si="37"/>
        <v>494460</v>
      </c>
      <c r="I1315" s="34" t="s">
        <v>678</v>
      </c>
      <c r="J1315" s="33">
        <v>3200</v>
      </c>
      <c r="K1315" s="33">
        <v>420</v>
      </c>
      <c r="L1315" s="33">
        <f t="shared" ref="L1315:L1320" si="38">K1315*J1315</f>
        <v>1344000</v>
      </c>
    </row>
    <row r="1316" spans="1:12" ht="45" x14ac:dyDescent="0.25">
      <c r="A1316" s="13">
        <v>17</v>
      </c>
      <c r="B1316" s="14" t="s">
        <v>665</v>
      </c>
      <c r="C1316" s="316">
        <v>1</v>
      </c>
      <c r="D1316" s="15" t="s">
        <v>11</v>
      </c>
      <c r="E1316" s="16">
        <v>49500</v>
      </c>
      <c r="F1316" s="16">
        <f t="shared" si="37"/>
        <v>49500</v>
      </c>
      <c r="I1316" s="34" t="s">
        <v>676</v>
      </c>
      <c r="J1316" s="33">
        <v>3600</v>
      </c>
      <c r="K1316" s="33">
        <v>140</v>
      </c>
      <c r="L1316" s="33">
        <f t="shared" si="38"/>
        <v>504000</v>
      </c>
    </row>
    <row r="1317" spans="1:12" ht="90" x14ac:dyDescent="0.25">
      <c r="A1317" s="13">
        <v>18</v>
      </c>
      <c r="B1317" s="14" t="s">
        <v>666</v>
      </c>
      <c r="C1317" s="316">
        <v>1</v>
      </c>
      <c r="D1317" s="15" t="s">
        <v>11</v>
      </c>
      <c r="E1317" s="16">
        <v>245000</v>
      </c>
      <c r="F1317" s="16">
        <f t="shared" si="37"/>
        <v>245000</v>
      </c>
      <c r="I1317" s="34" t="s">
        <v>677</v>
      </c>
      <c r="J1317" s="33">
        <v>2700</v>
      </c>
      <c r="K1317" s="33">
        <v>160</v>
      </c>
      <c r="L1317" s="33">
        <f t="shared" si="38"/>
        <v>432000</v>
      </c>
    </row>
    <row r="1318" spans="1:12" ht="30" x14ac:dyDescent="0.25">
      <c r="A1318" s="13">
        <v>19</v>
      </c>
      <c r="B1318" s="14" t="s">
        <v>667</v>
      </c>
      <c r="C1318" s="316">
        <v>37</v>
      </c>
      <c r="D1318" s="15" t="s">
        <v>668</v>
      </c>
      <c r="E1318" s="16">
        <v>500</v>
      </c>
      <c r="F1318" s="16">
        <f t="shared" si="37"/>
        <v>18500</v>
      </c>
      <c r="I1318" s="34" t="s">
        <v>679</v>
      </c>
      <c r="J1318" s="33">
        <v>1100</v>
      </c>
      <c r="K1318" s="33">
        <v>450</v>
      </c>
      <c r="L1318" s="33">
        <f t="shared" si="38"/>
        <v>495000</v>
      </c>
    </row>
    <row r="1319" spans="1:12" ht="30" x14ac:dyDescent="0.25">
      <c r="A1319" s="13">
        <v>20</v>
      </c>
      <c r="B1319" s="14" t="s">
        <v>669</v>
      </c>
      <c r="C1319" s="316">
        <v>27</v>
      </c>
      <c r="D1319" s="15" t="s">
        <v>668</v>
      </c>
      <c r="E1319" s="16">
        <v>6500</v>
      </c>
      <c r="F1319" s="16">
        <f t="shared" si="37"/>
        <v>175500</v>
      </c>
      <c r="I1319" s="34" t="s">
        <v>680</v>
      </c>
      <c r="J1319" s="33">
        <v>1100</v>
      </c>
      <c r="K1319" s="33">
        <v>140</v>
      </c>
      <c r="L1319" s="33">
        <f t="shared" si="38"/>
        <v>154000</v>
      </c>
    </row>
    <row r="1320" spans="1:12" ht="30" x14ac:dyDescent="0.25">
      <c r="A1320" s="13">
        <v>21</v>
      </c>
      <c r="B1320" s="14" t="s">
        <v>670</v>
      </c>
      <c r="C1320" s="316">
        <v>8</v>
      </c>
      <c r="D1320" s="15" t="s">
        <v>668</v>
      </c>
      <c r="E1320" s="16">
        <v>7000</v>
      </c>
      <c r="F1320" s="16">
        <f t="shared" si="37"/>
        <v>56000</v>
      </c>
      <c r="L1320" s="33">
        <f t="shared" si="38"/>
        <v>0</v>
      </c>
    </row>
    <row r="1321" spans="1:12" ht="30" x14ac:dyDescent="0.25">
      <c r="A1321" s="13">
        <v>22</v>
      </c>
      <c r="B1321" s="14" t="s">
        <v>671</v>
      </c>
      <c r="C1321" s="316">
        <v>1</v>
      </c>
      <c r="D1321" s="15" t="s">
        <v>11</v>
      </c>
      <c r="E1321" s="16">
        <v>15000</v>
      </c>
      <c r="F1321" s="16">
        <f t="shared" si="37"/>
        <v>15000</v>
      </c>
    </row>
    <row r="1322" spans="1:12" x14ac:dyDescent="0.25">
      <c r="A1322" s="13">
        <v>23</v>
      </c>
      <c r="B1322" s="14" t="s">
        <v>672</v>
      </c>
      <c r="C1322" s="316">
        <v>1</v>
      </c>
      <c r="D1322" s="15" t="s">
        <v>11</v>
      </c>
      <c r="E1322" s="16">
        <v>15000</v>
      </c>
      <c r="F1322" s="16">
        <f t="shared" si="37"/>
        <v>15000</v>
      </c>
      <c r="L1322" s="33" cm="1">
        <f t="array" ref="L1322">SUM(L1315:L1318+L1319)</f>
        <v>3391000</v>
      </c>
    </row>
    <row r="1323" spans="1:12" x14ac:dyDescent="0.25">
      <c r="A1323" s="13">
        <v>24</v>
      </c>
      <c r="B1323" s="14" t="s">
        <v>673</v>
      </c>
      <c r="C1323" s="316">
        <v>37</v>
      </c>
      <c r="D1323" s="15" t="s">
        <v>668</v>
      </c>
      <c r="E1323" s="16">
        <v>550</v>
      </c>
      <c r="F1323" s="16">
        <f t="shared" si="37"/>
        <v>20350</v>
      </c>
    </row>
    <row r="1325" spans="1:12" x14ac:dyDescent="0.25">
      <c r="B1325" s="14" t="s">
        <v>10</v>
      </c>
      <c r="F1325" s="16">
        <f>SUM(F1300:F1323)</f>
        <v>3709290</v>
      </c>
    </row>
    <row r="1327" spans="1:12" x14ac:dyDescent="0.25">
      <c r="A1327" s="46" t="s">
        <v>0</v>
      </c>
      <c r="B1327" s="28" t="s">
        <v>1</v>
      </c>
      <c r="C1327" s="321" t="s">
        <v>2</v>
      </c>
      <c r="D1327" s="47" t="s">
        <v>3</v>
      </c>
      <c r="E1327" s="244" t="s">
        <v>4</v>
      </c>
      <c r="F1327" s="244" t="s">
        <v>5</v>
      </c>
    </row>
    <row r="1328" spans="1:12" ht="45" x14ac:dyDescent="0.25">
      <c r="A1328" s="13">
        <v>1</v>
      </c>
      <c r="B1328" s="40" t="s">
        <v>681</v>
      </c>
      <c r="C1328" s="316">
        <v>3200</v>
      </c>
      <c r="D1328" s="15" t="s">
        <v>9</v>
      </c>
      <c r="E1328" s="16">
        <v>420</v>
      </c>
      <c r="F1328" s="16">
        <f t="shared" si="37"/>
        <v>1344000</v>
      </c>
    </row>
    <row r="1329" spans="1:6" ht="60" x14ac:dyDescent="0.25">
      <c r="A1329" s="13">
        <v>2</v>
      </c>
      <c r="B1329" s="29" t="s">
        <v>77</v>
      </c>
      <c r="C1329" s="316">
        <v>3600</v>
      </c>
      <c r="D1329" s="15" t="s">
        <v>9</v>
      </c>
      <c r="E1329" s="16">
        <v>140</v>
      </c>
      <c r="F1329" s="16">
        <f t="shared" si="37"/>
        <v>504000</v>
      </c>
    </row>
    <row r="1330" spans="1:6" ht="45" x14ac:dyDescent="0.25">
      <c r="A1330" s="13">
        <v>3</v>
      </c>
      <c r="B1330" s="14" t="s">
        <v>682</v>
      </c>
      <c r="C1330" s="316">
        <v>2700</v>
      </c>
      <c r="D1330" s="15" t="s">
        <v>9</v>
      </c>
      <c r="E1330" s="16">
        <v>160</v>
      </c>
      <c r="F1330" s="16">
        <f t="shared" si="37"/>
        <v>432000</v>
      </c>
    </row>
    <row r="1331" spans="1:6" ht="45" x14ac:dyDescent="0.25">
      <c r="A1331" s="13">
        <v>4</v>
      </c>
      <c r="B1331" s="14" t="s">
        <v>684</v>
      </c>
      <c r="C1331" s="316">
        <v>1600</v>
      </c>
      <c r="D1331" s="15" t="s">
        <v>9</v>
      </c>
      <c r="E1331" s="16">
        <v>180</v>
      </c>
      <c r="F1331" s="16">
        <f t="shared" si="37"/>
        <v>288000</v>
      </c>
    </row>
    <row r="1332" spans="1:6" ht="60" x14ac:dyDescent="0.25">
      <c r="A1332" s="13">
        <v>5</v>
      </c>
      <c r="B1332" s="14" t="s">
        <v>683</v>
      </c>
      <c r="C1332" s="316">
        <v>1</v>
      </c>
      <c r="D1332" s="15" t="s">
        <v>11</v>
      </c>
      <c r="E1332" s="16">
        <v>320000</v>
      </c>
      <c r="F1332" s="16">
        <f t="shared" si="37"/>
        <v>320000</v>
      </c>
    </row>
    <row r="1333" spans="1:6" ht="30" x14ac:dyDescent="0.25">
      <c r="A1333" s="13">
        <v>6</v>
      </c>
      <c r="B1333" s="14" t="s">
        <v>40</v>
      </c>
      <c r="C1333" s="316">
        <v>1400</v>
      </c>
      <c r="D1333" s="15" t="s">
        <v>9</v>
      </c>
      <c r="E1333" s="16">
        <v>450</v>
      </c>
      <c r="F1333" s="16">
        <f>E1333*C1333</f>
        <v>630000</v>
      </c>
    </row>
    <row r="1334" spans="1:6" ht="30" x14ac:dyDescent="0.25">
      <c r="A1334" s="13">
        <v>7</v>
      </c>
      <c r="B1334" s="14" t="s">
        <v>98</v>
      </c>
      <c r="C1334" s="316">
        <v>1400</v>
      </c>
      <c r="D1334" s="15" t="s">
        <v>9</v>
      </c>
      <c r="E1334" s="16">
        <v>140</v>
      </c>
      <c r="F1334" s="16">
        <f>E1334*C1334</f>
        <v>196000</v>
      </c>
    </row>
    <row r="1336" spans="1:6" x14ac:dyDescent="0.25">
      <c r="B1336" s="17" t="s">
        <v>10</v>
      </c>
      <c r="C1336" s="31"/>
      <c r="D1336" s="18"/>
      <c r="E1336" s="239"/>
      <c r="F1336" s="239">
        <f>SUM(F1328:F1334)</f>
        <v>3714000</v>
      </c>
    </row>
    <row r="1338" spans="1:6" x14ac:dyDescent="0.25">
      <c r="A1338" s="46" t="s">
        <v>0</v>
      </c>
      <c r="B1338" s="28" t="s">
        <v>1</v>
      </c>
      <c r="C1338" s="321" t="s">
        <v>2</v>
      </c>
      <c r="D1338" s="47" t="s">
        <v>3</v>
      </c>
      <c r="E1338" s="244" t="s">
        <v>4</v>
      </c>
      <c r="F1338" s="244" t="s">
        <v>5</v>
      </c>
    </row>
    <row r="1339" spans="1:6" ht="45" x14ac:dyDescent="0.25">
      <c r="A1339" s="13">
        <v>1</v>
      </c>
      <c r="B1339" s="14" t="s">
        <v>685</v>
      </c>
      <c r="C1339" s="316">
        <v>4</v>
      </c>
      <c r="D1339" s="15" t="s">
        <v>668</v>
      </c>
      <c r="E1339" s="16">
        <v>20000</v>
      </c>
      <c r="F1339" s="16">
        <f t="shared" si="37"/>
        <v>80000</v>
      </c>
    </row>
    <row r="1340" spans="1:6" ht="30" x14ac:dyDescent="0.25">
      <c r="A1340" s="13">
        <v>2</v>
      </c>
      <c r="B1340" s="14" t="s">
        <v>706</v>
      </c>
      <c r="C1340" s="316">
        <v>50</v>
      </c>
      <c r="D1340" s="15" t="s">
        <v>33</v>
      </c>
      <c r="E1340" s="16">
        <v>1850</v>
      </c>
      <c r="F1340" s="16">
        <f t="shared" si="37"/>
        <v>92500</v>
      </c>
    </row>
    <row r="1341" spans="1:6" ht="60" x14ac:dyDescent="0.25">
      <c r="A1341" s="13">
        <v>3</v>
      </c>
      <c r="B1341" s="14" t="s">
        <v>686</v>
      </c>
      <c r="C1341" s="316">
        <v>46</v>
      </c>
      <c r="D1341" s="15" t="s">
        <v>33</v>
      </c>
      <c r="E1341" s="16">
        <v>1550</v>
      </c>
      <c r="F1341" s="16">
        <f t="shared" si="37"/>
        <v>71300</v>
      </c>
    </row>
    <row r="1342" spans="1:6" ht="75" x14ac:dyDescent="0.25">
      <c r="A1342" s="13">
        <v>4</v>
      </c>
      <c r="B1342" s="14" t="s">
        <v>687</v>
      </c>
      <c r="C1342" s="316">
        <v>50</v>
      </c>
      <c r="D1342" s="15" t="s">
        <v>33</v>
      </c>
      <c r="E1342" s="16">
        <v>1550</v>
      </c>
      <c r="F1342" s="16">
        <f t="shared" si="37"/>
        <v>77500</v>
      </c>
    </row>
    <row r="1343" spans="1:6" ht="75" x14ac:dyDescent="0.25">
      <c r="A1343" s="13">
        <v>5</v>
      </c>
      <c r="B1343" s="14" t="s">
        <v>687</v>
      </c>
      <c r="C1343" s="316">
        <v>1000</v>
      </c>
      <c r="D1343" s="15" t="s">
        <v>9</v>
      </c>
      <c r="E1343" s="16">
        <v>950</v>
      </c>
      <c r="F1343" s="16">
        <f t="shared" ref="F1343:F1364" si="39">E1343*C1343</f>
        <v>950000</v>
      </c>
    </row>
    <row r="1344" spans="1:6" ht="30" x14ac:dyDescent="0.25">
      <c r="A1344" s="13">
        <v>6</v>
      </c>
      <c r="B1344" s="14" t="s">
        <v>688</v>
      </c>
      <c r="C1344" s="316">
        <v>1000</v>
      </c>
      <c r="D1344" s="15" t="s">
        <v>9</v>
      </c>
      <c r="E1344" s="16">
        <v>350</v>
      </c>
      <c r="F1344" s="16">
        <f t="shared" si="39"/>
        <v>350000</v>
      </c>
    </row>
    <row r="1345" spans="1:6" ht="45" x14ac:dyDescent="0.25">
      <c r="A1345" s="13">
        <v>7</v>
      </c>
      <c r="B1345" s="14" t="s">
        <v>689</v>
      </c>
      <c r="C1345" s="316">
        <v>125</v>
      </c>
      <c r="D1345" s="15" t="s">
        <v>9</v>
      </c>
      <c r="E1345" s="16">
        <v>140</v>
      </c>
      <c r="F1345" s="16">
        <f t="shared" si="39"/>
        <v>17500</v>
      </c>
    </row>
    <row r="1346" spans="1:6" ht="45" x14ac:dyDescent="0.25">
      <c r="A1346" s="13">
        <v>8</v>
      </c>
      <c r="B1346" s="14" t="s">
        <v>690</v>
      </c>
      <c r="C1346" s="316">
        <v>1</v>
      </c>
      <c r="D1346" s="15" t="s">
        <v>11</v>
      </c>
      <c r="E1346" s="16">
        <v>90000</v>
      </c>
      <c r="F1346" s="16">
        <f t="shared" si="39"/>
        <v>90000</v>
      </c>
    </row>
    <row r="1347" spans="1:6" ht="30" x14ac:dyDescent="0.25">
      <c r="A1347" s="13">
        <v>9</v>
      </c>
      <c r="B1347" s="14" t="s">
        <v>691</v>
      </c>
      <c r="C1347" s="316">
        <v>900</v>
      </c>
      <c r="D1347" s="15" t="s">
        <v>9</v>
      </c>
      <c r="E1347" s="16">
        <v>120</v>
      </c>
      <c r="F1347" s="16">
        <f t="shared" si="39"/>
        <v>108000</v>
      </c>
    </row>
    <row r="1348" spans="1:6" ht="45" x14ac:dyDescent="0.25">
      <c r="A1348" s="13">
        <v>10</v>
      </c>
      <c r="B1348" s="14" t="s">
        <v>692</v>
      </c>
      <c r="C1348" s="316">
        <v>900</v>
      </c>
      <c r="D1348" s="15" t="s">
        <v>9</v>
      </c>
      <c r="E1348" s="16">
        <v>120</v>
      </c>
      <c r="F1348" s="16">
        <f t="shared" si="39"/>
        <v>108000</v>
      </c>
    </row>
    <row r="1349" spans="1:6" ht="45" x14ac:dyDescent="0.25">
      <c r="A1349" s="13">
        <v>11</v>
      </c>
      <c r="B1349" s="14" t="s">
        <v>694</v>
      </c>
      <c r="C1349" s="316">
        <v>2600</v>
      </c>
      <c r="D1349" s="15" t="s">
        <v>9</v>
      </c>
      <c r="E1349" s="16">
        <v>35</v>
      </c>
      <c r="F1349" s="16">
        <f t="shared" si="39"/>
        <v>91000</v>
      </c>
    </row>
    <row r="1350" spans="1:6" ht="30" x14ac:dyDescent="0.25">
      <c r="A1350" s="13">
        <v>12</v>
      </c>
      <c r="B1350" s="14" t="s">
        <v>693</v>
      </c>
      <c r="C1350" s="316">
        <v>800</v>
      </c>
      <c r="D1350" s="15" t="s">
        <v>9</v>
      </c>
      <c r="E1350" s="16">
        <v>50</v>
      </c>
      <c r="F1350" s="16">
        <f t="shared" si="39"/>
        <v>40000</v>
      </c>
    </row>
    <row r="1351" spans="1:6" ht="45" x14ac:dyDescent="0.25">
      <c r="A1351" s="13">
        <v>13</v>
      </c>
      <c r="B1351" s="14" t="s">
        <v>695</v>
      </c>
      <c r="C1351" s="316">
        <v>560</v>
      </c>
      <c r="D1351" s="15" t="s">
        <v>33</v>
      </c>
      <c r="E1351" s="16">
        <v>90</v>
      </c>
      <c r="F1351" s="16">
        <f t="shared" si="39"/>
        <v>50400</v>
      </c>
    </row>
    <row r="1352" spans="1:6" ht="30" x14ac:dyDescent="0.25">
      <c r="A1352" s="13">
        <v>14</v>
      </c>
      <c r="B1352" s="14" t="s">
        <v>696</v>
      </c>
      <c r="C1352" s="316">
        <v>230</v>
      </c>
      <c r="D1352" s="15" t="s">
        <v>9</v>
      </c>
      <c r="E1352" s="16">
        <v>330</v>
      </c>
      <c r="F1352" s="16">
        <f t="shared" si="39"/>
        <v>75900</v>
      </c>
    </row>
    <row r="1354" spans="1:6" x14ac:dyDescent="0.25">
      <c r="B1354" s="17" t="s">
        <v>224</v>
      </c>
      <c r="C1354" s="31"/>
      <c r="D1354" s="18"/>
      <c r="E1354" s="239"/>
      <c r="F1354" s="239">
        <f>SUM(F1339:F1352)</f>
        <v>2202100</v>
      </c>
    </row>
    <row r="1356" spans="1:6" x14ac:dyDescent="0.25">
      <c r="A1356" s="46" t="s">
        <v>0</v>
      </c>
      <c r="B1356" s="28" t="s">
        <v>1</v>
      </c>
      <c r="C1356" s="321" t="s">
        <v>2</v>
      </c>
      <c r="D1356" s="47" t="s">
        <v>3</v>
      </c>
      <c r="E1356" s="244" t="s">
        <v>4</v>
      </c>
      <c r="F1356" s="244" t="s">
        <v>5</v>
      </c>
    </row>
    <row r="1357" spans="1:6" ht="30" x14ac:dyDescent="0.25">
      <c r="A1357" s="13">
        <v>1</v>
      </c>
      <c r="B1357" s="14" t="s">
        <v>697</v>
      </c>
      <c r="C1357" s="316">
        <v>1</v>
      </c>
      <c r="D1357" s="15" t="s">
        <v>11</v>
      </c>
      <c r="E1357" s="16">
        <v>12500</v>
      </c>
      <c r="F1357" s="16">
        <f t="shared" si="39"/>
        <v>12500</v>
      </c>
    </row>
    <row r="1358" spans="1:6" ht="30" x14ac:dyDescent="0.25">
      <c r="A1358" s="13">
        <v>2</v>
      </c>
      <c r="B1358" s="14" t="s">
        <v>698</v>
      </c>
      <c r="C1358" s="316">
        <v>1</v>
      </c>
      <c r="D1358" s="15" t="s">
        <v>11</v>
      </c>
      <c r="E1358" s="16">
        <v>28500</v>
      </c>
      <c r="F1358" s="16">
        <f t="shared" si="39"/>
        <v>28500</v>
      </c>
    </row>
    <row r="1359" spans="1:6" ht="45" x14ac:dyDescent="0.25">
      <c r="A1359" s="13">
        <v>3</v>
      </c>
      <c r="B1359" s="14" t="s">
        <v>699</v>
      </c>
      <c r="C1359" s="316">
        <v>1</v>
      </c>
      <c r="D1359" s="15" t="s">
        <v>9</v>
      </c>
      <c r="E1359" s="16">
        <v>165</v>
      </c>
      <c r="F1359" s="16">
        <f t="shared" si="39"/>
        <v>165</v>
      </c>
    </row>
    <row r="1360" spans="1:6" ht="45" x14ac:dyDescent="0.25">
      <c r="A1360" s="13">
        <v>4</v>
      </c>
      <c r="B1360" s="14" t="s">
        <v>700</v>
      </c>
      <c r="C1360" s="316">
        <v>1</v>
      </c>
      <c r="D1360" s="15" t="s">
        <v>9</v>
      </c>
      <c r="E1360" s="16">
        <v>280</v>
      </c>
      <c r="F1360" s="16">
        <f t="shared" si="39"/>
        <v>280</v>
      </c>
    </row>
    <row r="1361" spans="1:6" ht="45" x14ac:dyDescent="0.25">
      <c r="A1361" s="13">
        <v>5</v>
      </c>
      <c r="B1361" s="14" t="s">
        <v>701</v>
      </c>
      <c r="C1361" s="316">
        <v>1</v>
      </c>
      <c r="D1361" s="15" t="s">
        <v>11</v>
      </c>
      <c r="E1361" s="16">
        <v>15000</v>
      </c>
      <c r="F1361" s="16">
        <f t="shared" si="39"/>
        <v>15000</v>
      </c>
    </row>
    <row r="1362" spans="1:6" ht="60" x14ac:dyDescent="0.25">
      <c r="A1362" s="13">
        <v>6</v>
      </c>
      <c r="B1362" s="14" t="s">
        <v>702</v>
      </c>
      <c r="C1362" s="316">
        <v>1</v>
      </c>
      <c r="D1362" s="15" t="s">
        <v>11</v>
      </c>
      <c r="E1362" s="16">
        <v>42000</v>
      </c>
      <c r="F1362" s="16">
        <f t="shared" si="39"/>
        <v>42000</v>
      </c>
    </row>
    <row r="1363" spans="1:6" ht="60" x14ac:dyDescent="0.25">
      <c r="A1363" s="13">
        <v>7</v>
      </c>
      <c r="B1363" s="14" t="s">
        <v>704</v>
      </c>
      <c r="C1363" s="316">
        <v>1</v>
      </c>
      <c r="D1363" s="15" t="s">
        <v>9</v>
      </c>
      <c r="E1363" s="16">
        <v>95</v>
      </c>
      <c r="F1363" s="16">
        <f t="shared" si="39"/>
        <v>95</v>
      </c>
    </row>
    <row r="1364" spans="1:6" x14ac:dyDescent="0.25">
      <c r="A1364" s="13">
        <v>8</v>
      </c>
      <c r="B1364" s="14" t="s">
        <v>705</v>
      </c>
      <c r="C1364" s="316">
        <v>1</v>
      </c>
      <c r="D1364" s="15" t="s">
        <v>9</v>
      </c>
      <c r="E1364" s="16">
        <v>30</v>
      </c>
      <c r="F1364" s="16">
        <f t="shared" si="39"/>
        <v>30</v>
      </c>
    </row>
    <row r="1365" spans="1:6" x14ac:dyDescent="0.25">
      <c r="B1365" s="17" t="s">
        <v>703</v>
      </c>
      <c r="C1365" s="31"/>
      <c r="D1365" s="18"/>
      <c r="E1365" s="239"/>
      <c r="F1365" s="239"/>
    </row>
    <row r="1366" spans="1:6" ht="15.75" thickBot="1" x14ac:dyDescent="0.3"/>
    <row r="1367" spans="1:6" ht="15.75" thickBot="1" x14ac:dyDescent="0.3">
      <c r="A1367" s="56" t="s">
        <v>0</v>
      </c>
      <c r="B1367" s="6" t="s">
        <v>1</v>
      </c>
      <c r="C1367" s="323" t="s">
        <v>2</v>
      </c>
      <c r="D1367" s="57" t="s">
        <v>3</v>
      </c>
      <c r="E1367" s="249" t="s">
        <v>4</v>
      </c>
      <c r="F1367" s="249" t="s">
        <v>5</v>
      </c>
    </row>
    <row r="1368" spans="1:6" ht="45.75" thickBot="1" x14ac:dyDescent="0.3">
      <c r="A1368" s="62">
        <v>1</v>
      </c>
      <c r="B1368" s="8" t="s">
        <v>685</v>
      </c>
      <c r="C1368" s="324">
        <v>4</v>
      </c>
      <c r="D1368" s="9" t="s">
        <v>668</v>
      </c>
      <c r="E1368" s="237">
        <v>25000</v>
      </c>
      <c r="F1368" s="237">
        <f>E1368*C1368</f>
        <v>100000</v>
      </c>
    </row>
    <row r="1369" spans="1:6" ht="30.75" thickBot="1" x14ac:dyDescent="0.3">
      <c r="A1369" s="62">
        <v>2</v>
      </c>
      <c r="B1369" s="8" t="s">
        <v>706</v>
      </c>
      <c r="C1369" s="324">
        <v>60</v>
      </c>
      <c r="D1369" s="9" t="s">
        <v>33</v>
      </c>
      <c r="E1369" s="237">
        <v>1550</v>
      </c>
      <c r="F1369" s="237">
        <f t="shared" ref="F1369:F1381" si="40">E1369*C1369</f>
        <v>93000</v>
      </c>
    </row>
    <row r="1370" spans="1:6" ht="60.75" thickBot="1" x14ac:dyDescent="0.3">
      <c r="A1370" s="62">
        <v>3</v>
      </c>
      <c r="B1370" s="8" t="s">
        <v>686</v>
      </c>
      <c r="C1370" s="324">
        <v>56</v>
      </c>
      <c r="D1370" s="9" t="s">
        <v>33</v>
      </c>
      <c r="E1370" s="237">
        <v>1750</v>
      </c>
      <c r="F1370" s="237">
        <f t="shared" si="40"/>
        <v>98000</v>
      </c>
    </row>
    <row r="1371" spans="1:6" ht="75.75" thickBot="1" x14ac:dyDescent="0.3">
      <c r="A1371" s="62">
        <v>4</v>
      </c>
      <c r="B1371" s="8" t="s">
        <v>707</v>
      </c>
      <c r="C1371" s="324">
        <v>60</v>
      </c>
      <c r="D1371" s="9" t="s">
        <v>33</v>
      </c>
      <c r="E1371" s="237">
        <v>1750</v>
      </c>
      <c r="F1371" s="237">
        <f t="shared" si="40"/>
        <v>105000</v>
      </c>
    </row>
    <row r="1372" spans="1:6" ht="60.75" thickBot="1" x14ac:dyDescent="0.3">
      <c r="A1372" s="62">
        <v>5</v>
      </c>
      <c r="B1372" s="8" t="s">
        <v>708</v>
      </c>
      <c r="C1372" s="324">
        <v>450</v>
      </c>
      <c r="D1372" s="9" t="s">
        <v>9</v>
      </c>
      <c r="E1372" s="237">
        <v>1150</v>
      </c>
      <c r="F1372" s="237">
        <f t="shared" si="40"/>
        <v>517500</v>
      </c>
    </row>
    <row r="1373" spans="1:6" ht="30.75" thickBot="1" x14ac:dyDescent="0.3">
      <c r="A1373" s="62">
        <v>6</v>
      </c>
      <c r="B1373" s="8" t="s">
        <v>688</v>
      </c>
      <c r="C1373" s="324">
        <v>450</v>
      </c>
      <c r="D1373" s="9" t="s">
        <v>9</v>
      </c>
      <c r="E1373" s="237">
        <v>1350</v>
      </c>
      <c r="F1373" s="237">
        <f t="shared" si="40"/>
        <v>607500</v>
      </c>
    </row>
    <row r="1374" spans="1:6" ht="45.75" thickBot="1" x14ac:dyDescent="0.3">
      <c r="A1374" s="62">
        <v>7</v>
      </c>
      <c r="B1374" s="8" t="s">
        <v>689</v>
      </c>
      <c r="C1374" s="324">
        <v>225</v>
      </c>
      <c r="D1374" s="9" t="s">
        <v>9</v>
      </c>
      <c r="E1374" s="237">
        <v>150</v>
      </c>
      <c r="F1374" s="237">
        <f t="shared" si="40"/>
        <v>33750</v>
      </c>
    </row>
    <row r="1375" spans="1:6" ht="45.75" thickBot="1" x14ac:dyDescent="0.3">
      <c r="A1375" s="62">
        <v>8</v>
      </c>
      <c r="B1375" s="8" t="s">
        <v>709</v>
      </c>
      <c r="C1375" s="324">
        <v>1</v>
      </c>
      <c r="D1375" s="9" t="s">
        <v>11</v>
      </c>
      <c r="E1375" s="237">
        <v>120000</v>
      </c>
      <c r="F1375" s="237">
        <f t="shared" si="40"/>
        <v>120000</v>
      </c>
    </row>
    <row r="1376" spans="1:6" ht="45.75" thickBot="1" x14ac:dyDescent="0.3">
      <c r="A1376" s="62">
        <v>9</v>
      </c>
      <c r="B1376" s="8" t="s">
        <v>709</v>
      </c>
      <c r="C1376" s="324">
        <v>450</v>
      </c>
      <c r="D1376" s="9" t="s">
        <v>9</v>
      </c>
      <c r="E1376" s="237">
        <v>150</v>
      </c>
      <c r="F1376" s="237">
        <f t="shared" si="40"/>
        <v>67500</v>
      </c>
    </row>
    <row r="1377" spans="1:6" ht="45.75" thickBot="1" x14ac:dyDescent="0.3">
      <c r="A1377" s="62">
        <v>10</v>
      </c>
      <c r="B1377" s="8" t="s">
        <v>709</v>
      </c>
      <c r="C1377" s="324">
        <v>450</v>
      </c>
      <c r="D1377" s="9" t="s">
        <v>9</v>
      </c>
      <c r="E1377" s="237">
        <v>150</v>
      </c>
      <c r="F1377" s="237">
        <f t="shared" si="40"/>
        <v>67500</v>
      </c>
    </row>
    <row r="1378" spans="1:6" ht="45.75" thickBot="1" x14ac:dyDescent="0.3">
      <c r="A1378" s="62">
        <v>11</v>
      </c>
      <c r="B1378" s="8" t="s">
        <v>709</v>
      </c>
      <c r="C1378" s="324">
        <v>4600</v>
      </c>
      <c r="D1378" s="9" t="s">
        <v>9</v>
      </c>
      <c r="E1378" s="237">
        <v>40</v>
      </c>
      <c r="F1378" s="237">
        <f t="shared" si="40"/>
        <v>184000</v>
      </c>
    </row>
    <row r="1379" spans="1:6" ht="45.75" thickBot="1" x14ac:dyDescent="0.3">
      <c r="A1379" s="62">
        <v>12</v>
      </c>
      <c r="B1379" s="8" t="s">
        <v>709</v>
      </c>
      <c r="C1379" s="324">
        <v>450</v>
      </c>
      <c r="D1379" s="9" t="s">
        <v>9</v>
      </c>
      <c r="E1379" s="237">
        <v>60</v>
      </c>
      <c r="F1379" s="237">
        <f t="shared" si="40"/>
        <v>27000</v>
      </c>
    </row>
    <row r="1380" spans="1:6" ht="45.75" thickBot="1" x14ac:dyDescent="0.3">
      <c r="A1380" s="62">
        <v>13</v>
      </c>
      <c r="B1380" s="8" t="s">
        <v>709</v>
      </c>
      <c r="C1380" s="324">
        <v>760</v>
      </c>
      <c r="D1380" s="9" t="s">
        <v>33</v>
      </c>
      <c r="E1380" s="237">
        <v>100</v>
      </c>
      <c r="F1380" s="237">
        <f t="shared" si="40"/>
        <v>76000</v>
      </c>
    </row>
    <row r="1381" spans="1:6" ht="45.75" thickBot="1" x14ac:dyDescent="0.3">
      <c r="A1381" s="62">
        <v>14</v>
      </c>
      <c r="B1381" s="8" t="s">
        <v>709</v>
      </c>
      <c r="C1381" s="324">
        <v>340</v>
      </c>
      <c r="D1381" s="9" t="s">
        <v>9</v>
      </c>
      <c r="E1381" s="237">
        <v>350</v>
      </c>
      <c r="F1381" s="237">
        <f t="shared" si="40"/>
        <v>119000</v>
      </c>
    </row>
    <row r="1382" spans="1:6" ht="15.75" thickBot="1" x14ac:dyDescent="0.3">
      <c r="A1382" s="62"/>
      <c r="B1382" s="8"/>
      <c r="C1382" s="324"/>
      <c r="D1382" s="9"/>
      <c r="E1382" s="237"/>
      <c r="F1382" s="237"/>
    </row>
    <row r="1383" spans="1:6" ht="15.75" thickBot="1" x14ac:dyDescent="0.3">
      <c r="A1383" s="62"/>
      <c r="B1383" s="11" t="s">
        <v>224</v>
      </c>
      <c r="C1383" s="325"/>
      <c r="D1383" s="12"/>
      <c r="E1383" s="238"/>
      <c r="F1383" s="238">
        <f>SUM(F1368:F1381)</f>
        <v>2215750</v>
      </c>
    </row>
    <row r="1384" spans="1:6" x14ac:dyDescent="0.25">
      <c r="A1384" s="63"/>
      <c r="B1384" s="10"/>
      <c r="C1384" s="328"/>
      <c r="D1384" s="70"/>
      <c r="E1384" s="261"/>
      <c r="F1384" s="261"/>
    </row>
    <row r="1385" spans="1:6" x14ac:dyDescent="0.25">
      <c r="A1385" s="46" t="s">
        <v>0</v>
      </c>
      <c r="B1385" s="28" t="s">
        <v>1</v>
      </c>
      <c r="C1385" s="321" t="s">
        <v>2</v>
      </c>
      <c r="D1385" s="47" t="s">
        <v>3</v>
      </c>
      <c r="E1385" s="244" t="s">
        <v>4</v>
      </c>
      <c r="F1385" s="244" t="s">
        <v>5</v>
      </c>
    </row>
    <row r="1386" spans="1:6" ht="45" x14ac:dyDescent="0.25">
      <c r="A1386" s="64">
        <v>1</v>
      </c>
      <c r="B1386" s="24" t="s">
        <v>685</v>
      </c>
      <c r="C1386" s="326">
        <v>4</v>
      </c>
      <c r="D1386" s="25" t="s">
        <v>668</v>
      </c>
      <c r="E1386" s="259">
        <v>25000</v>
      </c>
      <c r="F1386" s="259">
        <f>C1386*E1386</f>
        <v>100000</v>
      </c>
    </row>
    <row r="1387" spans="1:6" ht="30" x14ac:dyDescent="0.25">
      <c r="A1387" s="64">
        <v>2</v>
      </c>
      <c r="B1387" s="24" t="s">
        <v>706</v>
      </c>
      <c r="C1387" s="326">
        <v>60</v>
      </c>
      <c r="D1387" s="25" t="s">
        <v>33</v>
      </c>
      <c r="E1387" s="259">
        <v>1550</v>
      </c>
      <c r="F1387" s="259">
        <f t="shared" ref="F1387:F1394" si="41">C1387*E1387</f>
        <v>93000</v>
      </c>
    </row>
    <row r="1388" spans="1:6" ht="60" x14ac:dyDescent="0.25">
      <c r="A1388" s="64">
        <v>3</v>
      </c>
      <c r="B1388" s="24" t="s">
        <v>686</v>
      </c>
      <c r="C1388" s="326">
        <v>56</v>
      </c>
      <c r="D1388" s="25" t="s">
        <v>33</v>
      </c>
      <c r="E1388" s="259">
        <v>1750</v>
      </c>
      <c r="F1388" s="259">
        <f t="shared" si="41"/>
        <v>98000</v>
      </c>
    </row>
    <row r="1389" spans="1:6" ht="75" x14ac:dyDescent="0.25">
      <c r="A1389" s="64">
        <v>4</v>
      </c>
      <c r="B1389" s="24" t="s">
        <v>707</v>
      </c>
      <c r="C1389" s="326">
        <v>60</v>
      </c>
      <c r="D1389" s="25" t="s">
        <v>33</v>
      </c>
      <c r="E1389" s="259">
        <v>1750</v>
      </c>
      <c r="F1389" s="259">
        <f t="shared" si="41"/>
        <v>105000</v>
      </c>
    </row>
    <row r="1390" spans="1:6" ht="60" x14ac:dyDescent="0.25">
      <c r="A1390" s="64">
        <v>5</v>
      </c>
      <c r="B1390" s="24" t="s">
        <v>708</v>
      </c>
      <c r="C1390" s="326">
        <v>650</v>
      </c>
      <c r="D1390" s="25" t="s">
        <v>9</v>
      </c>
      <c r="E1390" s="259">
        <v>1150</v>
      </c>
      <c r="F1390" s="259">
        <f t="shared" si="41"/>
        <v>747500</v>
      </c>
    </row>
    <row r="1391" spans="1:6" ht="30" x14ac:dyDescent="0.25">
      <c r="A1391" s="64">
        <v>6</v>
      </c>
      <c r="B1391" s="24" t="s">
        <v>688</v>
      </c>
      <c r="C1391" s="326">
        <v>650</v>
      </c>
      <c r="D1391" s="25" t="s">
        <v>9</v>
      </c>
      <c r="E1391" s="259">
        <v>450</v>
      </c>
      <c r="F1391" s="259">
        <f t="shared" si="41"/>
        <v>292500</v>
      </c>
    </row>
    <row r="1392" spans="1:6" ht="45" x14ac:dyDescent="0.25">
      <c r="A1392" s="64">
        <v>7</v>
      </c>
      <c r="B1392" s="24" t="s">
        <v>689</v>
      </c>
      <c r="C1392" s="326">
        <v>225</v>
      </c>
      <c r="D1392" s="25" t="s">
        <v>9</v>
      </c>
      <c r="E1392" s="259">
        <v>150</v>
      </c>
      <c r="F1392" s="259">
        <f t="shared" si="41"/>
        <v>33750</v>
      </c>
    </row>
    <row r="1393" spans="1:6" ht="45" x14ac:dyDescent="0.25">
      <c r="A1393" s="64">
        <v>8</v>
      </c>
      <c r="B1393" s="24" t="s">
        <v>709</v>
      </c>
      <c r="C1393" s="326">
        <v>1</v>
      </c>
      <c r="D1393" s="25" t="s">
        <v>11</v>
      </c>
      <c r="E1393" s="259">
        <v>120000</v>
      </c>
      <c r="F1393" s="259">
        <f t="shared" si="41"/>
        <v>120000</v>
      </c>
    </row>
    <row r="1394" spans="1:6" ht="30" x14ac:dyDescent="0.25">
      <c r="A1394" s="64">
        <v>9</v>
      </c>
      <c r="B1394" s="24" t="s">
        <v>691</v>
      </c>
      <c r="C1394" s="326">
        <v>650</v>
      </c>
      <c r="D1394" s="25" t="s">
        <v>9</v>
      </c>
      <c r="E1394" s="259">
        <v>150</v>
      </c>
      <c r="F1394" s="259">
        <f t="shared" si="41"/>
        <v>97500</v>
      </c>
    </row>
    <row r="1395" spans="1:6" ht="45" x14ac:dyDescent="0.25">
      <c r="A1395" s="64">
        <v>10</v>
      </c>
      <c r="B1395" s="24" t="s">
        <v>694</v>
      </c>
      <c r="C1395" s="326">
        <v>2400</v>
      </c>
      <c r="D1395" s="25" t="s">
        <v>9</v>
      </c>
      <c r="E1395" s="259">
        <v>95</v>
      </c>
      <c r="F1395" s="259">
        <f>C1395*E1395</f>
        <v>228000</v>
      </c>
    </row>
    <row r="1396" spans="1:6" ht="30" x14ac:dyDescent="0.25">
      <c r="A1396" s="64">
        <v>11</v>
      </c>
      <c r="B1396" s="24" t="s">
        <v>710</v>
      </c>
      <c r="C1396" s="326">
        <v>800</v>
      </c>
      <c r="D1396" s="25" t="s">
        <v>9</v>
      </c>
      <c r="E1396" s="259">
        <v>60</v>
      </c>
      <c r="F1396" s="259">
        <f>C1396*E1396</f>
        <v>48000</v>
      </c>
    </row>
    <row r="1397" spans="1:6" ht="45" x14ac:dyDescent="0.25">
      <c r="A1397" s="64">
        <v>12</v>
      </c>
      <c r="B1397" s="24" t="s">
        <v>711</v>
      </c>
      <c r="C1397" s="326">
        <v>760</v>
      </c>
      <c r="D1397" s="25" t="s">
        <v>33</v>
      </c>
      <c r="E1397" s="259">
        <v>100</v>
      </c>
      <c r="F1397" s="259">
        <f>C1397*E1397</f>
        <v>76000</v>
      </c>
    </row>
    <row r="1398" spans="1:6" ht="30" x14ac:dyDescent="0.25">
      <c r="A1398" s="64">
        <v>13</v>
      </c>
      <c r="B1398" s="24" t="s">
        <v>696</v>
      </c>
      <c r="C1398" s="326">
        <v>340</v>
      </c>
      <c r="D1398" s="25" t="s">
        <v>9</v>
      </c>
      <c r="E1398" s="259">
        <v>350</v>
      </c>
      <c r="F1398" s="259">
        <f>C1398*E1398</f>
        <v>119000</v>
      </c>
    </row>
    <row r="1400" spans="1:6" x14ac:dyDescent="0.25">
      <c r="A1400" s="64"/>
      <c r="B1400" s="71" t="s">
        <v>224</v>
      </c>
      <c r="C1400" s="329"/>
      <c r="D1400" s="28"/>
      <c r="E1400" s="262"/>
      <c r="F1400" s="262">
        <f>SUM(F1386:F1398)</f>
        <v>2158250</v>
      </c>
    </row>
    <row r="1402" spans="1:6" x14ac:dyDescent="0.25">
      <c r="A1402" s="46" t="s">
        <v>0</v>
      </c>
      <c r="B1402" s="28" t="s">
        <v>1</v>
      </c>
      <c r="C1402" s="321" t="s">
        <v>2</v>
      </c>
      <c r="D1402" s="47" t="s">
        <v>3</v>
      </c>
      <c r="E1402" s="244" t="s">
        <v>4</v>
      </c>
      <c r="F1402" s="244" t="s">
        <v>5</v>
      </c>
    </row>
    <row r="1403" spans="1:6" ht="60" x14ac:dyDescent="0.25">
      <c r="A1403" s="13">
        <v>1</v>
      </c>
      <c r="B1403" s="14" t="s">
        <v>714</v>
      </c>
      <c r="C1403" s="316">
        <v>60</v>
      </c>
      <c r="D1403" s="15" t="s">
        <v>31</v>
      </c>
      <c r="E1403" s="16">
        <v>1450</v>
      </c>
      <c r="F1403" s="16">
        <f>(C1403*E1403)</f>
        <v>87000</v>
      </c>
    </row>
    <row r="1404" spans="1:6" ht="45" x14ac:dyDescent="0.25">
      <c r="A1404" s="13">
        <v>2</v>
      </c>
      <c r="B1404" s="14" t="s">
        <v>712</v>
      </c>
      <c r="C1404" s="316">
        <v>1</v>
      </c>
      <c r="D1404" s="15" t="s">
        <v>11</v>
      </c>
      <c r="E1404" s="16">
        <v>125000</v>
      </c>
      <c r="F1404" s="16">
        <f>(C1404*E1404)</f>
        <v>125000</v>
      </c>
    </row>
    <row r="1405" spans="1:6" ht="60" x14ac:dyDescent="0.25">
      <c r="A1405" s="13">
        <v>3</v>
      </c>
      <c r="B1405" s="14" t="s">
        <v>86</v>
      </c>
      <c r="C1405" s="316">
        <v>750</v>
      </c>
      <c r="D1405" s="15" t="s">
        <v>31</v>
      </c>
      <c r="E1405" s="16">
        <v>320</v>
      </c>
      <c r="F1405" s="16">
        <f>(C1405*E1405)</f>
        <v>240000</v>
      </c>
    </row>
    <row r="1406" spans="1:6" ht="45" x14ac:dyDescent="0.25">
      <c r="A1406" s="13">
        <v>4</v>
      </c>
      <c r="B1406" s="14" t="s">
        <v>83</v>
      </c>
      <c r="C1406" s="316">
        <v>350</v>
      </c>
      <c r="D1406" s="15" t="s">
        <v>9</v>
      </c>
      <c r="E1406" s="16">
        <v>575</v>
      </c>
      <c r="F1406" s="16">
        <f>(C1406*E1406)</f>
        <v>201250</v>
      </c>
    </row>
    <row r="1407" spans="1:6" ht="75" x14ac:dyDescent="0.25">
      <c r="A1407" s="13">
        <v>5</v>
      </c>
      <c r="B1407" s="14" t="s">
        <v>715</v>
      </c>
      <c r="C1407" s="316">
        <v>750</v>
      </c>
      <c r="D1407" s="15" t="s">
        <v>9</v>
      </c>
      <c r="E1407" s="16">
        <v>610</v>
      </c>
      <c r="F1407" s="16">
        <f>(C1407*E1407)</f>
        <v>457500</v>
      </c>
    </row>
    <row r="1408" spans="1:6" ht="45" x14ac:dyDescent="0.25">
      <c r="A1408" s="13">
        <v>6</v>
      </c>
      <c r="B1408" s="14" t="s">
        <v>713</v>
      </c>
      <c r="C1408" s="316">
        <v>1</v>
      </c>
      <c r="D1408" s="15" t="s">
        <v>11</v>
      </c>
      <c r="E1408" s="16">
        <v>200000</v>
      </c>
      <c r="F1408" s="16">
        <f>E1408*C1408</f>
        <v>200000</v>
      </c>
    </row>
    <row r="1410" spans="1:7" x14ac:dyDescent="0.25">
      <c r="B1410" s="17" t="s">
        <v>224</v>
      </c>
      <c r="C1410" s="31"/>
      <c r="D1410" s="18"/>
      <c r="E1410" s="239"/>
      <c r="F1410" s="239">
        <f>SUM(F1403:F1408)</f>
        <v>1310750</v>
      </c>
    </row>
    <row r="1412" spans="1:7" x14ac:dyDescent="0.25">
      <c r="A1412" s="46" t="s">
        <v>0</v>
      </c>
      <c r="B1412" s="28" t="s">
        <v>1</v>
      </c>
      <c r="C1412" s="321" t="s">
        <v>2</v>
      </c>
      <c r="D1412" s="47" t="s">
        <v>3</v>
      </c>
      <c r="E1412" s="244" t="s">
        <v>4</v>
      </c>
      <c r="F1412" s="244" t="s">
        <v>5</v>
      </c>
    </row>
    <row r="1413" spans="1:7" x14ac:dyDescent="0.25">
      <c r="A1413" s="46" t="s">
        <v>0</v>
      </c>
      <c r="B1413" s="28" t="s">
        <v>1</v>
      </c>
      <c r="C1413" s="321" t="s">
        <v>2</v>
      </c>
      <c r="D1413" s="47" t="s">
        <v>3</v>
      </c>
      <c r="E1413" s="244" t="s">
        <v>4</v>
      </c>
      <c r="F1413" s="244" t="s">
        <v>5</v>
      </c>
      <c r="G1413" s="47"/>
    </row>
    <row r="1414" spans="1:7" ht="30" x14ac:dyDescent="0.25">
      <c r="B1414" s="14" t="s">
        <v>716</v>
      </c>
      <c r="C1414" s="316">
        <v>1</v>
      </c>
      <c r="D1414" s="15" t="s">
        <v>11</v>
      </c>
      <c r="E1414" s="16">
        <v>45000</v>
      </c>
      <c r="F1414" s="16">
        <f t="shared" ref="F1414:F1453" si="42">E1414*C1414</f>
        <v>45000</v>
      </c>
    </row>
    <row r="1415" spans="1:7" ht="45" x14ac:dyDescent="0.25">
      <c r="B1415" s="14" t="s">
        <v>717</v>
      </c>
      <c r="C1415" s="316">
        <v>30</v>
      </c>
      <c r="D1415" s="15" t="s">
        <v>33</v>
      </c>
      <c r="E1415" s="16">
        <v>1850</v>
      </c>
      <c r="F1415" s="16">
        <f t="shared" si="42"/>
        <v>55500</v>
      </c>
    </row>
    <row r="1416" spans="1:7" ht="60" x14ac:dyDescent="0.25">
      <c r="B1416" s="14" t="s">
        <v>718</v>
      </c>
      <c r="C1416" s="316">
        <v>174</v>
      </c>
      <c r="D1416" s="15" t="s">
        <v>33</v>
      </c>
      <c r="E1416" s="16">
        <v>1850</v>
      </c>
      <c r="F1416" s="16">
        <f t="shared" si="42"/>
        <v>321900</v>
      </c>
    </row>
    <row r="1417" spans="1:7" ht="60" x14ac:dyDescent="0.25">
      <c r="B1417" s="14" t="s">
        <v>719</v>
      </c>
      <c r="C1417" s="316">
        <v>648</v>
      </c>
      <c r="D1417" s="15" t="s">
        <v>31</v>
      </c>
      <c r="E1417" s="16">
        <v>1490</v>
      </c>
      <c r="F1417" s="16">
        <f t="shared" si="42"/>
        <v>965520</v>
      </c>
    </row>
    <row r="1418" spans="1:7" ht="30" x14ac:dyDescent="0.25">
      <c r="B1418" s="14" t="s">
        <v>720</v>
      </c>
      <c r="C1418" s="316">
        <v>1843</v>
      </c>
      <c r="D1418" s="15" t="s">
        <v>31</v>
      </c>
      <c r="E1418" s="16">
        <v>380</v>
      </c>
      <c r="F1418" s="16">
        <f t="shared" si="42"/>
        <v>700340</v>
      </c>
    </row>
    <row r="1419" spans="1:7" ht="30" x14ac:dyDescent="0.25">
      <c r="B1419" s="14" t="s">
        <v>721</v>
      </c>
      <c r="C1419" s="316">
        <v>3880</v>
      </c>
      <c r="D1419" s="15" t="s">
        <v>31</v>
      </c>
      <c r="E1419" s="16">
        <v>140</v>
      </c>
      <c r="F1419" s="16">
        <f t="shared" si="42"/>
        <v>543200</v>
      </c>
    </row>
    <row r="1420" spans="1:7" ht="45" x14ac:dyDescent="0.25">
      <c r="B1420" s="14" t="s">
        <v>722</v>
      </c>
      <c r="C1420" s="316">
        <v>2493</v>
      </c>
      <c r="D1420" s="15" t="s">
        <v>31</v>
      </c>
      <c r="E1420" s="16">
        <v>145</v>
      </c>
      <c r="F1420" s="16">
        <f t="shared" si="42"/>
        <v>361485</v>
      </c>
    </row>
    <row r="1421" spans="1:7" ht="45" x14ac:dyDescent="0.25">
      <c r="B1421" s="14" t="s">
        <v>723</v>
      </c>
      <c r="C1421" s="316">
        <v>1880</v>
      </c>
      <c r="D1421" s="15" t="s">
        <v>31</v>
      </c>
      <c r="E1421" s="16">
        <v>85</v>
      </c>
      <c r="F1421" s="16">
        <f t="shared" si="42"/>
        <v>159800</v>
      </c>
    </row>
    <row r="1422" spans="1:7" ht="30" x14ac:dyDescent="0.25">
      <c r="B1422" s="14" t="s">
        <v>724</v>
      </c>
      <c r="C1422" s="316">
        <v>909</v>
      </c>
      <c r="D1422" s="15" t="s">
        <v>31</v>
      </c>
      <c r="E1422" s="16">
        <v>130</v>
      </c>
      <c r="F1422" s="16">
        <f t="shared" si="42"/>
        <v>118170</v>
      </c>
    </row>
    <row r="1424" spans="1:7" x14ac:dyDescent="0.25">
      <c r="B1424" s="17" t="s">
        <v>10</v>
      </c>
      <c r="C1424" s="31"/>
      <c r="D1424" s="18"/>
      <c r="E1424" s="239"/>
      <c r="F1424" s="239">
        <f>SUM(F1414:F1422)</f>
        <v>3270915</v>
      </c>
    </row>
    <row r="1426" spans="1:6" x14ac:dyDescent="0.25">
      <c r="A1426" s="46" t="s">
        <v>0</v>
      </c>
      <c r="B1426" s="28" t="s">
        <v>1</v>
      </c>
      <c r="C1426" s="321" t="s">
        <v>2</v>
      </c>
      <c r="D1426" s="47" t="s">
        <v>3</v>
      </c>
      <c r="E1426" s="244" t="s">
        <v>4</v>
      </c>
      <c r="F1426" s="244" t="s">
        <v>5</v>
      </c>
    </row>
    <row r="1427" spans="1:6" ht="45" x14ac:dyDescent="0.25">
      <c r="A1427" s="13">
        <v>1</v>
      </c>
      <c r="B1427" s="14" t="s">
        <v>725</v>
      </c>
      <c r="C1427" s="316">
        <v>30</v>
      </c>
      <c r="D1427" s="15" t="s">
        <v>33</v>
      </c>
      <c r="E1427" s="16">
        <v>1950</v>
      </c>
      <c r="F1427" s="16">
        <f t="shared" si="42"/>
        <v>58500</v>
      </c>
    </row>
    <row r="1428" spans="1:6" ht="45" x14ac:dyDescent="0.25">
      <c r="A1428" s="13">
        <v>2</v>
      </c>
      <c r="B1428" s="14" t="s">
        <v>726</v>
      </c>
      <c r="C1428" s="316">
        <v>98</v>
      </c>
      <c r="D1428" s="15" t="s">
        <v>33</v>
      </c>
      <c r="E1428" s="16">
        <v>1850</v>
      </c>
      <c r="F1428" s="16">
        <f t="shared" si="42"/>
        <v>181300</v>
      </c>
    </row>
    <row r="1429" spans="1:6" ht="60" x14ac:dyDescent="0.25">
      <c r="A1429" s="13">
        <v>3</v>
      </c>
      <c r="B1429" s="14" t="s">
        <v>727</v>
      </c>
      <c r="C1429" s="316">
        <v>445</v>
      </c>
      <c r="D1429" s="15" t="s">
        <v>31</v>
      </c>
      <c r="E1429" s="16">
        <v>1650</v>
      </c>
      <c r="F1429" s="16">
        <f t="shared" si="42"/>
        <v>734250</v>
      </c>
    </row>
    <row r="1431" spans="1:6" x14ac:dyDescent="0.25">
      <c r="B1431" s="17" t="s">
        <v>10</v>
      </c>
      <c r="C1431" s="31"/>
      <c r="D1431" s="18"/>
      <c r="E1431" s="239"/>
      <c r="F1431" s="239">
        <f>SUM(F1427:F1428,F1429)</f>
        <v>974050</v>
      </c>
    </row>
    <row r="1433" spans="1:6" x14ac:dyDescent="0.25">
      <c r="A1433" s="46" t="s">
        <v>0</v>
      </c>
      <c r="B1433" s="28" t="s">
        <v>1</v>
      </c>
      <c r="C1433" s="321" t="s">
        <v>2</v>
      </c>
      <c r="D1433" s="47" t="s">
        <v>3</v>
      </c>
      <c r="E1433" s="244" t="s">
        <v>4</v>
      </c>
      <c r="F1433" s="244" t="s">
        <v>5</v>
      </c>
    </row>
    <row r="1434" spans="1:6" ht="30" x14ac:dyDescent="0.25">
      <c r="A1434" s="13">
        <v>1</v>
      </c>
      <c r="B1434" s="14" t="s">
        <v>728</v>
      </c>
      <c r="C1434" s="316">
        <v>1.35</v>
      </c>
      <c r="D1434" s="15" t="s">
        <v>30</v>
      </c>
      <c r="E1434" s="16">
        <v>7500</v>
      </c>
      <c r="F1434" s="16">
        <f t="shared" si="42"/>
        <v>10125</v>
      </c>
    </row>
    <row r="1435" spans="1:6" ht="45" x14ac:dyDescent="0.25">
      <c r="A1435" s="13">
        <v>2</v>
      </c>
      <c r="B1435" s="14" t="s">
        <v>729</v>
      </c>
      <c r="C1435" s="316">
        <v>5</v>
      </c>
      <c r="D1435" s="15" t="s">
        <v>180</v>
      </c>
      <c r="E1435" s="16">
        <v>22000</v>
      </c>
      <c r="F1435" s="16">
        <f t="shared" si="42"/>
        <v>110000</v>
      </c>
    </row>
    <row r="1436" spans="1:6" ht="60" x14ac:dyDescent="0.25">
      <c r="A1436" s="13">
        <v>3</v>
      </c>
      <c r="B1436" s="14" t="s">
        <v>730</v>
      </c>
      <c r="C1436" s="316">
        <v>70</v>
      </c>
      <c r="D1436" s="15" t="s">
        <v>33</v>
      </c>
      <c r="E1436" s="16">
        <v>1850</v>
      </c>
      <c r="F1436" s="16">
        <f t="shared" si="42"/>
        <v>129500</v>
      </c>
    </row>
    <row r="1437" spans="1:6" ht="45" x14ac:dyDescent="0.25">
      <c r="A1437" s="13">
        <v>4</v>
      </c>
      <c r="B1437" s="14" t="s">
        <v>731</v>
      </c>
      <c r="C1437" s="316">
        <v>80</v>
      </c>
      <c r="D1437" s="15" t="s">
        <v>33</v>
      </c>
      <c r="E1437" s="16">
        <v>1750</v>
      </c>
      <c r="F1437" s="16">
        <f t="shared" si="42"/>
        <v>140000</v>
      </c>
    </row>
    <row r="1438" spans="1:6" ht="30" x14ac:dyDescent="0.25">
      <c r="A1438" s="13">
        <v>5</v>
      </c>
      <c r="B1438" s="14" t="s">
        <v>732</v>
      </c>
      <c r="C1438" s="316">
        <v>89</v>
      </c>
      <c r="D1438" s="15" t="s">
        <v>33</v>
      </c>
      <c r="E1438" s="16">
        <v>1850</v>
      </c>
      <c r="F1438" s="16">
        <f t="shared" si="42"/>
        <v>164650</v>
      </c>
    </row>
    <row r="1439" spans="1:6" ht="60" x14ac:dyDescent="0.25">
      <c r="A1439" s="13">
        <v>6</v>
      </c>
      <c r="B1439" s="14" t="s">
        <v>733</v>
      </c>
      <c r="C1439" s="316">
        <v>465</v>
      </c>
      <c r="D1439" s="15" t="s">
        <v>31</v>
      </c>
      <c r="E1439" s="16">
        <v>1650</v>
      </c>
      <c r="F1439" s="16">
        <f t="shared" si="42"/>
        <v>767250</v>
      </c>
    </row>
    <row r="1440" spans="1:6" ht="45" x14ac:dyDescent="0.25">
      <c r="A1440" s="13">
        <v>7</v>
      </c>
      <c r="B1440" s="14" t="s">
        <v>734</v>
      </c>
      <c r="C1440" s="316">
        <v>1</v>
      </c>
      <c r="D1440" s="15" t="s">
        <v>11</v>
      </c>
      <c r="E1440" s="16">
        <v>38000</v>
      </c>
      <c r="F1440" s="16">
        <f t="shared" si="42"/>
        <v>38000</v>
      </c>
    </row>
    <row r="1441" spans="1:6" ht="30" x14ac:dyDescent="0.25">
      <c r="A1441" s="13">
        <v>8</v>
      </c>
      <c r="B1441" s="14" t="s">
        <v>735</v>
      </c>
      <c r="C1441" s="316">
        <v>1</v>
      </c>
      <c r="D1441" s="15" t="s">
        <v>11</v>
      </c>
      <c r="E1441" s="16">
        <v>42000</v>
      </c>
      <c r="F1441" s="16">
        <f t="shared" si="42"/>
        <v>42000</v>
      </c>
    </row>
    <row r="1442" spans="1:6" ht="60" x14ac:dyDescent="0.25">
      <c r="A1442" s="13">
        <v>9</v>
      </c>
      <c r="B1442" s="14" t="s">
        <v>736</v>
      </c>
      <c r="C1442" s="316">
        <v>1</v>
      </c>
      <c r="D1442" s="15" t="s">
        <v>11</v>
      </c>
      <c r="E1442" s="16">
        <v>125000</v>
      </c>
      <c r="F1442" s="16">
        <f t="shared" si="42"/>
        <v>125000</v>
      </c>
    </row>
    <row r="1443" spans="1:6" ht="30" x14ac:dyDescent="0.25">
      <c r="A1443" s="13">
        <v>10</v>
      </c>
      <c r="B1443" s="14" t="s">
        <v>737</v>
      </c>
      <c r="C1443" s="316">
        <v>650</v>
      </c>
      <c r="D1443" s="15" t="s">
        <v>31</v>
      </c>
      <c r="E1443" s="16">
        <v>160</v>
      </c>
      <c r="F1443" s="16">
        <f t="shared" si="42"/>
        <v>104000</v>
      </c>
    </row>
    <row r="1444" spans="1:6" ht="45" x14ac:dyDescent="0.25">
      <c r="A1444" s="13">
        <v>11</v>
      </c>
      <c r="B1444" s="14" t="s">
        <v>738</v>
      </c>
      <c r="C1444" s="316">
        <v>1115</v>
      </c>
      <c r="D1444" s="15" t="s">
        <v>31</v>
      </c>
      <c r="E1444" s="16">
        <v>155</v>
      </c>
      <c r="F1444" s="16">
        <f t="shared" si="42"/>
        <v>172825</v>
      </c>
    </row>
    <row r="1446" spans="1:6" x14ac:dyDescent="0.25">
      <c r="B1446" s="17" t="s">
        <v>10</v>
      </c>
      <c r="C1446" s="31"/>
      <c r="D1446" s="18"/>
      <c r="E1446" s="239"/>
      <c r="F1446" s="239">
        <f>SUM(F1434:F1444)</f>
        <v>1803350</v>
      </c>
    </row>
    <row r="1448" spans="1:6" x14ac:dyDescent="0.25">
      <c r="A1448" s="46" t="s">
        <v>0</v>
      </c>
      <c r="B1448" s="28" t="s">
        <v>1</v>
      </c>
      <c r="C1448" s="321" t="s">
        <v>2</v>
      </c>
      <c r="D1448" s="47" t="s">
        <v>3</v>
      </c>
      <c r="E1448" s="244" t="s">
        <v>4</v>
      </c>
      <c r="F1448" s="244" t="s">
        <v>5</v>
      </c>
    </row>
    <row r="1449" spans="1:6" ht="90" x14ac:dyDescent="0.25">
      <c r="A1449" s="13">
        <v>1</v>
      </c>
      <c r="B1449" s="14" t="s">
        <v>739</v>
      </c>
      <c r="C1449" s="316">
        <v>1</v>
      </c>
      <c r="D1449" s="15" t="s">
        <v>33</v>
      </c>
      <c r="E1449" s="16">
        <v>4000</v>
      </c>
      <c r="F1449" s="16">
        <f t="shared" si="42"/>
        <v>4000</v>
      </c>
    </row>
    <row r="1451" spans="1:6" x14ac:dyDescent="0.25">
      <c r="A1451" s="46" t="s">
        <v>0</v>
      </c>
      <c r="B1451" s="28" t="s">
        <v>1</v>
      </c>
      <c r="C1451" s="321" t="s">
        <v>2</v>
      </c>
      <c r="D1451" s="47" t="s">
        <v>3</v>
      </c>
      <c r="E1451" s="244" t="s">
        <v>4</v>
      </c>
      <c r="F1451" s="244" t="s">
        <v>5</v>
      </c>
    </row>
    <row r="1452" spans="1:6" ht="105" x14ac:dyDescent="0.25">
      <c r="A1452" s="13">
        <v>1</v>
      </c>
      <c r="B1452" s="14" t="s">
        <v>740</v>
      </c>
      <c r="C1452" s="316">
        <v>1</v>
      </c>
      <c r="D1452" s="15" t="s">
        <v>33</v>
      </c>
      <c r="E1452" s="16">
        <v>4700</v>
      </c>
      <c r="F1452" s="16">
        <f t="shared" si="42"/>
        <v>4700</v>
      </c>
    </row>
    <row r="1453" spans="1:6" ht="15.75" thickBot="1" x14ac:dyDescent="0.3">
      <c r="F1453" s="16">
        <f t="shared" si="42"/>
        <v>0</v>
      </c>
    </row>
    <row r="1454" spans="1:6" ht="15.75" thickBot="1" x14ac:dyDescent="0.3">
      <c r="A1454" s="56" t="s">
        <v>0</v>
      </c>
      <c r="B1454" s="6" t="s">
        <v>1</v>
      </c>
      <c r="C1454" s="323" t="s">
        <v>2</v>
      </c>
      <c r="D1454" s="57" t="s">
        <v>3</v>
      </c>
      <c r="E1454" s="249" t="s">
        <v>4</v>
      </c>
      <c r="F1454" s="249" t="s">
        <v>5</v>
      </c>
    </row>
    <row r="1455" spans="1:6" ht="30.75" thickBot="1" x14ac:dyDescent="0.3">
      <c r="A1455" s="62">
        <v>1</v>
      </c>
      <c r="B1455" s="8" t="s">
        <v>370</v>
      </c>
      <c r="C1455" s="324">
        <v>1</v>
      </c>
      <c r="D1455" s="9" t="s">
        <v>407</v>
      </c>
      <c r="E1455" s="237">
        <v>38000</v>
      </c>
      <c r="F1455" s="237">
        <v>38000</v>
      </c>
    </row>
    <row r="1456" spans="1:6" ht="45.75" thickBot="1" x14ac:dyDescent="0.3">
      <c r="A1456" s="62">
        <v>2</v>
      </c>
      <c r="B1456" s="8" t="s">
        <v>371</v>
      </c>
      <c r="C1456" s="324"/>
      <c r="D1456" s="9"/>
      <c r="E1456" s="237"/>
      <c r="F1456" s="237"/>
    </row>
    <row r="1457" spans="1:6" ht="30.75" thickBot="1" x14ac:dyDescent="0.3">
      <c r="A1457" s="62"/>
      <c r="B1457" s="8" t="s">
        <v>408</v>
      </c>
      <c r="C1457" s="324">
        <v>1</v>
      </c>
      <c r="D1457" s="9" t="s">
        <v>407</v>
      </c>
      <c r="E1457" s="237">
        <v>52000</v>
      </c>
      <c r="F1457" s="237">
        <v>52000</v>
      </c>
    </row>
    <row r="1458" spans="1:6" ht="15.75" thickBot="1" x14ac:dyDescent="0.3">
      <c r="A1458" s="62"/>
      <c r="B1458" s="8" t="s">
        <v>409</v>
      </c>
      <c r="C1458" s="324">
        <v>1</v>
      </c>
      <c r="D1458" s="9" t="s">
        <v>407</v>
      </c>
      <c r="E1458" s="237">
        <v>42000</v>
      </c>
      <c r="F1458" s="237">
        <v>42000</v>
      </c>
    </row>
    <row r="1459" spans="1:6" ht="30.75" thickBot="1" x14ac:dyDescent="0.3">
      <c r="A1459" s="62"/>
      <c r="B1459" s="8" t="s">
        <v>410</v>
      </c>
      <c r="C1459" s="324">
        <v>1120</v>
      </c>
      <c r="D1459" s="9" t="s">
        <v>9</v>
      </c>
      <c r="E1459" s="237">
        <v>40</v>
      </c>
      <c r="F1459" s="237">
        <v>44800</v>
      </c>
    </row>
    <row r="1460" spans="1:6" ht="30.75" thickBot="1" x14ac:dyDescent="0.3">
      <c r="A1460" s="62"/>
      <c r="B1460" s="8" t="s">
        <v>411</v>
      </c>
      <c r="C1460" s="324">
        <v>1</v>
      </c>
      <c r="D1460" s="9" t="s">
        <v>407</v>
      </c>
      <c r="E1460" s="237">
        <v>18000</v>
      </c>
      <c r="F1460" s="237">
        <v>18000</v>
      </c>
    </row>
    <row r="1461" spans="1:6" ht="15.75" thickBot="1" x14ac:dyDescent="0.3">
      <c r="A1461" s="62"/>
      <c r="B1461" s="8" t="s">
        <v>375</v>
      </c>
      <c r="C1461" s="324">
        <v>22</v>
      </c>
      <c r="D1461" s="9" t="s">
        <v>407</v>
      </c>
      <c r="E1461" s="237">
        <v>7500</v>
      </c>
      <c r="F1461" s="237">
        <v>165000</v>
      </c>
    </row>
    <row r="1462" spans="1:6" ht="45.75" thickBot="1" x14ac:dyDescent="0.3">
      <c r="A1462" s="62">
        <v>3</v>
      </c>
      <c r="B1462" s="8" t="s">
        <v>377</v>
      </c>
      <c r="C1462" s="324">
        <v>3511</v>
      </c>
      <c r="D1462" s="9" t="s">
        <v>9</v>
      </c>
      <c r="E1462" s="237">
        <v>30</v>
      </c>
      <c r="F1462" s="237">
        <v>105330</v>
      </c>
    </row>
    <row r="1463" spans="1:6" ht="30.75" thickBot="1" x14ac:dyDescent="0.3">
      <c r="A1463" s="62">
        <v>4</v>
      </c>
      <c r="B1463" s="8" t="s">
        <v>741</v>
      </c>
      <c r="C1463" s="324">
        <v>1</v>
      </c>
      <c r="D1463" s="9" t="s">
        <v>11</v>
      </c>
      <c r="E1463" s="237">
        <v>18000</v>
      </c>
      <c r="F1463" s="237">
        <v>18000</v>
      </c>
    </row>
    <row r="1464" spans="1:6" ht="45.75" thickBot="1" x14ac:dyDescent="0.3">
      <c r="A1464" s="62">
        <v>5</v>
      </c>
      <c r="B1464" s="8" t="s">
        <v>119</v>
      </c>
      <c r="C1464" s="324">
        <v>106</v>
      </c>
      <c r="D1464" s="9" t="s">
        <v>33</v>
      </c>
      <c r="E1464" s="237">
        <v>2050</v>
      </c>
      <c r="F1464" s="237">
        <v>217300</v>
      </c>
    </row>
    <row r="1465" spans="1:6" ht="45.75" thickBot="1" x14ac:dyDescent="0.3">
      <c r="A1465" s="62">
        <v>6</v>
      </c>
      <c r="B1465" s="8" t="s">
        <v>742</v>
      </c>
      <c r="C1465" s="324">
        <v>280</v>
      </c>
      <c r="D1465" s="9" t="s">
        <v>33</v>
      </c>
      <c r="E1465" s="237">
        <v>2200</v>
      </c>
      <c r="F1465" s="237">
        <v>616000</v>
      </c>
    </row>
    <row r="1466" spans="1:6" ht="60.75" thickBot="1" x14ac:dyDescent="0.3">
      <c r="A1466" s="62">
        <v>7</v>
      </c>
      <c r="B1466" s="8" t="s">
        <v>743</v>
      </c>
      <c r="C1466" s="324">
        <v>3856</v>
      </c>
      <c r="D1466" s="9" t="s">
        <v>9</v>
      </c>
      <c r="E1466" s="237">
        <v>365</v>
      </c>
      <c r="F1466" s="237">
        <v>1407440</v>
      </c>
    </row>
    <row r="1467" spans="1:6" ht="30.75" thickBot="1" x14ac:dyDescent="0.3">
      <c r="A1467" s="62">
        <v>8</v>
      </c>
      <c r="B1467" s="8" t="s">
        <v>744</v>
      </c>
      <c r="C1467" s="324">
        <v>7418</v>
      </c>
      <c r="D1467" s="9" t="s">
        <v>9</v>
      </c>
      <c r="E1467" s="237">
        <v>145</v>
      </c>
      <c r="F1467" s="237">
        <v>1075610</v>
      </c>
    </row>
    <row r="1468" spans="1:6" ht="30.75" thickBot="1" x14ac:dyDescent="0.3">
      <c r="A1468" s="62">
        <v>9</v>
      </c>
      <c r="B1468" s="8" t="s">
        <v>745</v>
      </c>
      <c r="C1468" s="324">
        <v>140</v>
      </c>
      <c r="D1468" s="9" t="s">
        <v>9</v>
      </c>
      <c r="E1468" s="237">
        <v>4500</v>
      </c>
      <c r="F1468" s="237">
        <v>630000</v>
      </c>
    </row>
    <row r="1469" spans="1:6" ht="30.75" thickBot="1" x14ac:dyDescent="0.3">
      <c r="A1469" s="62">
        <v>10</v>
      </c>
      <c r="B1469" s="8" t="s">
        <v>746</v>
      </c>
      <c r="C1469" s="324">
        <v>226</v>
      </c>
      <c r="D1469" s="9" t="s">
        <v>33</v>
      </c>
      <c r="E1469" s="237">
        <v>550</v>
      </c>
      <c r="F1469" s="237">
        <v>124300</v>
      </c>
    </row>
    <row r="1470" spans="1:6" ht="30.75" thickBot="1" x14ac:dyDescent="0.3">
      <c r="A1470" s="62">
        <v>11</v>
      </c>
      <c r="B1470" s="8" t="s">
        <v>380</v>
      </c>
      <c r="C1470" s="324">
        <v>430</v>
      </c>
      <c r="D1470" s="9" t="s">
        <v>33</v>
      </c>
      <c r="E1470" s="237">
        <v>2600</v>
      </c>
      <c r="F1470" s="237">
        <v>1118000</v>
      </c>
    </row>
    <row r="1471" spans="1:6" ht="45.75" thickBot="1" x14ac:dyDescent="0.3">
      <c r="A1471" s="62">
        <v>12</v>
      </c>
      <c r="B1471" s="8" t="s">
        <v>747</v>
      </c>
      <c r="C1471" s="324">
        <v>3076</v>
      </c>
      <c r="D1471" s="9" t="s">
        <v>9</v>
      </c>
      <c r="E1471" s="237">
        <v>365</v>
      </c>
      <c r="F1471" s="237">
        <v>1122740</v>
      </c>
    </row>
    <row r="1472" spans="1:6" ht="45.75" thickBot="1" x14ac:dyDescent="0.3">
      <c r="A1472" s="62">
        <v>13</v>
      </c>
      <c r="B1472" s="8" t="s">
        <v>392</v>
      </c>
      <c r="C1472" s="324">
        <v>6110</v>
      </c>
      <c r="D1472" s="9" t="s">
        <v>9</v>
      </c>
      <c r="E1472" s="237">
        <v>145</v>
      </c>
      <c r="F1472" s="237">
        <v>885950</v>
      </c>
    </row>
    <row r="1473" spans="1:6" ht="45.75" thickBot="1" x14ac:dyDescent="0.3">
      <c r="A1473" s="62">
        <v>14</v>
      </c>
      <c r="B1473" s="8" t="s">
        <v>748</v>
      </c>
      <c r="C1473" s="324">
        <v>4278</v>
      </c>
      <c r="D1473" s="9" t="s">
        <v>9</v>
      </c>
      <c r="E1473" s="237">
        <v>190</v>
      </c>
      <c r="F1473" s="237">
        <v>812820</v>
      </c>
    </row>
    <row r="1474" spans="1:6" ht="45.75" thickBot="1" x14ac:dyDescent="0.3">
      <c r="A1474" s="62">
        <v>15</v>
      </c>
      <c r="B1474" s="8" t="s">
        <v>323</v>
      </c>
      <c r="C1474" s="324">
        <v>296</v>
      </c>
      <c r="D1474" s="9" t="s">
        <v>33</v>
      </c>
      <c r="E1474" s="237">
        <v>550</v>
      </c>
      <c r="F1474" s="237">
        <v>162800</v>
      </c>
    </row>
    <row r="1475" spans="1:6" ht="45.75" thickBot="1" x14ac:dyDescent="0.3">
      <c r="A1475" s="62">
        <v>16</v>
      </c>
      <c r="B1475" s="8" t="s">
        <v>384</v>
      </c>
      <c r="C1475" s="324">
        <v>2.2000000000000002</v>
      </c>
      <c r="D1475" s="9" t="s">
        <v>30</v>
      </c>
      <c r="E1475" s="237">
        <v>14500</v>
      </c>
      <c r="F1475" s="237">
        <v>31900</v>
      </c>
    </row>
    <row r="1476" spans="1:6" ht="30.75" thickBot="1" x14ac:dyDescent="0.3">
      <c r="A1476" s="62">
        <v>17</v>
      </c>
      <c r="B1476" s="8" t="s">
        <v>385</v>
      </c>
      <c r="C1476" s="324">
        <v>320</v>
      </c>
      <c r="D1476" s="9" t="s">
        <v>32</v>
      </c>
      <c r="E1476" s="237">
        <v>3250</v>
      </c>
      <c r="F1476" s="237">
        <v>1040000</v>
      </c>
    </row>
    <row r="1477" spans="1:6" ht="75.75" thickBot="1" x14ac:dyDescent="0.3">
      <c r="A1477" s="62">
        <v>18</v>
      </c>
      <c r="B1477" s="8" t="s">
        <v>749</v>
      </c>
      <c r="C1477" s="324">
        <v>75</v>
      </c>
      <c r="D1477" s="9" t="s">
        <v>33</v>
      </c>
      <c r="E1477" s="237">
        <v>2100</v>
      </c>
      <c r="F1477" s="237">
        <v>157500</v>
      </c>
    </row>
    <row r="1478" spans="1:6" ht="30.75" thickBot="1" x14ac:dyDescent="0.3">
      <c r="A1478" s="62">
        <v>19</v>
      </c>
      <c r="B1478" s="8" t="s">
        <v>387</v>
      </c>
      <c r="C1478" s="324">
        <v>145</v>
      </c>
      <c r="D1478" s="9" t="s">
        <v>33</v>
      </c>
      <c r="E1478" s="237">
        <v>2050</v>
      </c>
      <c r="F1478" s="237">
        <v>297250</v>
      </c>
    </row>
    <row r="1479" spans="1:6" ht="45.75" thickBot="1" x14ac:dyDescent="0.3">
      <c r="A1479" s="62">
        <v>20</v>
      </c>
      <c r="B1479" s="8" t="s">
        <v>388</v>
      </c>
      <c r="C1479" s="324">
        <v>132</v>
      </c>
      <c r="D1479" s="9" t="s">
        <v>33</v>
      </c>
      <c r="E1479" s="237">
        <v>2300</v>
      </c>
      <c r="F1479" s="237">
        <v>303600</v>
      </c>
    </row>
    <row r="1480" spans="1:6" ht="60.75" thickBot="1" x14ac:dyDescent="0.3">
      <c r="A1480" s="62">
        <v>21</v>
      </c>
      <c r="B1480" s="8" t="s">
        <v>750</v>
      </c>
      <c r="C1480" s="324">
        <v>518</v>
      </c>
      <c r="D1480" s="9" t="s">
        <v>9</v>
      </c>
      <c r="E1480" s="237">
        <v>1700</v>
      </c>
      <c r="F1480" s="237">
        <v>880600</v>
      </c>
    </row>
    <row r="1481" spans="1:6" ht="45.75" thickBot="1" x14ac:dyDescent="0.3">
      <c r="A1481" s="62">
        <v>22</v>
      </c>
      <c r="B1481" s="8" t="s">
        <v>751</v>
      </c>
      <c r="C1481" s="324">
        <v>36</v>
      </c>
      <c r="D1481" s="9" t="s">
        <v>33</v>
      </c>
      <c r="E1481" s="237">
        <v>2050</v>
      </c>
      <c r="F1481" s="237">
        <v>73800</v>
      </c>
    </row>
    <row r="1482" spans="1:6" ht="60.75" thickBot="1" x14ac:dyDescent="0.3">
      <c r="A1482" s="62">
        <v>23</v>
      </c>
      <c r="B1482" s="8" t="s">
        <v>752</v>
      </c>
      <c r="C1482" s="324">
        <v>220</v>
      </c>
      <c r="D1482" s="9" t="s">
        <v>9</v>
      </c>
      <c r="E1482" s="237">
        <v>1700</v>
      </c>
      <c r="F1482" s="237">
        <v>374000</v>
      </c>
    </row>
    <row r="1483" spans="1:6" ht="45.75" thickBot="1" x14ac:dyDescent="0.3">
      <c r="A1483" s="62">
        <v>24</v>
      </c>
      <c r="B1483" s="8" t="s">
        <v>753</v>
      </c>
      <c r="C1483" s="324">
        <v>900</v>
      </c>
      <c r="D1483" s="9" t="s">
        <v>9</v>
      </c>
      <c r="E1483" s="237">
        <v>550</v>
      </c>
      <c r="F1483" s="237">
        <v>495000</v>
      </c>
    </row>
    <row r="1484" spans="1:6" ht="30.75" thickBot="1" x14ac:dyDescent="0.3">
      <c r="A1484" s="62">
        <v>25</v>
      </c>
      <c r="B1484" s="8" t="s">
        <v>754</v>
      </c>
      <c r="C1484" s="324">
        <v>1</v>
      </c>
      <c r="D1484" s="9" t="s">
        <v>11</v>
      </c>
      <c r="E1484" s="237">
        <v>2800000</v>
      </c>
      <c r="F1484" s="237">
        <v>2800000</v>
      </c>
    </row>
    <row r="1485" spans="1:6" ht="30.75" thickBot="1" x14ac:dyDescent="0.3">
      <c r="A1485" s="62">
        <v>26</v>
      </c>
      <c r="B1485" s="8" t="s">
        <v>755</v>
      </c>
      <c r="C1485" s="324">
        <v>1</v>
      </c>
      <c r="D1485" s="9" t="s">
        <v>11</v>
      </c>
      <c r="E1485" s="237">
        <v>2500000</v>
      </c>
      <c r="F1485" s="237">
        <v>2500000</v>
      </c>
    </row>
    <row r="1486" spans="1:6" ht="15.75" thickBot="1" x14ac:dyDescent="0.3">
      <c r="A1486" s="62"/>
      <c r="B1486" s="8"/>
      <c r="C1486" s="324"/>
      <c r="D1486" s="9"/>
      <c r="E1486" s="237"/>
      <c r="F1486" s="237"/>
    </row>
    <row r="1487" spans="1:6" ht="15.75" thickBot="1" x14ac:dyDescent="0.3">
      <c r="A1487" s="62"/>
      <c r="B1487" s="11" t="s">
        <v>10</v>
      </c>
      <c r="C1487" s="325"/>
      <c r="D1487" s="12"/>
      <c r="E1487" s="238"/>
      <c r="F1487" s="238">
        <v>17609740</v>
      </c>
    </row>
    <row r="1488" spans="1:6" ht="15.75" thickBot="1" x14ac:dyDescent="0.3">
      <c r="A1488" s="62"/>
      <c r="B1488" s="8"/>
      <c r="C1488" s="324"/>
      <c r="D1488" s="9"/>
      <c r="E1488" s="237"/>
      <c r="F1488" s="237"/>
    </row>
    <row r="1489" spans="1:6" x14ac:dyDescent="0.25">
      <c r="A1489" s="19"/>
      <c r="B1489" s="20"/>
      <c r="C1489" s="320"/>
      <c r="D1489" s="21"/>
      <c r="E1489" s="243"/>
      <c r="F1489" s="243">
        <f>E1489*C1489</f>
        <v>0</v>
      </c>
    </row>
    <row r="1490" spans="1:6" x14ac:dyDescent="0.25">
      <c r="A1490" s="46" t="s">
        <v>0</v>
      </c>
      <c r="B1490" s="28" t="s">
        <v>1</v>
      </c>
      <c r="C1490" s="321" t="s">
        <v>2</v>
      </c>
      <c r="D1490" s="47" t="s">
        <v>3</v>
      </c>
      <c r="E1490" s="244" t="s">
        <v>4</v>
      </c>
      <c r="F1490" s="244" t="s">
        <v>5</v>
      </c>
    </row>
    <row r="1491" spans="1:6" ht="30" x14ac:dyDescent="0.25">
      <c r="A1491" s="64">
        <v>1</v>
      </c>
      <c r="B1491" s="24" t="s">
        <v>370</v>
      </c>
      <c r="C1491" s="326">
        <v>1</v>
      </c>
      <c r="D1491" s="25" t="s">
        <v>407</v>
      </c>
      <c r="E1491" s="259">
        <v>38000</v>
      </c>
      <c r="F1491" s="259">
        <f>C1491*E1491</f>
        <v>38000</v>
      </c>
    </row>
    <row r="1492" spans="1:6" ht="45" x14ac:dyDescent="0.25">
      <c r="A1492" s="64">
        <v>2</v>
      </c>
      <c r="B1492" s="24" t="s">
        <v>756</v>
      </c>
      <c r="C1492" s="326"/>
      <c r="D1492" s="25"/>
      <c r="E1492" s="259"/>
      <c r="F1492" s="259">
        <f t="shared" ref="F1492:F1523" si="43">C1492*E1492</f>
        <v>0</v>
      </c>
    </row>
    <row r="1493" spans="1:6" ht="30" x14ac:dyDescent="0.25">
      <c r="A1493" s="64"/>
      <c r="B1493" s="24" t="s">
        <v>408</v>
      </c>
      <c r="C1493" s="326">
        <v>1</v>
      </c>
      <c r="D1493" s="25" t="s">
        <v>407</v>
      </c>
      <c r="E1493" s="259">
        <v>52000</v>
      </c>
      <c r="F1493" s="259">
        <f t="shared" si="43"/>
        <v>52000</v>
      </c>
    </row>
    <row r="1494" spans="1:6" x14ac:dyDescent="0.25">
      <c r="A1494" s="64"/>
      <c r="B1494" s="24" t="s">
        <v>757</v>
      </c>
      <c r="C1494" s="326">
        <v>1</v>
      </c>
      <c r="D1494" s="25" t="s">
        <v>407</v>
      </c>
      <c r="E1494" s="259">
        <v>42000</v>
      </c>
      <c r="F1494" s="259">
        <f t="shared" si="43"/>
        <v>42000</v>
      </c>
    </row>
    <row r="1495" spans="1:6" ht="30" x14ac:dyDescent="0.25">
      <c r="A1495" s="64"/>
      <c r="B1495" s="24" t="s">
        <v>410</v>
      </c>
      <c r="C1495" s="326">
        <v>1120</v>
      </c>
      <c r="D1495" s="25" t="s">
        <v>9</v>
      </c>
      <c r="E1495" s="259">
        <v>40</v>
      </c>
      <c r="F1495" s="259">
        <f t="shared" si="43"/>
        <v>44800</v>
      </c>
    </row>
    <row r="1496" spans="1:6" ht="30" x14ac:dyDescent="0.25">
      <c r="A1496" s="64"/>
      <c r="B1496" s="24" t="s">
        <v>411</v>
      </c>
      <c r="C1496" s="326">
        <v>1</v>
      </c>
      <c r="D1496" s="25" t="s">
        <v>407</v>
      </c>
      <c r="E1496" s="259">
        <v>18000</v>
      </c>
      <c r="F1496" s="259">
        <f t="shared" si="43"/>
        <v>18000</v>
      </c>
    </row>
    <row r="1497" spans="1:6" x14ac:dyDescent="0.25">
      <c r="A1497" s="64"/>
      <c r="B1497" s="24" t="s">
        <v>375</v>
      </c>
      <c r="C1497" s="326">
        <v>22</v>
      </c>
      <c r="D1497" s="25" t="s">
        <v>407</v>
      </c>
      <c r="E1497" s="259">
        <v>7500</v>
      </c>
      <c r="F1497" s="259">
        <f t="shared" si="43"/>
        <v>165000</v>
      </c>
    </row>
    <row r="1498" spans="1:6" ht="45" x14ac:dyDescent="0.25">
      <c r="A1498" s="64">
        <v>3</v>
      </c>
      <c r="B1498" s="24" t="s">
        <v>758</v>
      </c>
      <c r="C1498" s="326">
        <v>3511</v>
      </c>
      <c r="D1498" s="25" t="s">
        <v>9</v>
      </c>
      <c r="E1498" s="259">
        <v>30</v>
      </c>
      <c r="F1498" s="259">
        <f t="shared" si="43"/>
        <v>105330</v>
      </c>
    </row>
    <row r="1499" spans="1:6" ht="30" x14ac:dyDescent="0.25">
      <c r="A1499" s="64">
        <v>4</v>
      </c>
      <c r="B1499" s="24" t="s">
        <v>741</v>
      </c>
      <c r="C1499" s="326">
        <v>1</v>
      </c>
      <c r="D1499" s="25" t="s">
        <v>11</v>
      </c>
      <c r="E1499" s="259">
        <v>18000</v>
      </c>
      <c r="F1499" s="259">
        <f t="shared" si="43"/>
        <v>18000</v>
      </c>
    </row>
    <row r="1500" spans="1:6" ht="18.75" x14ac:dyDescent="0.25">
      <c r="A1500" s="64"/>
      <c r="B1500" s="609" t="s">
        <v>1866</v>
      </c>
      <c r="C1500" s="610"/>
      <c r="D1500" s="610"/>
      <c r="E1500" s="611"/>
      <c r="F1500" s="259">
        <f t="shared" si="43"/>
        <v>0</v>
      </c>
    </row>
    <row r="1501" spans="1:6" ht="45" x14ac:dyDescent="0.25">
      <c r="A1501" s="64">
        <v>12</v>
      </c>
      <c r="B1501" s="24" t="s">
        <v>747</v>
      </c>
      <c r="C1501" s="326">
        <v>3076</v>
      </c>
      <c r="D1501" s="25" t="s">
        <v>9</v>
      </c>
      <c r="E1501" s="259">
        <v>365</v>
      </c>
      <c r="F1501" s="259">
        <f t="shared" si="43"/>
        <v>1122740</v>
      </c>
    </row>
    <row r="1502" spans="1:6" ht="45" x14ac:dyDescent="0.25">
      <c r="A1502" s="64">
        <v>13</v>
      </c>
      <c r="B1502" s="24" t="s">
        <v>392</v>
      </c>
      <c r="C1502" s="326">
        <v>6110</v>
      </c>
      <c r="D1502" s="25" t="s">
        <v>9</v>
      </c>
      <c r="E1502" s="259">
        <v>145</v>
      </c>
      <c r="F1502" s="259">
        <f t="shared" si="43"/>
        <v>885950</v>
      </c>
    </row>
    <row r="1503" spans="1:6" ht="45" x14ac:dyDescent="0.25">
      <c r="A1503" s="64">
        <v>14</v>
      </c>
      <c r="B1503" s="24" t="s">
        <v>748</v>
      </c>
      <c r="C1503" s="326">
        <v>4278</v>
      </c>
      <c r="D1503" s="25" t="s">
        <v>9</v>
      </c>
      <c r="E1503" s="259">
        <v>190</v>
      </c>
      <c r="F1503" s="259">
        <f t="shared" si="43"/>
        <v>812820</v>
      </c>
    </row>
    <row r="1504" spans="1:6" ht="45" x14ac:dyDescent="0.25">
      <c r="A1504" s="64">
        <v>15</v>
      </c>
      <c r="B1504" s="24" t="s">
        <v>323</v>
      </c>
      <c r="C1504" s="326">
        <v>296</v>
      </c>
      <c r="D1504" s="25" t="s">
        <v>33</v>
      </c>
      <c r="E1504" s="259">
        <v>550</v>
      </c>
      <c r="F1504" s="259">
        <f t="shared" si="43"/>
        <v>162800</v>
      </c>
    </row>
    <row r="1505" spans="1:6" ht="45" x14ac:dyDescent="0.25">
      <c r="A1505" s="64">
        <v>16</v>
      </c>
      <c r="B1505" s="24" t="s">
        <v>384</v>
      </c>
      <c r="C1505" s="326">
        <v>2.2000000000000002</v>
      </c>
      <c r="D1505" s="25" t="s">
        <v>30</v>
      </c>
      <c r="E1505" s="259">
        <v>14500</v>
      </c>
      <c r="F1505" s="259">
        <f t="shared" si="43"/>
        <v>31900.000000000004</v>
      </c>
    </row>
    <row r="1506" spans="1:6" ht="30" x14ac:dyDescent="0.25">
      <c r="A1506" s="64">
        <v>17</v>
      </c>
      <c r="B1506" s="24" t="s">
        <v>385</v>
      </c>
      <c r="C1506" s="326">
        <v>320</v>
      </c>
      <c r="D1506" s="25" t="s">
        <v>32</v>
      </c>
      <c r="E1506" s="259">
        <v>3250</v>
      </c>
      <c r="F1506" s="259">
        <f t="shared" si="43"/>
        <v>1040000</v>
      </c>
    </row>
    <row r="1507" spans="1:6" ht="75" x14ac:dyDescent="0.25">
      <c r="A1507" s="64">
        <v>18</v>
      </c>
      <c r="B1507" s="24" t="s">
        <v>749</v>
      </c>
      <c r="C1507" s="326">
        <v>75</v>
      </c>
      <c r="D1507" s="25" t="s">
        <v>33</v>
      </c>
      <c r="E1507" s="259">
        <v>2100</v>
      </c>
      <c r="F1507" s="259">
        <f t="shared" si="43"/>
        <v>157500</v>
      </c>
    </row>
    <row r="1508" spans="1:6" ht="30" x14ac:dyDescent="0.25">
      <c r="A1508" s="64">
        <v>19</v>
      </c>
      <c r="B1508" s="24" t="s">
        <v>387</v>
      </c>
      <c r="C1508" s="326">
        <v>145</v>
      </c>
      <c r="D1508" s="25" t="s">
        <v>33</v>
      </c>
      <c r="E1508" s="259">
        <v>2050</v>
      </c>
      <c r="F1508" s="259">
        <f t="shared" si="43"/>
        <v>297250</v>
      </c>
    </row>
    <row r="1509" spans="1:6" ht="45" x14ac:dyDescent="0.25">
      <c r="A1509" s="64">
        <v>20</v>
      </c>
      <c r="B1509" s="24" t="s">
        <v>388</v>
      </c>
      <c r="C1509" s="326">
        <v>132</v>
      </c>
      <c r="D1509" s="25" t="s">
        <v>33</v>
      </c>
      <c r="E1509" s="259">
        <v>2300</v>
      </c>
      <c r="F1509" s="259">
        <f t="shared" si="43"/>
        <v>303600</v>
      </c>
    </row>
    <row r="1510" spans="1:6" ht="60" x14ac:dyDescent="0.25">
      <c r="A1510" s="64">
        <v>21</v>
      </c>
      <c r="B1510" s="24" t="s">
        <v>760</v>
      </c>
      <c r="C1510" s="326">
        <v>518</v>
      </c>
      <c r="D1510" s="25" t="s">
        <v>9</v>
      </c>
      <c r="E1510" s="259">
        <v>1700</v>
      </c>
      <c r="F1510" s="259">
        <f t="shared" si="43"/>
        <v>880600</v>
      </c>
    </row>
    <row r="1511" spans="1:6" ht="45" x14ac:dyDescent="0.25">
      <c r="A1511" s="64">
        <v>22</v>
      </c>
      <c r="B1511" s="24" t="s">
        <v>761</v>
      </c>
      <c r="C1511" s="326">
        <v>36</v>
      </c>
      <c r="D1511" s="25" t="s">
        <v>33</v>
      </c>
      <c r="E1511" s="259">
        <v>2050</v>
      </c>
      <c r="F1511" s="259">
        <f t="shared" si="43"/>
        <v>73800</v>
      </c>
    </row>
    <row r="1512" spans="1:6" ht="60" x14ac:dyDescent="0.25">
      <c r="A1512" s="64">
        <v>23</v>
      </c>
      <c r="B1512" s="24" t="s">
        <v>762</v>
      </c>
      <c r="C1512" s="326">
        <v>220</v>
      </c>
      <c r="D1512" s="25" t="s">
        <v>9</v>
      </c>
      <c r="E1512" s="259">
        <v>1700</v>
      </c>
      <c r="F1512" s="259">
        <f t="shared" si="43"/>
        <v>374000</v>
      </c>
    </row>
    <row r="1513" spans="1:6" ht="45" x14ac:dyDescent="0.25">
      <c r="A1513" s="64">
        <v>24</v>
      </c>
      <c r="B1513" s="24" t="s">
        <v>753</v>
      </c>
      <c r="C1513" s="326">
        <v>900</v>
      </c>
      <c r="D1513" s="25" t="s">
        <v>9</v>
      </c>
      <c r="E1513" s="259">
        <v>550</v>
      </c>
      <c r="F1513" s="259">
        <f t="shared" si="43"/>
        <v>495000</v>
      </c>
    </row>
    <row r="1514" spans="1:6" ht="18.75" x14ac:dyDescent="0.25">
      <c r="A1514" s="64"/>
      <c r="B1514" s="609" t="s">
        <v>1867</v>
      </c>
      <c r="C1514" s="610"/>
      <c r="D1514" s="610"/>
      <c r="E1514" s="611"/>
      <c r="F1514" s="259">
        <f t="shared" si="43"/>
        <v>0</v>
      </c>
    </row>
    <row r="1515" spans="1:6" ht="45" x14ac:dyDescent="0.25">
      <c r="A1515" s="64">
        <v>5</v>
      </c>
      <c r="B1515" s="24" t="s">
        <v>119</v>
      </c>
      <c r="C1515" s="326">
        <v>106</v>
      </c>
      <c r="D1515" s="25" t="s">
        <v>33</v>
      </c>
      <c r="E1515" s="259">
        <v>2050</v>
      </c>
      <c r="F1515" s="259">
        <f t="shared" si="43"/>
        <v>217300</v>
      </c>
    </row>
    <row r="1516" spans="1:6" ht="45" x14ac:dyDescent="0.25">
      <c r="A1516" s="64">
        <v>6</v>
      </c>
      <c r="B1516" s="24" t="s">
        <v>742</v>
      </c>
      <c r="C1516" s="326">
        <v>280</v>
      </c>
      <c r="D1516" s="25" t="s">
        <v>33</v>
      </c>
      <c r="E1516" s="259">
        <v>2200</v>
      </c>
      <c r="F1516" s="259">
        <f t="shared" si="43"/>
        <v>616000</v>
      </c>
    </row>
    <row r="1517" spans="1:6" ht="60" x14ac:dyDescent="0.25">
      <c r="A1517" s="64">
        <v>7</v>
      </c>
      <c r="B1517" s="24" t="s">
        <v>743</v>
      </c>
      <c r="C1517" s="326">
        <v>3856</v>
      </c>
      <c r="D1517" s="25" t="s">
        <v>9</v>
      </c>
      <c r="E1517" s="259">
        <v>365</v>
      </c>
      <c r="F1517" s="259">
        <f t="shared" si="43"/>
        <v>1407440</v>
      </c>
    </row>
    <row r="1518" spans="1:6" ht="30" x14ac:dyDescent="0.25">
      <c r="A1518" s="64">
        <v>8</v>
      </c>
      <c r="B1518" s="24" t="s">
        <v>744</v>
      </c>
      <c r="C1518" s="326">
        <v>7418</v>
      </c>
      <c r="D1518" s="25" t="s">
        <v>9</v>
      </c>
      <c r="E1518" s="259">
        <v>145</v>
      </c>
      <c r="F1518" s="259">
        <f t="shared" si="43"/>
        <v>1075610</v>
      </c>
    </row>
    <row r="1519" spans="1:6" ht="30" x14ac:dyDescent="0.25">
      <c r="A1519" s="64">
        <v>9</v>
      </c>
      <c r="B1519" s="24" t="s">
        <v>745</v>
      </c>
      <c r="C1519" s="326">
        <v>140</v>
      </c>
      <c r="D1519" s="25" t="s">
        <v>9</v>
      </c>
      <c r="E1519" s="259">
        <v>4500</v>
      </c>
      <c r="F1519" s="259">
        <f t="shared" si="43"/>
        <v>630000</v>
      </c>
    </row>
    <row r="1520" spans="1:6" ht="30" x14ac:dyDescent="0.25">
      <c r="A1520" s="64">
        <v>10</v>
      </c>
      <c r="B1520" s="24" t="s">
        <v>759</v>
      </c>
      <c r="C1520" s="326">
        <v>226</v>
      </c>
      <c r="D1520" s="25" t="s">
        <v>33</v>
      </c>
      <c r="E1520" s="259">
        <v>550</v>
      </c>
      <c r="F1520" s="259">
        <f t="shared" si="43"/>
        <v>124300</v>
      </c>
    </row>
    <row r="1521" spans="1:6" ht="30" x14ac:dyDescent="0.25">
      <c r="A1521" s="64">
        <v>11</v>
      </c>
      <c r="B1521" s="24" t="s">
        <v>380</v>
      </c>
      <c r="C1521" s="326">
        <v>43</v>
      </c>
      <c r="D1521" s="25" t="s">
        <v>33</v>
      </c>
      <c r="E1521" s="259">
        <v>2600</v>
      </c>
      <c r="F1521" s="259">
        <f t="shared" si="43"/>
        <v>111800</v>
      </c>
    </row>
    <row r="1522" spans="1:6" ht="30" x14ac:dyDescent="0.25">
      <c r="A1522" s="64">
        <v>25</v>
      </c>
      <c r="B1522" s="24" t="s">
        <v>763</v>
      </c>
      <c r="C1522" s="326">
        <v>1</v>
      </c>
      <c r="D1522" s="25" t="s">
        <v>11</v>
      </c>
      <c r="E1522" s="259">
        <v>2800000</v>
      </c>
      <c r="F1522" s="259">
        <f t="shared" si="43"/>
        <v>2800000</v>
      </c>
    </row>
    <row r="1523" spans="1:6" ht="30" x14ac:dyDescent="0.25">
      <c r="A1523" s="64">
        <v>26</v>
      </c>
      <c r="B1523" s="24" t="s">
        <v>764</v>
      </c>
      <c r="C1523" s="326">
        <v>1</v>
      </c>
      <c r="D1523" s="25" t="s">
        <v>11</v>
      </c>
      <c r="E1523" s="259">
        <v>2500000</v>
      </c>
      <c r="F1523" s="259">
        <f t="shared" si="43"/>
        <v>2500000</v>
      </c>
    </row>
    <row r="1524" spans="1:6" x14ac:dyDescent="0.25">
      <c r="A1524" s="64"/>
      <c r="B1524" s="24"/>
      <c r="C1524" s="326"/>
      <c r="D1524" s="25"/>
      <c r="E1524" s="259"/>
      <c r="F1524" s="259"/>
    </row>
    <row r="1525" spans="1:6" x14ac:dyDescent="0.25">
      <c r="A1525" s="64"/>
      <c r="B1525" s="71" t="s">
        <v>10</v>
      </c>
      <c r="C1525" s="329"/>
      <c r="D1525" s="28"/>
      <c r="E1525" s="262"/>
      <c r="F1525" s="262">
        <f>SUM(F1491:F1523)</f>
        <v>16603540</v>
      </c>
    </row>
    <row r="1526" spans="1:6" ht="15.75" thickBot="1" x14ac:dyDescent="0.3">
      <c r="A1526" s="64"/>
      <c r="B1526" s="24"/>
      <c r="C1526" s="326"/>
      <c r="D1526" s="25"/>
      <c r="E1526" s="259"/>
      <c r="F1526" s="259"/>
    </row>
    <row r="1527" spans="1:6" ht="15.75" thickBot="1" x14ac:dyDescent="0.3">
      <c r="A1527" s="56" t="s">
        <v>0</v>
      </c>
      <c r="B1527" s="6" t="s">
        <v>1</v>
      </c>
      <c r="C1527" s="323" t="s">
        <v>2</v>
      </c>
      <c r="D1527" s="57" t="s">
        <v>3</v>
      </c>
      <c r="E1527" s="249" t="s">
        <v>4</v>
      </c>
      <c r="F1527" s="249" t="s">
        <v>5</v>
      </c>
    </row>
    <row r="1528" spans="1:6" ht="30.75" thickBot="1" x14ac:dyDescent="0.3">
      <c r="A1528" s="62">
        <v>1</v>
      </c>
      <c r="B1528" s="8" t="s">
        <v>370</v>
      </c>
      <c r="C1528" s="324">
        <v>1</v>
      </c>
      <c r="D1528" s="9" t="s">
        <v>407</v>
      </c>
      <c r="E1528" s="237">
        <v>38000</v>
      </c>
      <c r="F1528" s="237">
        <f>E1528*C1528</f>
        <v>38000</v>
      </c>
    </row>
    <row r="1529" spans="1:6" ht="45.75" thickBot="1" x14ac:dyDescent="0.3">
      <c r="A1529" s="62">
        <v>2</v>
      </c>
      <c r="B1529" s="8" t="s">
        <v>756</v>
      </c>
      <c r="C1529" s="324"/>
      <c r="D1529" s="9"/>
      <c r="E1529" s="237"/>
      <c r="F1529" s="237">
        <f t="shared" ref="F1529:F1561" si="44">E1529*C1529</f>
        <v>0</v>
      </c>
    </row>
    <row r="1530" spans="1:6" ht="30.75" thickBot="1" x14ac:dyDescent="0.3">
      <c r="A1530" s="62"/>
      <c r="B1530" s="8" t="s">
        <v>408</v>
      </c>
      <c r="C1530" s="324">
        <v>1</v>
      </c>
      <c r="D1530" s="9" t="s">
        <v>407</v>
      </c>
      <c r="E1530" s="237">
        <v>52000</v>
      </c>
      <c r="F1530" s="237">
        <f t="shared" si="44"/>
        <v>52000</v>
      </c>
    </row>
    <row r="1531" spans="1:6" ht="15.75" thickBot="1" x14ac:dyDescent="0.3">
      <c r="A1531" s="62"/>
      <c r="B1531" s="8" t="s">
        <v>757</v>
      </c>
      <c r="C1531" s="324">
        <v>1</v>
      </c>
      <c r="D1531" s="9" t="s">
        <v>407</v>
      </c>
      <c r="E1531" s="237">
        <v>42000</v>
      </c>
      <c r="F1531" s="237">
        <f t="shared" si="44"/>
        <v>42000</v>
      </c>
    </row>
    <row r="1532" spans="1:6" ht="30.75" thickBot="1" x14ac:dyDescent="0.3">
      <c r="A1532" s="62"/>
      <c r="B1532" s="8" t="s">
        <v>410</v>
      </c>
      <c r="C1532" s="324">
        <v>1120</v>
      </c>
      <c r="D1532" s="9" t="s">
        <v>9</v>
      </c>
      <c r="E1532" s="237">
        <v>40</v>
      </c>
      <c r="F1532" s="237">
        <f t="shared" si="44"/>
        <v>44800</v>
      </c>
    </row>
    <row r="1533" spans="1:6" ht="30.75" thickBot="1" x14ac:dyDescent="0.3">
      <c r="A1533" s="62"/>
      <c r="B1533" s="8" t="s">
        <v>411</v>
      </c>
      <c r="C1533" s="324">
        <v>1</v>
      </c>
      <c r="D1533" s="9" t="s">
        <v>407</v>
      </c>
      <c r="E1533" s="237">
        <v>18000</v>
      </c>
      <c r="F1533" s="237">
        <f t="shared" si="44"/>
        <v>18000</v>
      </c>
    </row>
    <row r="1534" spans="1:6" ht="15.75" thickBot="1" x14ac:dyDescent="0.3">
      <c r="A1534" s="62"/>
      <c r="B1534" s="8" t="s">
        <v>375</v>
      </c>
      <c r="C1534" s="324">
        <v>22</v>
      </c>
      <c r="D1534" s="9" t="s">
        <v>407</v>
      </c>
      <c r="E1534" s="237">
        <v>7500</v>
      </c>
      <c r="F1534" s="237">
        <f t="shared" si="44"/>
        <v>165000</v>
      </c>
    </row>
    <row r="1535" spans="1:6" ht="45.75" thickBot="1" x14ac:dyDescent="0.3">
      <c r="A1535" s="62">
        <v>3</v>
      </c>
      <c r="B1535" s="8" t="s">
        <v>758</v>
      </c>
      <c r="C1535" s="324">
        <v>3511</v>
      </c>
      <c r="D1535" s="9" t="s">
        <v>9</v>
      </c>
      <c r="E1535" s="237">
        <v>30</v>
      </c>
      <c r="F1535" s="237">
        <f t="shared" si="44"/>
        <v>105330</v>
      </c>
    </row>
    <row r="1536" spans="1:6" ht="30.75" thickBot="1" x14ac:dyDescent="0.3">
      <c r="A1536" s="62">
        <v>4</v>
      </c>
      <c r="B1536" s="8" t="s">
        <v>741</v>
      </c>
      <c r="C1536" s="324">
        <v>1</v>
      </c>
      <c r="D1536" s="9" t="s">
        <v>11</v>
      </c>
      <c r="E1536" s="237">
        <v>18000</v>
      </c>
      <c r="F1536" s="237">
        <f t="shared" si="44"/>
        <v>18000</v>
      </c>
    </row>
    <row r="1537" spans="1:6" ht="19.5" thickBot="1" x14ac:dyDescent="0.3">
      <c r="A1537" s="62"/>
      <c r="B1537" s="612" t="s">
        <v>1866</v>
      </c>
      <c r="C1537" s="613"/>
      <c r="D1537" s="613"/>
      <c r="E1537" s="614"/>
      <c r="F1537" s="237">
        <f t="shared" si="44"/>
        <v>0</v>
      </c>
    </row>
    <row r="1538" spans="1:6" ht="45.75" thickBot="1" x14ac:dyDescent="0.3">
      <c r="A1538" s="62">
        <v>5</v>
      </c>
      <c r="B1538" s="8" t="s">
        <v>747</v>
      </c>
      <c r="C1538" s="324">
        <v>3076</v>
      </c>
      <c r="D1538" s="9" t="s">
        <v>9</v>
      </c>
      <c r="E1538" s="237">
        <v>365</v>
      </c>
      <c r="F1538" s="237">
        <f t="shared" si="44"/>
        <v>1122740</v>
      </c>
    </row>
    <row r="1539" spans="1:6" ht="45.75" thickBot="1" x14ac:dyDescent="0.3">
      <c r="A1539" s="62">
        <v>6</v>
      </c>
      <c r="B1539" s="8" t="s">
        <v>392</v>
      </c>
      <c r="C1539" s="324">
        <v>6110</v>
      </c>
      <c r="D1539" s="9" t="s">
        <v>9</v>
      </c>
      <c r="E1539" s="237">
        <v>145</v>
      </c>
      <c r="F1539" s="237">
        <f t="shared" si="44"/>
        <v>885950</v>
      </c>
    </row>
    <row r="1540" spans="1:6" ht="45.75" thickBot="1" x14ac:dyDescent="0.3">
      <c r="A1540" s="62">
        <v>7</v>
      </c>
      <c r="B1540" s="8" t="s">
        <v>748</v>
      </c>
      <c r="C1540" s="324">
        <v>4278</v>
      </c>
      <c r="D1540" s="9" t="s">
        <v>9</v>
      </c>
      <c r="E1540" s="237">
        <v>190</v>
      </c>
      <c r="F1540" s="237">
        <f t="shared" si="44"/>
        <v>812820</v>
      </c>
    </row>
    <row r="1541" spans="1:6" ht="45.75" thickBot="1" x14ac:dyDescent="0.3">
      <c r="A1541" s="62">
        <v>8</v>
      </c>
      <c r="B1541" s="8" t="s">
        <v>323</v>
      </c>
      <c r="C1541" s="324">
        <v>296</v>
      </c>
      <c r="D1541" s="9" t="s">
        <v>33</v>
      </c>
      <c r="E1541" s="237">
        <v>550</v>
      </c>
      <c r="F1541" s="237">
        <f t="shared" si="44"/>
        <v>162800</v>
      </c>
    </row>
    <row r="1542" spans="1:6" ht="60.75" thickBot="1" x14ac:dyDescent="0.3">
      <c r="A1542" s="62">
        <v>9</v>
      </c>
      <c r="B1542" s="8" t="s">
        <v>765</v>
      </c>
      <c r="C1542" s="324">
        <v>2.2000000000000002</v>
      </c>
      <c r="D1542" s="9" t="s">
        <v>30</v>
      </c>
      <c r="E1542" s="237">
        <v>14500</v>
      </c>
      <c r="F1542" s="237">
        <f t="shared" si="44"/>
        <v>31900.000000000004</v>
      </c>
    </row>
    <row r="1543" spans="1:6" ht="30.75" thickBot="1" x14ac:dyDescent="0.3">
      <c r="A1543" s="62">
        <v>10</v>
      </c>
      <c r="B1543" s="8" t="s">
        <v>385</v>
      </c>
      <c r="C1543" s="324">
        <v>32</v>
      </c>
      <c r="D1543" s="9" t="s">
        <v>32</v>
      </c>
      <c r="E1543" s="237">
        <v>3250</v>
      </c>
      <c r="F1543" s="237">
        <f t="shared" si="44"/>
        <v>104000</v>
      </c>
    </row>
    <row r="1544" spans="1:6" ht="75.75" thickBot="1" x14ac:dyDescent="0.3">
      <c r="A1544" s="62">
        <v>11</v>
      </c>
      <c r="B1544" s="8" t="s">
        <v>749</v>
      </c>
      <c r="C1544" s="324">
        <v>75</v>
      </c>
      <c r="D1544" s="9" t="s">
        <v>33</v>
      </c>
      <c r="E1544" s="237">
        <v>2100</v>
      </c>
      <c r="F1544" s="237">
        <f t="shared" si="44"/>
        <v>157500</v>
      </c>
    </row>
    <row r="1545" spans="1:6" ht="30.75" thickBot="1" x14ac:dyDescent="0.3">
      <c r="A1545" s="62">
        <v>12</v>
      </c>
      <c r="B1545" s="8" t="s">
        <v>387</v>
      </c>
      <c r="C1545" s="324">
        <v>145</v>
      </c>
      <c r="D1545" s="9" t="s">
        <v>33</v>
      </c>
      <c r="E1545" s="237">
        <v>2050</v>
      </c>
      <c r="F1545" s="237">
        <f t="shared" si="44"/>
        <v>297250</v>
      </c>
    </row>
    <row r="1546" spans="1:6" ht="45.75" thickBot="1" x14ac:dyDescent="0.3">
      <c r="A1546" s="62">
        <v>13</v>
      </c>
      <c r="B1546" s="8" t="s">
        <v>388</v>
      </c>
      <c r="C1546" s="324">
        <v>132</v>
      </c>
      <c r="D1546" s="9" t="s">
        <v>33</v>
      </c>
      <c r="E1546" s="237">
        <v>2300</v>
      </c>
      <c r="F1546" s="237">
        <f t="shared" si="44"/>
        <v>303600</v>
      </c>
    </row>
    <row r="1547" spans="1:6" ht="60.75" thickBot="1" x14ac:dyDescent="0.3">
      <c r="A1547" s="62">
        <v>14</v>
      </c>
      <c r="B1547" s="8" t="s">
        <v>760</v>
      </c>
      <c r="C1547" s="324">
        <v>518</v>
      </c>
      <c r="D1547" s="9" t="s">
        <v>9</v>
      </c>
      <c r="E1547" s="237">
        <v>1700</v>
      </c>
      <c r="F1547" s="237">
        <f t="shared" si="44"/>
        <v>880600</v>
      </c>
    </row>
    <row r="1548" spans="1:6" ht="45.75" thickBot="1" x14ac:dyDescent="0.3">
      <c r="A1548" s="62">
        <v>15</v>
      </c>
      <c r="B1548" s="8" t="s">
        <v>761</v>
      </c>
      <c r="C1548" s="324">
        <v>36</v>
      </c>
      <c r="D1548" s="9" t="s">
        <v>33</v>
      </c>
      <c r="E1548" s="237">
        <v>2050</v>
      </c>
      <c r="F1548" s="237">
        <f t="shared" si="44"/>
        <v>73800</v>
      </c>
    </row>
    <row r="1549" spans="1:6" ht="60.75" thickBot="1" x14ac:dyDescent="0.3">
      <c r="A1549" s="62">
        <v>16</v>
      </c>
      <c r="B1549" s="8" t="s">
        <v>762</v>
      </c>
      <c r="C1549" s="324">
        <v>220</v>
      </c>
      <c r="D1549" s="9" t="s">
        <v>9</v>
      </c>
      <c r="E1549" s="237">
        <v>1700</v>
      </c>
      <c r="F1549" s="237">
        <f t="shared" si="44"/>
        <v>374000</v>
      </c>
    </row>
    <row r="1550" spans="1:6" ht="45.75" thickBot="1" x14ac:dyDescent="0.3">
      <c r="A1550" s="62">
        <v>17</v>
      </c>
      <c r="B1550" s="8" t="s">
        <v>753</v>
      </c>
      <c r="C1550" s="324">
        <v>900</v>
      </c>
      <c r="D1550" s="9" t="s">
        <v>9</v>
      </c>
      <c r="E1550" s="237">
        <v>550</v>
      </c>
      <c r="F1550" s="237">
        <f t="shared" si="44"/>
        <v>495000</v>
      </c>
    </row>
    <row r="1551" spans="1:6" ht="19.5" thickBot="1" x14ac:dyDescent="0.3">
      <c r="A1551" s="62"/>
      <c r="B1551" s="612" t="s">
        <v>1867</v>
      </c>
      <c r="C1551" s="613"/>
      <c r="D1551" s="613"/>
      <c r="E1551" s="614"/>
      <c r="F1551" s="237">
        <f t="shared" si="44"/>
        <v>0</v>
      </c>
    </row>
    <row r="1552" spans="1:6" ht="45.75" thickBot="1" x14ac:dyDescent="0.3">
      <c r="A1552" s="62">
        <v>18</v>
      </c>
      <c r="B1552" s="8" t="s">
        <v>119</v>
      </c>
      <c r="C1552" s="324">
        <v>106</v>
      </c>
      <c r="D1552" s="9" t="s">
        <v>33</v>
      </c>
      <c r="E1552" s="237">
        <v>2050</v>
      </c>
      <c r="F1552" s="237">
        <f t="shared" si="44"/>
        <v>217300</v>
      </c>
    </row>
    <row r="1553" spans="1:18" ht="60.75" thickBot="1" x14ac:dyDescent="0.3">
      <c r="A1553" s="62">
        <v>19</v>
      </c>
      <c r="B1553" s="8" t="s">
        <v>766</v>
      </c>
      <c r="C1553" s="324">
        <v>826</v>
      </c>
      <c r="D1553" s="9" t="s">
        <v>9</v>
      </c>
      <c r="E1553" s="237">
        <v>1800</v>
      </c>
      <c r="F1553" s="237">
        <f t="shared" si="44"/>
        <v>1486800</v>
      </c>
    </row>
    <row r="1554" spans="1:18" ht="45.75" thickBot="1" x14ac:dyDescent="0.3">
      <c r="A1554" s="62">
        <v>20</v>
      </c>
      <c r="B1554" s="8" t="s">
        <v>742</v>
      </c>
      <c r="C1554" s="324">
        <v>280</v>
      </c>
      <c r="D1554" s="9" t="s">
        <v>33</v>
      </c>
      <c r="E1554" s="237">
        <v>2200</v>
      </c>
      <c r="F1554" s="237">
        <f t="shared" si="44"/>
        <v>616000</v>
      </c>
    </row>
    <row r="1555" spans="1:18" ht="60.75" thickBot="1" x14ac:dyDescent="0.3">
      <c r="A1555" s="62">
        <v>21</v>
      </c>
      <c r="B1555" s="8" t="s">
        <v>743</v>
      </c>
      <c r="C1555" s="324">
        <v>3856</v>
      </c>
      <c r="D1555" s="9" t="s">
        <v>9</v>
      </c>
      <c r="E1555" s="237">
        <v>365</v>
      </c>
      <c r="F1555" s="237">
        <f t="shared" si="44"/>
        <v>1407440</v>
      </c>
    </row>
    <row r="1556" spans="1:18" ht="30.75" thickBot="1" x14ac:dyDescent="0.3">
      <c r="A1556" s="62">
        <v>23</v>
      </c>
      <c r="B1556" s="8" t="s">
        <v>744</v>
      </c>
      <c r="C1556" s="324">
        <v>7418</v>
      </c>
      <c r="D1556" s="9" t="s">
        <v>9</v>
      </c>
      <c r="E1556" s="237">
        <v>145</v>
      </c>
      <c r="F1556" s="237">
        <f t="shared" si="44"/>
        <v>1075610</v>
      </c>
    </row>
    <row r="1557" spans="1:18" ht="33.75" thickBot="1" x14ac:dyDescent="0.3">
      <c r="A1557" s="62">
        <v>23</v>
      </c>
      <c r="B1557" s="8" t="s">
        <v>1868</v>
      </c>
      <c r="C1557" s="324">
        <v>140</v>
      </c>
      <c r="D1557" s="9" t="s">
        <v>9</v>
      </c>
      <c r="E1557" s="237">
        <v>4500</v>
      </c>
      <c r="F1557" s="237">
        <f t="shared" si="44"/>
        <v>630000</v>
      </c>
    </row>
    <row r="1558" spans="1:18" ht="30.75" thickBot="1" x14ac:dyDescent="0.3">
      <c r="A1558" s="62">
        <v>24</v>
      </c>
      <c r="B1558" s="8" t="s">
        <v>759</v>
      </c>
      <c r="C1558" s="324">
        <v>226</v>
      </c>
      <c r="D1558" s="9" t="s">
        <v>33</v>
      </c>
      <c r="E1558" s="237">
        <v>550</v>
      </c>
      <c r="F1558" s="237">
        <f t="shared" si="44"/>
        <v>124300</v>
      </c>
    </row>
    <row r="1559" spans="1:18" ht="75.75" thickBot="1" x14ac:dyDescent="0.3">
      <c r="A1559" s="62">
        <v>25</v>
      </c>
      <c r="B1559" s="8" t="s">
        <v>767</v>
      </c>
      <c r="C1559" s="324">
        <v>43</v>
      </c>
      <c r="D1559" s="9" t="s">
        <v>33</v>
      </c>
      <c r="E1559" s="237">
        <v>2600</v>
      </c>
      <c r="F1559" s="237">
        <f t="shared" si="44"/>
        <v>111800</v>
      </c>
    </row>
    <row r="1560" spans="1:18" ht="30.75" thickBot="1" x14ac:dyDescent="0.3">
      <c r="A1560" s="62">
        <v>26</v>
      </c>
      <c r="B1560" s="8" t="s">
        <v>763</v>
      </c>
      <c r="C1560" s="324">
        <v>1</v>
      </c>
      <c r="D1560" s="9" t="s">
        <v>11</v>
      </c>
      <c r="E1560" s="237">
        <v>2800000</v>
      </c>
      <c r="F1560" s="237">
        <f t="shared" si="44"/>
        <v>2800000</v>
      </c>
    </row>
    <row r="1561" spans="1:18" ht="30.75" thickBot="1" x14ac:dyDescent="0.3">
      <c r="A1561" s="62">
        <v>27</v>
      </c>
      <c r="B1561" s="8" t="s">
        <v>764</v>
      </c>
      <c r="C1561" s="324">
        <v>1</v>
      </c>
      <c r="D1561" s="9" t="s">
        <v>11</v>
      </c>
      <c r="E1561" s="237">
        <v>2500000</v>
      </c>
      <c r="F1561" s="237">
        <f t="shared" si="44"/>
        <v>2500000</v>
      </c>
    </row>
    <row r="1562" spans="1:18" ht="15.75" thickBot="1" x14ac:dyDescent="0.3">
      <c r="A1562" s="62"/>
      <c r="B1562" s="8"/>
      <c r="C1562" s="324"/>
      <c r="D1562" s="9"/>
      <c r="E1562" s="237"/>
      <c r="F1562" s="237"/>
    </row>
    <row r="1563" spans="1:18" ht="15.75" thickBot="1" x14ac:dyDescent="0.3">
      <c r="A1563" s="62"/>
      <c r="B1563" s="11" t="s">
        <v>10</v>
      </c>
      <c r="C1563" s="325"/>
      <c r="D1563" s="12"/>
      <c r="E1563" s="238"/>
      <c r="F1563" s="238">
        <f>SUM(F1528:F1561)</f>
        <v>17154340</v>
      </c>
      <c r="K1563" s="72"/>
      <c r="L1563" s="32"/>
      <c r="M1563" s="218"/>
      <c r="N1563" s="32"/>
      <c r="O1563" s="72"/>
      <c r="P1563" s="32"/>
      <c r="Q1563" s="72"/>
      <c r="R1563" s="32"/>
    </row>
    <row r="1564" spans="1:18" ht="15.75" thickBot="1" x14ac:dyDescent="0.3">
      <c r="A1564" s="62"/>
      <c r="B1564" s="8"/>
      <c r="C1564" s="324"/>
      <c r="D1564" s="9"/>
      <c r="E1564" s="237"/>
      <c r="F1564" s="263"/>
      <c r="K1564" s="32"/>
      <c r="L1564" s="72"/>
      <c r="M1564" s="219"/>
      <c r="N1564" s="72"/>
      <c r="O1564" s="32"/>
      <c r="P1564" s="72"/>
      <c r="Q1564" s="32"/>
      <c r="R1564" s="72"/>
    </row>
    <row r="1565" spans="1:18" ht="15.75" thickBot="1" x14ac:dyDescent="0.3">
      <c r="F1565" s="16">
        <f t="shared" ref="F1565:F1573" si="45">E1565*C1565</f>
        <v>0</v>
      </c>
      <c r="K1565" s="72"/>
      <c r="L1565" s="32"/>
      <c r="M1565" s="218"/>
      <c r="N1565" s="32"/>
      <c r="O1565" s="72"/>
      <c r="P1565" s="32"/>
      <c r="Q1565" s="72"/>
      <c r="R1565" s="32"/>
    </row>
    <row r="1566" spans="1:18" ht="15.75" thickBot="1" x14ac:dyDescent="0.3">
      <c r="A1566" s="56" t="s">
        <v>0</v>
      </c>
      <c r="B1566" s="6" t="s">
        <v>1</v>
      </c>
      <c r="C1566" s="323" t="s">
        <v>2</v>
      </c>
      <c r="D1566" s="57" t="s">
        <v>3</v>
      </c>
      <c r="E1566" s="249" t="s">
        <v>4</v>
      </c>
      <c r="F1566" s="249" t="s">
        <v>5</v>
      </c>
      <c r="K1566" s="32"/>
      <c r="L1566" s="72"/>
      <c r="M1566" s="219"/>
      <c r="N1566" s="72"/>
      <c r="O1566" s="32"/>
      <c r="P1566" s="72"/>
      <c r="Q1566" s="32"/>
      <c r="R1566" s="72"/>
    </row>
    <row r="1567" spans="1:18" x14ac:dyDescent="0.25">
      <c r="A1567" s="13">
        <v>1</v>
      </c>
      <c r="B1567" s="14" t="s">
        <v>768</v>
      </c>
      <c r="C1567" s="330">
        <v>2445</v>
      </c>
      <c r="D1567" s="15" t="s">
        <v>769</v>
      </c>
      <c r="F1567" s="16">
        <f t="shared" si="45"/>
        <v>0</v>
      </c>
      <c r="K1567" s="72"/>
      <c r="L1567" s="32"/>
      <c r="M1567" s="218"/>
      <c r="N1567" s="32"/>
      <c r="O1567" s="72"/>
      <c r="P1567" s="32"/>
      <c r="Q1567" s="72"/>
      <c r="R1567" s="32"/>
    </row>
    <row r="1568" spans="1:18" x14ac:dyDescent="0.25">
      <c r="A1568" s="13">
        <v>2</v>
      </c>
      <c r="B1568" s="14" t="s">
        <v>770</v>
      </c>
      <c r="C1568" s="316">
        <v>540</v>
      </c>
      <c r="D1568" s="15" t="s">
        <v>769</v>
      </c>
      <c r="F1568" s="16">
        <f t="shared" si="45"/>
        <v>0</v>
      </c>
      <c r="K1568" s="32"/>
      <c r="L1568" s="72"/>
      <c r="M1568" s="219"/>
      <c r="N1568" s="72"/>
      <c r="O1568" s="32"/>
      <c r="P1568" s="72"/>
      <c r="Q1568" s="32"/>
      <c r="R1568" s="72"/>
    </row>
    <row r="1569" spans="1:18" x14ac:dyDescent="0.25">
      <c r="A1569" s="13">
        <v>3</v>
      </c>
      <c r="B1569" s="14" t="s">
        <v>771</v>
      </c>
      <c r="C1569" s="316">
        <v>365</v>
      </c>
      <c r="D1569" s="15" t="s">
        <v>769</v>
      </c>
      <c r="F1569" s="16">
        <f t="shared" si="45"/>
        <v>0</v>
      </c>
      <c r="K1569" s="72"/>
      <c r="L1569" s="32"/>
      <c r="M1569" s="218"/>
      <c r="N1569" s="32"/>
      <c r="O1569" s="72"/>
      <c r="P1569" s="32"/>
      <c r="Q1569" s="72"/>
      <c r="R1569" s="32"/>
    </row>
    <row r="1570" spans="1:18" x14ac:dyDescent="0.25">
      <c r="A1570" s="13">
        <v>4</v>
      </c>
      <c r="B1570" s="14" t="s">
        <v>773</v>
      </c>
      <c r="C1570" s="316">
        <v>265</v>
      </c>
      <c r="D1570" s="15" t="s">
        <v>769</v>
      </c>
      <c r="F1570" s="16">
        <f t="shared" si="45"/>
        <v>0</v>
      </c>
      <c r="K1570" s="32"/>
      <c r="L1570" s="72"/>
      <c r="M1570" s="219"/>
      <c r="N1570" s="72"/>
      <c r="O1570" s="32"/>
      <c r="P1570" s="72"/>
      <c r="Q1570" s="32"/>
      <c r="R1570" s="72"/>
    </row>
    <row r="1571" spans="1:18" x14ac:dyDescent="0.25">
      <c r="A1571" s="13">
        <v>5</v>
      </c>
      <c r="B1571" s="14" t="s">
        <v>774</v>
      </c>
      <c r="C1571" s="316">
        <v>1280</v>
      </c>
      <c r="D1571" s="15" t="s">
        <v>769</v>
      </c>
      <c r="F1571" s="16">
        <f t="shared" si="45"/>
        <v>0</v>
      </c>
      <c r="K1571" s="72"/>
      <c r="L1571" s="32"/>
      <c r="M1571" s="218"/>
      <c r="N1571" s="32"/>
      <c r="O1571" s="72"/>
      <c r="P1571" s="32"/>
      <c r="Q1571" s="72"/>
      <c r="R1571" s="32"/>
    </row>
    <row r="1572" spans="1:18" x14ac:dyDescent="0.25">
      <c r="A1572" s="13">
        <v>6</v>
      </c>
      <c r="B1572" s="14" t="s">
        <v>775</v>
      </c>
      <c r="C1572" s="316">
        <v>202</v>
      </c>
      <c r="D1572" s="15" t="s">
        <v>769</v>
      </c>
      <c r="F1572" s="16">
        <f t="shared" si="45"/>
        <v>0</v>
      </c>
      <c r="K1572" s="32"/>
      <c r="L1572" s="72"/>
      <c r="M1572" s="219"/>
      <c r="N1572" s="72"/>
      <c r="O1572" s="32"/>
      <c r="P1572" s="72"/>
      <c r="Q1572" s="32"/>
      <c r="R1572" s="72"/>
    </row>
    <row r="1573" spans="1:18" x14ac:dyDescent="0.25">
      <c r="A1573" s="13">
        <v>7</v>
      </c>
      <c r="B1573" s="14" t="s">
        <v>776</v>
      </c>
      <c r="C1573" s="316">
        <v>30</v>
      </c>
      <c r="D1573" s="15" t="s">
        <v>180</v>
      </c>
      <c r="F1573" s="16">
        <f t="shared" si="45"/>
        <v>0</v>
      </c>
      <c r="K1573" s="72"/>
      <c r="L1573" s="32"/>
      <c r="M1573" s="218"/>
      <c r="N1573" s="32"/>
      <c r="O1573" s="72"/>
      <c r="P1573" s="32"/>
      <c r="Q1573" s="72"/>
      <c r="R1573" s="32"/>
    </row>
    <row r="1574" spans="1:18" x14ac:dyDescent="0.25">
      <c r="A1574" s="13">
        <v>8</v>
      </c>
      <c r="B1574" s="14" t="s">
        <v>806</v>
      </c>
      <c r="C1574" s="316">
        <v>8</v>
      </c>
      <c r="D1574" s="15" t="s">
        <v>180</v>
      </c>
      <c r="F1574" s="16">
        <f t="shared" ref="F1574:F1581" si="46">E1574*C1575</f>
        <v>0</v>
      </c>
      <c r="K1574" s="32"/>
      <c r="L1574" s="72"/>
      <c r="M1574" s="219"/>
      <c r="N1574" s="72"/>
      <c r="O1574" s="32"/>
      <c r="P1574" s="72"/>
      <c r="Q1574" s="32"/>
      <c r="R1574" s="72"/>
    </row>
    <row r="1575" spans="1:18" x14ac:dyDescent="0.25">
      <c r="A1575" s="13">
        <v>9</v>
      </c>
      <c r="B1575" s="14" t="s">
        <v>777</v>
      </c>
      <c r="C1575" s="316">
        <v>3</v>
      </c>
      <c r="D1575" s="15" t="s">
        <v>180</v>
      </c>
      <c r="F1575" s="16">
        <f t="shared" si="46"/>
        <v>0</v>
      </c>
      <c r="K1575" s="72"/>
      <c r="L1575" s="32"/>
      <c r="M1575" s="218"/>
      <c r="N1575" s="32"/>
      <c r="O1575" s="72"/>
      <c r="P1575" s="32"/>
      <c r="Q1575" s="72"/>
      <c r="R1575" s="32"/>
    </row>
    <row r="1576" spans="1:18" x14ac:dyDescent="0.25">
      <c r="A1576" s="13">
        <v>10</v>
      </c>
      <c r="B1576" s="14" t="s">
        <v>778</v>
      </c>
      <c r="C1576" s="316">
        <v>3</v>
      </c>
      <c r="D1576" s="15" t="s">
        <v>180</v>
      </c>
      <c r="F1576" s="16">
        <f t="shared" si="46"/>
        <v>0</v>
      </c>
      <c r="K1576" s="32"/>
      <c r="L1576" s="72"/>
      <c r="M1576" s="219"/>
      <c r="N1576" s="72"/>
      <c r="O1576" s="32"/>
      <c r="P1576" s="72"/>
      <c r="Q1576" s="32"/>
      <c r="R1576" s="72"/>
    </row>
    <row r="1577" spans="1:18" x14ac:dyDescent="0.25">
      <c r="A1577" s="13">
        <v>11</v>
      </c>
      <c r="B1577" s="14" t="s">
        <v>779</v>
      </c>
      <c r="C1577" s="316">
        <v>4</v>
      </c>
      <c r="D1577" s="15" t="s">
        <v>180</v>
      </c>
      <c r="F1577" s="16">
        <f t="shared" si="46"/>
        <v>0</v>
      </c>
      <c r="K1577" s="72"/>
      <c r="L1577" s="32"/>
      <c r="M1577" s="218"/>
      <c r="N1577" s="32"/>
      <c r="O1577" s="72"/>
      <c r="P1577" s="32"/>
      <c r="Q1577" s="72"/>
      <c r="R1577" s="32"/>
    </row>
    <row r="1578" spans="1:18" x14ac:dyDescent="0.25">
      <c r="A1578" s="13">
        <v>12</v>
      </c>
      <c r="B1578" s="14" t="s">
        <v>780</v>
      </c>
      <c r="C1578" s="316">
        <v>25</v>
      </c>
      <c r="D1578" s="15" t="s">
        <v>180</v>
      </c>
      <c r="F1578" s="16">
        <f t="shared" si="46"/>
        <v>0</v>
      </c>
    </row>
    <row r="1579" spans="1:18" x14ac:dyDescent="0.25">
      <c r="A1579" s="13">
        <v>13</v>
      </c>
      <c r="B1579" s="14" t="s">
        <v>781</v>
      </c>
      <c r="C1579" s="316">
        <v>4</v>
      </c>
      <c r="D1579" s="15" t="s">
        <v>180</v>
      </c>
      <c r="F1579" s="16">
        <f t="shared" si="46"/>
        <v>0</v>
      </c>
    </row>
    <row r="1580" spans="1:18" x14ac:dyDescent="0.25">
      <c r="A1580" s="13">
        <v>14</v>
      </c>
      <c r="B1580" s="14" t="s">
        <v>782</v>
      </c>
      <c r="C1580" s="316">
        <v>4</v>
      </c>
      <c r="D1580" s="15" t="s">
        <v>180</v>
      </c>
      <c r="F1580" s="16">
        <f t="shared" si="46"/>
        <v>0</v>
      </c>
    </row>
    <row r="1581" spans="1:18" x14ac:dyDescent="0.25">
      <c r="A1581" s="13">
        <v>15</v>
      </c>
      <c r="B1581" s="14" t="s">
        <v>783</v>
      </c>
      <c r="C1581" s="316">
        <v>4</v>
      </c>
      <c r="D1581" s="15" t="s">
        <v>180</v>
      </c>
      <c r="F1581" s="16">
        <f t="shared" si="46"/>
        <v>0</v>
      </c>
      <c r="K1581" s="73">
        <v>1000</v>
      </c>
      <c r="L1581" s="73">
        <v>2000</v>
      </c>
      <c r="M1581" s="220">
        <v>4000</v>
      </c>
      <c r="N1581" s="73">
        <v>8000</v>
      </c>
      <c r="O1581" s="73">
        <v>16000</v>
      </c>
    </row>
    <row r="1582" spans="1:18" x14ac:dyDescent="0.25">
      <c r="A1582" s="13">
        <v>16</v>
      </c>
      <c r="B1582" s="14" t="s">
        <v>294</v>
      </c>
      <c r="C1582" s="316">
        <v>65</v>
      </c>
      <c r="D1582" s="15" t="s">
        <v>180</v>
      </c>
      <c r="F1582" s="16">
        <f>E1582*C1582</f>
        <v>0</v>
      </c>
      <c r="K1582" s="73">
        <v>32000</v>
      </c>
      <c r="L1582" s="73">
        <v>64000</v>
      </c>
      <c r="M1582" s="220">
        <v>128000</v>
      </c>
      <c r="N1582" s="73">
        <v>248000</v>
      </c>
      <c r="O1582" s="73">
        <v>596000</v>
      </c>
    </row>
    <row r="1583" spans="1:18" x14ac:dyDescent="0.25">
      <c r="A1583" s="13">
        <v>17</v>
      </c>
      <c r="B1583" s="14" t="s">
        <v>295</v>
      </c>
      <c r="C1583" s="316">
        <v>16</v>
      </c>
      <c r="D1583" s="15" t="s">
        <v>180</v>
      </c>
      <c r="F1583" s="16">
        <f>E1583*C1583</f>
        <v>0</v>
      </c>
      <c r="K1583" s="73">
        <v>1</v>
      </c>
      <c r="L1583" s="73">
        <v>1</v>
      </c>
      <c r="M1583" s="220">
        <v>1</v>
      </c>
      <c r="N1583" s="73">
        <v>1</v>
      </c>
      <c r="O1583" s="73">
        <v>1</v>
      </c>
    </row>
    <row r="1584" spans="1:18" x14ac:dyDescent="0.25">
      <c r="A1584" s="13">
        <v>18</v>
      </c>
      <c r="B1584" s="14" t="s">
        <v>784</v>
      </c>
      <c r="C1584" s="316">
        <v>20</v>
      </c>
      <c r="D1584" s="15" t="s">
        <v>180</v>
      </c>
      <c r="F1584" s="16">
        <f t="shared" ref="F1584:F1604" si="47">E1584*C1585</f>
        <v>0</v>
      </c>
      <c r="K1584" s="73">
        <v>1</v>
      </c>
      <c r="L1584" s="73">
        <v>1</v>
      </c>
      <c r="M1584" s="220">
        <v>1</v>
      </c>
      <c r="N1584" s="73">
        <v>1</v>
      </c>
      <c r="O1584" s="73">
        <v>1</v>
      </c>
    </row>
    <row r="1585" spans="1:15" x14ac:dyDescent="0.25">
      <c r="A1585" s="13">
        <v>19</v>
      </c>
      <c r="B1585" s="14" t="s">
        <v>785</v>
      </c>
      <c r="C1585" s="316">
        <v>20</v>
      </c>
      <c r="D1585" s="15" t="s">
        <v>180</v>
      </c>
      <c r="F1585" s="16">
        <f t="shared" si="47"/>
        <v>0</v>
      </c>
      <c r="K1585" s="73">
        <v>1</v>
      </c>
      <c r="L1585" s="73">
        <v>1</v>
      </c>
      <c r="M1585" s="220">
        <v>1</v>
      </c>
      <c r="N1585" s="73">
        <v>1</v>
      </c>
      <c r="O1585" s="73">
        <v>1</v>
      </c>
    </row>
    <row r="1586" spans="1:15" x14ac:dyDescent="0.25">
      <c r="A1586" s="13">
        <v>20</v>
      </c>
      <c r="B1586" s="14" t="s">
        <v>786</v>
      </c>
      <c r="C1586" s="316">
        <v>20</v>
      </c>
      <c r="D1586" s="15" t="s">
        <v>180</v>
      </c>
      <c r="F1586" s="16">
        <f t="shared" si="47"/>
        <v>0</v>
      </c>
    </row>
    <row r="1587" spans="1:15" x14ac:dyDescent="0.25">
      <c r="A1587" s="13">
        <v>21</v>
      </c>
      <c r="B1587" s="14" t="s">
        <v>787</v>
      </c>
      <c r="C1587" s="316">
        <v>3</v>
      </c>
      <c r="D1587" s="15" t="s">
        <v>180</v>
      </c>
      <c r="F1587" s="16">
        <f t="shared" si="47"/>
        <v>0</v>
      </c>
      <c r="K1587" s="33" t="s">
        <v>772</v>
      </c>
      <c r="L1587" s="33">
        <f>SUM(K1581:O1585)</f>
        <v>1099015</v>
      </c>
    </row>
    <row r="1588" spans="1:15" x14ac:dyDescent="0.25">
      <c r="A1588" s="13">
        <v>22</v>
      </c>
      <c r="B1588" s="14" t="s">
        <v>788</v>
      </c>
      <c r="C1588" s="316">
        <v>3</v>
      </c>
      <c r="D1588" s="15" t="s">
        <v>180</v>
      </c>
      <c r="F1588" s="16">
        <f t="shared" si="47"/>
        <v>0</v>
      </c>
    </row>
    <row r="1589" spans="1:15" x14ac:dyDescent="0.25">
      <c r="A1589" s="13">
        <v>23</v>
      </c>
      <c r="B1589" s="14" t="s">
        <v>789</v>
      </c>
      <c r="C1589" s="316">
        <v>1</v>
      </c>
      <c r="D1589" s="15" t="s">
        <v>180</v>
      </c>
      <c r="F1589" s="16">
        <f t="shared" si="47"/>
        <v>0</v>
      </c>
    </row>
    <row r="1590" spans="1:15" x14ac:dyDescent="0.25">
      <c r="A1590" s="13">
        <v>24</v>
      </c>
      <c r="B1590" s="14" t="s">
        <v>790</v>
      </c>
      <c r="C1590" s="316">
        <v>1</v>
      </c>
      <c r="D1590" s="15" t="s">
        <v>180</v>
      </c>
      <c r="F1590" s="16">
        <f t="shared" si="47"/>
        <v>0</v>
      </c>
    </row>
    <row r="1591" spans="1:15" x14ac:dyDescent="0.25">
      <c r="B1591" s="17" t="s">
        <v>791</v>
      </c>
      <c r="F1591" s="16">
        <f t="shared" si="47"/>
        <v>0</v>
      </c>
    </row>
    <row r="1592" spans="1:15" x14ac:dyDescent="0.25">
      <c r="A1592" s="13">
        <v>25</v>
      </c>
      <c r="B1592" s="14" t="s">
        <v>792</v>
      </c>
      <c r="C1592" s="316">
        <v>10</v>
      </c>
      <c r="D1592" s="15" t="s">
        <v>180</v>
      </c>
      <c r="F1592" s="16">
        <f t="shared" si="47"/>
        <v>0</v>
      </c>
    </row>
    <row r="1593" spans="1:15" x14ac:dyDescent="0.25">
      <c r="A1593" s="13">
        <v>26</v>
      </c>
      <c r="B1593" s="14" t="s">
        <v>793</v>
      </c>
      <c r="C1593" s="316">
        <v>15</v>
      </c>
      <c r="D1593" s="15" t="s">
        <v>180</v>
      </c>
      <c r="F1593" s="16">
        <f t="shared" si="47"/>
        <v>0</v>
      </c>
    </row>
    <row r="1594" spans="1:15" x14ac:dyDescent="0.25">
      <c r="A1594" s="13">
        <v>27</v>
      </c>
      <c r="B1594" s="14" t="s">
        <v>794</v>
      </c>
      <c r="C1594" s="316">
        <v>15</v>
      </c>
      <c r="D1594" s="15" t="s">
        <v>180</v>
      </c>
      <c r="F1594" s="16">
        <f t="shared" si="47"/>
        <v>0</v>
      </c>
    </row>
    <row r="1595" spans="1:15" x14ac:dyDescent="0.25">
      <c r="A1595" s="13">
        <v>28</v>
      </c>
      <c r="B1595" s="14" t="s">
        <v>795</v>
      </c>
      <c r="C1595" s="316">
        <v>20</v>
      </c>
      <c r="D1595" s="15" t="s">
        <v>180</v>
      </c>
      <c r="F1595" s="16">
        <f t="shared" si="47"/>
        <v>0</v>
      </c>
    </row>
    <row r="1596" spans="1:15" x14ac:dyDescent="0.25">
      <c r="A1596" s="13">
        <v>29</v>
      </c>
      <c r="B1596" s="14" t="s">
        <v>796</v>
      </c>
      <c r="C1596" s="316">
        <v>14</v>
      </c>
      <c r="D1596" s="15" t="s">
        <v>180</v>
      </c>
      <c r="F1596" s="16">
        <f t="shared" si="47"/>
        <v>0</v>
      </c>
    </row>
    <row r="1597" spans="1:15" x14ac:dyDescent="0.25">
      <c r="A1597" s="13">
        <v>30</v>
      </c>
      <c r="B1597" s="14" t="s">
        <v>797</v>
      </c>
      <c r="C1597" s="316">
        <v>80</v>
      </c>
      <c r="D1597" s="15" t="s">
        <v>180</v>
      </c>
      <c r="F1597" s="16">
        <f t="shared" si="47"/>
        <v>0</v>
      </c>
    </row>
    <row r="1598" spans="1:15" ht="30" x14ac:dyDescent="0.25">
      <c r="A1598" s="13">
        <v>31</v>
      </c>
      <c r="B1598" s="14" t="s">
        <v>798</v>
      </c>
      <c r="C1598" s="316">
        <v>10</v>
      </c>
      <c r="D1598" s="15" t="s">
        <v>180</v>
      </c>
      <c r="F1598" s="16">
        <f t="shared" si="47"/>
        <v>0</v>
      </c>
    </row>
    <row r="1599" spans="1:15" x14ac:dyDescent="0.25">
      <c r="A1599" s="13">
        <v>32</v>
      </c>
      <c r="B1599" s="14" t="s">
        <v>799</v>
      </c>
      <c r="C1599" s="316">
        <v>1</v>
      </c>
      <c r="D1599" s="15" t="s">
        <v>180</v>
      </c>
      <c r="F1599" s="16">
        <f t="shared" si="47"/>
        <v>0</v>
      </c>
    </row>
    <row r="1600" spans="1:15" x14ac:dyDescent="0.25">
      <c r="A1600" s="13">
        <v>33</v>
      </c>
      <c r="B1600" s="14" t="s">
        <v>800</v>
      </c>
      <c r="C1600" s="316">
        <v>4</v>
      </c>
      <c r="D1600" s="15" t="s">
        <v>180</v>
      </c>
      <c r="F1600" s="16">
        <f t="shared" si="47"/>
        <v>0</v>
      </c>
    </row>
    <row r="1601" spans="1:6" x14ac:dyDescent="0.25">
      <c r="A1601" s="13">
        <v>34</v>
      </c>
      <c r="B1601" s="14" t="s">
        <v>801</v>
      </c>
      <c r="C1601" s="316">
        <v>10</v>
      </c>
      <c r="D1601" s="15" t="s">
        <v>180</v>
      </c>
      <c r="F1601" s="16">
        <f t="shared" si="47"/>
        <v>0</v>
      </c>
    </row>
    <row r="1602" spans="1:6" x14ac:dyDescent="0.25">
      <c r="A1602" s="13">
        <v>35</v>
      </c>
      <c r="B1602" s="14" t="s">
        <v>804</v>
      </c>
      <c r="C1602" s="316">
        <v>25</v>
      </c>
      <c r="D1602" s="15" t="s">
        <v>180</v>
      </c>
      <c r="F1602" s="16">
        <f t="shared" si="47"/>
        <v>0</v>
      </c>
    </row>
    <row r="1603" spans="1:6" x14ac:dyDescent="0.25">
      <c r="A1603" s="13">
        <v>36</v>
      </c>
      <c r="B1603" s="14" t="s">
        <v>803</v>
      </c>
      <c r="C1603" s="316">
        <v>18</v>
      </c>
      <c r="D1603" s="15" t="s">
        <v>180</v>
      </c>
      <c r="F1603" s="16">
        <f t="shared" si="47"/>
        <v>0</v>
      </c>
    </row>
    <row r="1604" spans="1:6" x14ac:dyDescent="0.25">
      <c r="A1604" s="13">
        <v>37</v>
      </c>
      <c r="B1604" s="14" t="s">
        <v>802</v>
      </c>
      <c r="C1604" s="316">
        <v>10</v>
      </c>
      <c r="D1604" s="15" t="s">
        <v>180</v>
      </c>
      <c r="F1604" s="16">
        <f t="shared" si="47"/>
        <v>0</v>
      </c>
    </row>
    <row r="1605" spans="1:6" x14ac:dyDescent="0.25">
      <c r="A1605" s="13">
        <v>38</v>
      </c>
      <c r="B1605" s="14" t="s">
        <v>805</v>
      </c>
      <c r="C1605" s="316">
        <v>15</v>
      </c>
      <c r="D1605" s="15" t="s">
        <v>180</v>
      </c>
      <c r="F1605" s="16" t="e">
        <f>E1605*#REF!</f>
        <v>#REF!</v>
      </c>
    </row>
    <row r="1606" spans="1:6" x14ac:dyDescent="0.25">
      <c r="B1606" s="17" t="s">
        <v>816</v>
      </c>
      <c r="F1606" s="16">
        <f>E1606*C1607</f>
        <v>0</v>
      </c>
    </row>
    <row r="1607" spans="1:6" x14ac:dyDescent="0.25">
      <c r="A1607" s="13">
        <v>39</v>
      </c>
      <c r="B1607" s="14" t="s">
        <v>807</v>
      </c>
      <c r="C1607" s="316">
        <v>5</v>
      </c>
      <c r="D1607" s="15" t="s">
        <v>180</v>
      </c>
      <c r="F1607" s="16">
        <f>E1607*C1608</f>
        <v>0</v>
      </c>
    </row>
    <row r="1608" spans="1:6" x14ac:dyDescent="0.25">
      <c r="A1608" s="13">
        <v>40</v>
      </c>
      <c r="B1608" s="14" t="s">
        <v>808</v>
      </c>
      <c r="C1608" s="316">
        <v>4</v>
      </c>
      <c r="D1608" s="15" t="s">
        <v>180</v>
      </c>
      <c r="F1608" s="16">
        <f>E1608*C1609</f>
        <v>0</v>
      </c>
    </row>
    <row r="1609" spans="1:6" x14ac:dyDescent="0.25">
      <c r="A1609" s="13">
        <v>41</v>
      </c>
      <c r="B1609" s="14" t="s">
        <v>809</v>
      </c>
      <c r="C1609" s="316">
        <v>1</v>
      </c>
      <c r="D1609" s="15" t="s">
        <v>180</v>
      </c>
      <c r="F1609" s="16">
        <f>E1609*C1610</f>
        <v>0</v>
      </c>
    </row>
    <row r="1610" spans="1:6" x14ac:dyDescent="0.25">
      <c r="A1610" s="13">
        <v>42</v>
      </c>
      <c r="B1610" s="14" t="s">
        <v>810</v>
      </c>
      <c r="C1610" s="316">
        <v>2</v>
      </c>
      <c r="D1610" s="15" t="s">
        <v>180</v>
      </c>
      <c r="F1610" s="16">
        <f>E1610*C1611</f>
        <v>0</v>
      </c>
    </row>
    <row r="1611" spans="1:6" x14ac:dyDescent="0.25">
      <c r="A1611" s="13">
        <v>43</v>
      </c>
      <c r="B1611" s="14" t="s">
        <v>811</v>
      </c>
      <c r="C1611" s="316">
        <v>1</v>
      </c>
      <c r="D1611" s="15" t="s">
        <v>180</v>
      </c>
      <c r="F1611" s="16">
        <f>E1611*C1615</f>
        <v>0</v>
      </c>
    </row>
    <row r="1612" spans="1:6" x14ac:dyDescent="0.25">
      <c r="A1612" s="13">
        <v>44</v>
      </c>
      <c r="B1612" s="14" t="s">
        <v>813</v>
      </c>
      <c r="C1612" s="316">
        <v>1</v>
      </c>
      <c r="D1612" s="15" t="s">
        <v>180</v>
      </c>
      <c r="F1612" s="16">
        <f>E1612*C1612</f>
        <v>0</v>
      </c>
    </row>
    <row r="1613" spans="1:6" x14ac:dyDescent="0.25">
      <c r="A1613" s="13">
        <v>45</v>
      </c>
      <c r="B1613" s="14" t="s">
        <v>814</v>
      </c>
      <c r="C1613" s="316">
        <v>1</v>
      </c>
      <c r="D1613" s="15" t="s">
        <v>180</v>
      </c>
      <c r="F1613" s="16" t="e">
        <f>E1613*#REF!</f>
        <v>#REF!</v>
      </c>
    </row>
    <row r="1614" spans="1:6" x14ac:dyDescent="0.25">
      <c r="A1614" s="13">
        <v>46</v>
      </c>
      <c r="B1614" s="14" t="s">
        <v>815</v>
      </c>
      <c r="C1614" s="316">
        <v>1</v>
      </c>
      <c r="D1614" s="15" t="s">
        <v>180</v>
      </c>
      <c r="F1614" s="16" t="e">
        <f>E1614*#REF!</f>
        <v>#REF!</v>
      </c>
    </row>
    <row r="1615" spans="1:6" x14ac:dyDescent="0.25">
      <c r="A1615" s="13">
        <v>47</v>
      </c>
      <c r="B1615" s="14" t="s">
        <v>812</v>
      </c>
      <c r="C1615" s="316">
        <v>4</v>
      </c>
      <c r="D1615" s="15" t="s">
        <v>180</v>
      </c>
      <c r="F1615" s="16" t="e">
        <f>E1615*#REF!</f>
        <v>#REF!</v>
      </c>
    </row>
    <row r="1616" spans="1:6" x14ac:dyDescent="0.25">
      <c r="A1616" s="13">
        <v>48</v>
      </c>
      <c r="B1616" s="14" t="s">
        <v>817</v>
      </c>
      <c r="C1616" s="316">
        <v>3</v>
      </c>
      <c r="D1616" s="15" t="s">
        <v>180</v>
      </c>
      <c r="F1616" s="16">
        <f t="shared" ref="F1616:F1660" si="48">E1616*C1616</f>
        <v>0</v>
      </c>
    </row>
    <row r="1617" spans="1:6" x14ac:dyDescent="0.25">
      <c r="A1617" s="13">
        <v>49</v>
      </c>
      <c r="B1617" s="14" t="s">
        <v>819</v>
      </c>
      <c r="C1617" s="316">
        <v>4</v>
      </c>
      <c r="D1617" s="15" t="s">
        <v>180</v>
      </c>
      <c r="F1617" s="16" t="e">
        <f>E1617*#REF!</f>
        <v>#REF!</v>
      </c>
    </row>
    <row r="1618" spans="1:6" x14ac:dyDescent="0.25">
      <c r="A1618" s="13">
        <v>50</v>
      </c>
      <c r="B1618" s="14" t="s">
        <v>818</v>
      </c>
      <c r="C1618" s="316">
        <v>1</v>
      </c>
      <c r="D1618" s="15" t="s">
        <v>180</v>
      </c>
      <c r="F1618" s="16">
        <f t="shared" si="48"/>
        <v>0</v>
      </c>
    </row>
    <row r="1619" spans="1:6" ht="15.75" thickBot="1" x14ac:dyDescent="0.3">
      <c r="F1619" s="16">
        <f t="shared" si="48"/>
        <v>0</v>
      </c>
    </row>
    <row r="1620" spans="1:6" ht="15.75" thickBot="1" x14ac:dyDescent="0.3">
      <c r="A1620" s="56" t="s">
        <v>0</v>
      </c>
      <c r="B1620" s="6" t="s">
        <v>1</v>
      </c>
      <c r="C1620" s="323" t="s">
        <v>2</v>
      </c>
      <c r="D1620" s="57" t="s">
        <v>3</v>
      </c>
      <c r="E1620" s="249" t="s">
        <v>4</v>
      </c>
      <c r="F1620" s="249" t="s">
        <v>5</v>
      </c>
    </row>
    <row r="1621" spans="1:6" ht="45" x14ac:dyDescent="0.25">
      <c r="A1621" s="13">
        <v>1</v>
      </c>
      <c r="B1621" s="14" t="s">
        <v>820</v>
      </c>
      <c r="C1621" s="316">
        <v>1</v>
      </c>
      <c r="D1621" s="15" t="s">
        <v>11</v>
      </c>
      <c r="E1621" s="16">
        <v>16500</v>
      </c>
      <c r="F1621" s="16">
        <f t="shared" si="48"/>
        <v>16500</v>
      </c>
    </row>
    <row r="1622" spans="1:6" ht="30" x14ac:dyDescent="0.25">
      <c r="A1622" s="13">
        <v>2</v>
      </c>
      <c r="B1622" s="14" t="s">
        <v>821</v>
      </c>
      <c r="C1622" s="316">
        <v>840</v>
      </c>
      <c r="D1622" s="15" t="s">
        <v>769</v>
      </c>
      <c r="E1622" s="16">
        <v>85</v>
      </c>
      <c r="F1622" s="16">
        <f t="shared" si="48"/>
        <v>71400</v>
      </c>
    </row>
    <row r="1623" spans="1:6" x14ac:dyDescent="0.25">
      <c r="A1623" s="13">
        <v>3</v>
      </c>
      <c r="B1623" s="14" t="s">
        <v>822</v>
      </c>
      <c r="C1623" s="316">
        <v>1</v>
      </c>
      <c r="D1623" s="15" t="s">
        <v>11</v>
      </c>
      <c r="E1623" s="16">
        <v>11500</v>
      </c>
      <c r="F1623" s="16">
        <f t="shared" si="48"/>
        <v>11500</v>
      </c>
    </row>
    <row r="1624" spans="1:6" x14ac:dyDescent="0.25">
      <c r="A1624" s="13">
        <v>4</v>
      </c>
      <c r="B1624" s="14" t="s">
        <v>823</v>
      </c>
      <c r="C1624" s="316">
        <v>1</v>
      </c>
      <c r="D1624" s="15" t="s">
        <v>11</v>
      </c>
      <c r="E1624" s="16">
        <v>21500</v>
      </c>
      <c r="F1624" s="16">
        <f t="shared" si="48"/>
        <v>21500</v>
      </c>
    </row>
    <row r="1625" spans="1:6" ht="75" x14ac:dyDescent="0.25">
      <c r="A1625" s="13">
        <v>5</v>
      </c>
      <c r="B1625" s="14" t="s">
        <v>824</v>
      </c>
      <c r="C1625" s="316">
        <v>1</v>
      </c>
      <c r="D1625" s="15" t="s">
        <v>11</v>
      </c>
      <c r="E1625" s="16">
        <v>485000</v>
      </c>
      <c r="F1625" s="16">
        <f t="shared" si="48"/>
        <v>485000</v>
      </c>
    </row>
    <row r="1626" spans="1:6" ht="30" x14ac:dyDescent="0.25">
      <c r="A1626" s="13">
        <v>6</v>
      </c>
      <c r="B1626" s="14" t="s">
        <v>828</v>
      </c>
      <c r="C1626" s="316">
        <v>1</v>
      </c>
      <c r="D1626" s="15" t="s">
        <v>11</v>
      </c>
      <c r="E1626" s="16">
        <v>32500</v>
      </c>
      <c r="F1626" s="16">
        <f t="shared" si="48"/>
        <v>32500</v>
      </c>
    </row>
    <row r="1627" spans="1:6" x14ac:dyDescent="0.25">
      <c r="B1627" s="606" t="s">
        <v>825</v>
      </c>
      <c r="C1627" s="607"/>
      <c r="D1627" s="607"/>
      <c r="E1627" s="608"/>
    </row>
    <row r="1628" spans="1:6" ht="30" x14ac:dyDescent="0.25">
      <c r="A1628" s="13">
        <v>1</v>
      </c>
      <c r="B1628" s="14" t="s">
        <v>826</v>
      </c>
      <c r="C1628" s="316">
        <v>1</v>
      </c>
      <c r="D1628" s="15" t="s">
        <v>11</v>
      </c>
      <c r="E1628" s="16">
        <v>1800</v>
      </c>
      <c r="F1628" s="16">
        <f>E1628*C1628</f>
        <v>1800</v>
      </c>
    </row>
    <row r="1629" spans="1:6" x14ac:dyDescent="0.25">
      <c r="A1629" s="13">
        <v>2</v>
      </c>
      <c r="B1629" s="14" t="s">
        <v>827</v>
      </c>
      <c r="C1629" s="316">
        <v>1</v>
      </c>
      <c r="D1629" s="15" t="s">
        <v>11</v>
      </c>
      <c r="E1629" s="16">
        <v>4500</v>
      </c>
      <c r="F1629" s="16">
        <f t="shared" si="48"/>
        <v>4500</v>
      </c>
    </row>
    <row r="1631" spans="1:6" x14ac:dyDescent="0.25">
      <c r="B1631" s="17" t="s">
        <v>224</v>
      </c>
      <c r="F1631" s="239">
        <f>SUM(F1621:F1629)</f>
        <v>644700</v>
      </c>
    </row>
    <row r="1632" spans="1:6" ht="15.75" thickBot="1" x14ac:dyDescent="0.3"/>
    <row r="1633" spans="1:9" ht="15.75" thickBot="1" x14ac:dyDescent="0.3">
      <c r="A1633" s="56" t="s">
        <v>0</v>
      </c>
      <c r="B1633" s="6" t="s">
        <v>1</v>
      </c>
      <c r="C1633" s="323" t="s">
        <v>2</v>
      </c>
      <c r="D1633" s="57" t="s">
        <v>3</v>
      </c>
      <c r="E1633" s="249" t="s">
        <v>4</v>
      </c>
      <c r="F1633" s="249" t="s">
        <v>5</v>
      </c>
    </row>
    <row r="1634" spans="1:9" ht="45" x14ac:dyDescent="0.25">
      <c r="A1634" s="13">
        <v>1</v>
      </c>
      <c r="B1634" s="14" t="s">
        <v>829</v>
      </c>
      <c r="C1634" s="316">
        <v>23.8</v>
      </c>
      <c r="D1634" s="15" t="s">
        <v>30</v>
      </c>
      <c r="E1634" s="16">
        <v>8500</v>
      </c>
      <c r="F1634" s="16">
        <f t="shared" si="48"/>
        <v>202300</v>
      </c>
    </row>
    <row r="1635" spans="1:9" ht="30" x14ac:dyDescent="0.25">
      <c r="A1635" s="13">
        <v>2</v>
      </c>
      <c r="B1635" s="14" t="s">
        <v>830</v>
      </c>
      <c r="C1635" s="316">
        <v>14.6</v>
      </c>
      <c r="D1635" s="15" t="s">
        <v>30</v>
      </c>
      <c r="E1635" s="16">
        <v>13500</v>
      </c>
      <c r="F1635" s="16">
        <f t="shared" si="48"/>
        <v>197100</v>
      </c>
    </row>
    <row r="1636" spans="1:9" x14ac:dyDescent="0.25">
      <c r="A1636" s="13">
        <v>3</v>
      </c>
      <c r="B1636" s="14" t="s">
        <v>831</v>
      </c>
      <c r="C1636" s="316">
        <v>0.6</v>
      </c>
      <c r="D1636" s="15" t="s">
        <v>30</v>
      </c>
      <c r="E1636" s="16">
        <v>125000</v>
      </c>
      <c r="F1636" s="16">
        <f t="shared" si="48"/>
        <v>75000</v>
      </c>
    </row>
    <row r="1637" spans="1:9" ht="45" x14ac:dyDescent="0.25">
      <c r="A1637" s="13">
        <v>4</v>
      </c>
      <c r="B1637" s="14" t="s">
        <v>832</v>
      </c>
      <c r="C1637" s="316">
        <v>1</v>
      </c>
      <c r="D1637" s="15" t="s">
        <v>11</v>
      </c>
      <c r="E1637" s="16">
        <v>490000</v>
      </c>
      <c r="F1637" s="16">
        <f t="shared" si="48"/>
        <v>490000</v>
      </c>
    </row>
    <row r="1638" spans="1:9" ht="60" x14ac:dyDescent="0.25">
      <c r="A1638" s="13">
        <v>5</v>
      </c>
      <c r="B1638" s="14" t="s">
        <v>833</v>
      </c>
      <c r="C1638" s="316">
        <v>84</v>
      </c>
      <c r="D1638" s="15" t="s">
        <v>33</v>
      </c>
      <c r="E1638" s="16">
        <v>2800</v>
      </c>
      <c r="F1638" s="16">
        <f t="shared" si="48"/>
        <v>235200</v>
      </c>
    </row>
    <row r="1639" spans="1:9" ht="45" x14ac:dyDescent="0.25">
      <c r="A1639" s="13">
        <v>6</v>
      </c>
      <c r="B1639" s="14" t="s">
        <v>834</v>
      </c>
      <c r="C1639" s="316">
        <v>95</v>
      </c>
      <c r="D1639" s="15" t="s">
        <v>33</v>
      </c>
      <c r="E1639" s="16">
        <v>2450</v>
      </c>
      <c r="F1639" s="16">
        <f t="shared" si="48"/>
        <v>232750</v>
      </c>
    </row>
    <row r="1640" spans="1:9" ht="45" x14ac:dyDescent="0.25">
      <c r="A1640" s="13">
        <v>7</v>
      </c>
      <c r="B1640" s="14" t="s">
        <v>835</v>
      </c>
      <c r="C1640" s="316">
        <v>176</v>
      </c>
      <c r="D1640" s="15" t="s">
        <v>33</v>
      </c>
      <c r="E1640" s="16">
        <v>2200</v>
      </c>
      <c r="F1640" s="16">
        <f t="shared" si="48"/>
        <v>387200</v>
      </c>
    </row>
    <row r="1641" spans="1:9" ht="45" x14ac:dyDescent="0.25">
      <c r="A1641" s="13">
        <v>8</v>
      </c>
      <c r="B1641" s="14" t="s">
        <v>836</v>
      </c>
      <c r="C1641" s="316">
        <v>108</v>
      </c>
      <c r="D1641" s="15" t="s">
        <v>33</v>
      </c>
      <c r="E1641" s="16">
        <v>3400</v>
      </c>
      <c r="F1641" s="16">
        <f t="shared" si="48"/>
        <v>367200</v>
      </c>
    </row>
    <row r="1642" spans="1:9" ht="75" x14ac:dyDescent="0.25">
      <c r="A1642" s="13">
        <v>9</v>
      </c>
      <c r="B1642" s="14" t="s">
        <v>837</v>
      </c>
      <c r="C1642" s="316">
        <v>2650</v>
      </c>
      <c r="D1642" s="15" t="s">
        <v>9</v>
      </c>
      <c r="E1642" s="16">
        <v>360</v>
      </c>
      <c r="F1642" s="16">
        <f t="shared" si="48"/>
        <v>954000</v>
      </c>
    </row>
    <row r="1643" spans="1:9" ht="75" x14ac:dyDescent="0.25">
      <c r="A1643" s="13">
        <v>10</v>
      </c>
      <c r="B1643" s="14" t="s">
        <v>839</v>
      </c>
      <c r="C1643" s="316">
        <v>298</v>
      </c>
      <c r="D1643" s="15" t="s">
        <v>33</v>
      </c>
      <c r="E1643" s="16">
        <v>2450</v>
      </c>
      <c r="F1643" s="16">
        <f t="shared" ref="F1643:F1648" si="49">E1643*C1643</f>
        <v>730100</v>
      </c>
    </row>
    <row r="1644" spans="1:9" ht="60" x14ac:dyDescent="0.25">
      <c r="A1644" s="13">
        <v>11</v>
      </c>
      <c r="B1644" s="14" t="s">
        <v>840</v>
      </c>
      <c r="C1644" s="316">
        <v>320</v>
      </c>
      <c r="D1644" s="15" t="s">
        <v>9</v>
      </c>
      <c r="E1644" s="16">
        <v>1800</v>
      </c>
      <c r="F1644" s="16">
        <f t="shared" si="49"/>
        <v>576000</v>
      </c>
    </row>
    <row r="1645" spans="1:9" ht="60" x14ac:dyDescent="0.25">
      <c r="A1645" s="13">
        <v>12</v>
      </c>
      <c r="B1645" s="14" t="s">
        <v>841</v>
      </c>
      <c r="C1645" s="316">
        <v>160</v>
      </c>
      <c r="D1645" s="15" t="s">
        <v>33</v>
      </c>
      <c r="E1645" s="16">
        <v>1900</v>
      </c>
      <c r="F1645" s="16">
        <f t="shared" si="49"/>
        <v>304000</v>
      </c>
    </row>
    <row r="1646" spans="1:9" ht="45" x14ac:dyDescent="0.25">
      <c r="A1646" s="13">
        <v>13</v>
      </c>
      <c r="B1646" s="14" t="s">
        <v>842</v>
      </c>
      <c r="C1646" s="316">
        <v>296</v>
      </c>
      <c r="D1646" s="15" t="s">
        <v>9</v>
      </c>
      <c r="E1646" s="16">
        <v>1800</v>
      </c>
      <c r="F1646" s="16">
        <f t="shared" si="49"/>
        <v>532800</v>
      </c>
      <c r="I1646" s="34" t="s">
        <v>838</v>
      </c>
    </row>
    <row r="1647" spans="1:9" ht="45" x14ac:dyDescent="0.25">
      <c r="A1647" s="13">
        <v>14</v>
      </c>
      <c r="B1647" s="14" t="s">
        <v>843</v>
      </c>
      <c r="C1647" s="316">
        <v>1</v>
      </c>
      <c r="D1647" s="15" t="s">
        <v>407</v>
      </c>
      <c r="E1647" s="16">
        <v>850000</v>
      </c>
      <c r="F1647" s="16">
        <f t="shared" si="49"/>
        <v>850000</v>
      </c>
    </row>
    <row r="1648" spans="1:9" ht="60" x14ac:dyDescent="0.25">
      <c r="A1648" s="13">
        <v>15</v>
      </c>
      <c r="B1648" s="14" t="s">
        <v>844</v>
      </c>
      <c r="C1648" s="316">
        <v>2200</v>
      </c>
      <c r="D1648" s="15" t="s">
        <v>9</v>
      </c>
      <c r="E1648" s="16">
        <v>620</v>
      </c>
      <c r="F1648" s="16">
        <f t="shared" si="49"/>
        <v>1364000</v>
      </c>
    </row>
    <row r="1649" spans="1:12" ht="60" x14ac:dyDescent="0.25">
      <c r="A1649" s="13">
        <v>16</v>
      </c>
      <c r="B1649" s="14" t="s">
        <v>845</v>
      </c>
      <c r="C1649" s="316">
        <v>2200</v>
      </c>
      <c r="D1649" s="15" t="s">
        <v>9</v>
      </c>
      <c r="E1649" s="16">
        <v>570</v>
      </c>
      <c r="F1649" s="16">
        <f t="shared" si="48"/>
        <v>1254000</v>
      </c>
    </row>
    <row r="1650" spans="1:12" ht="60" x14ac:dyDescent="0.25">
      <c r="A1650" s="13">
        <v>17</v>
      </c>
      <c r="B1650" s="14" t="s">
        <v>846</v>
      </c>
      <c r="C1650" s="316">
        <v>252</v>
      </c>
      <c r="D1650" s="15" t="s">
        <v>33</v>
      </c>
      <c r="E1650" s="16">
        <v>980</v>
      </c>
      <c r="F1650" s="16">
        <f t="shared" si="48"/>
        <v>246960</v>
      </c>
    </row>
    <row r="1651" spans="1:12" ht="60" x14ac:dyDescent="0.25">
      <c r="A1651" s="13">
        <v>18</v>
      </c>
      <c r="B1651" s="14" t="s">
        <v>847</v>
      </c>
      <c r="C1651" s="316">
        <v>190</v>
      </c>
      <c r="D1651" s="15" t="s">
        <v>33</v>
      </c>
      <c r="E1651" s="16">
        <v>720</v>
      </c>
      <c r="F1651" s="16">
        <f t="shared" si="48"/>
        <v>136800</v>
      </c>
    </row>
    <row r="1652" spans="1:12" ht="75" x14ac:dyDescent="0.25">
      <c r="A1652" s="13">
        <v>19</v>
      </c>
      <c r="B1652" s="14" t="s">
        <v>848</v>
      </c>
      <c r="C1652" s="316">
        <v>6480</v>
      </c>
      <c r="D1652" s="15" t="s">
        <v>9</v>
      </c>
      <c r="E1652" s="16">
        <v>160</v>
      </c>
      <c r="F1652" s="16">
        <f t="shared" si="48"/>
        <v>1036800</v>
      </c>
    </row>
    <row r="1653" spans="1:12" ht="75" x14ac:dyDescent="0.25">
      <c r="A1653" s="13">
        <v>20</v>
      </c>
      <c r="B1653" s="14" t="s">
        <v>849</v>
      </c>
      <c r="C1653" s="316">
        <v>4650</v>
      </c>
      <c r="D1653" s="15" t="s">
        <v>9</v>
      </c>
      <c r="E1653" s="16">
        <v>180</v>
      </c>
      <c r="F1653" s="16">
        <f t="shared" si="48"/>
        <v>837000</v>
      </c>
    </row>
    <row r="1654" spans="1:12" ht="60" x14ac:dyDescent="0.25">
      <c r="A1654" s="13">
        <v>21</v>
      </c>
      <c r="B1654" s="14" t="s">
        <v>850</v>
      </c>
      <c r="C1654" s="316">
        <v>1</v>
      </c>
      <c r="D1654" s="15" t="s">
        <v>407</v>
      </c>
      <c r="E1654" s="16">
        <v>720000</v>
      </c>
      <c r="F1654" s="16">
        <f t="shared" si="48"/>
        <v>720000</v>
      </c>
    </row>
    <row r="1655" spans="1:12" ht="75" x14ac:dyDescent="0.25">
      <c r="A1655" s="13">
        <v>22</v>
      </c>
      <c r="B1655" s="14" t="s">
        <v>851</v>
      </c>
      <c r="C1655" s="316">
        <v>2200</v>
      </c>
      <c r="D1655" s="15" t="s">
        <v>9</v>
      </c>
      <c r="E1655" s="16">
        <v>550</v>
      </c>
      <c r="F1655" s="16">
        <f t="shared" si="48"/>
        <v>1210000</v>
      </c>
      <c r="I1655" s="67"/>
    </row>
    <row r="1656" spans="1:12" ht="30" x14ac:dyDescent="0.25">
      <c r="A1656" s="13">
        <v>23</v>
      </c>
      <c r="B1656" s="14" t="s">
        <v>852</v>
      </c>
      <c r="C1656" s="316">
        <v>80</v>
      </c>
      <c r="D1656" s="15" t="s">
        <v>853</v>
      </c>
      <c r="E1656" s="16">
        <v>4500</v>
      </c>
      <c r="F1656" s="16">
        <f t="shared" si="48"/>
        <v>360000</v>
      </c>
    </row>
    <row r="1657" spans="1:12" ht="75" x14ac:dyDescent="0.25">
      <c r="A1657" s="13">
        <v>24</v>
      </c>
      <c r="B1657" s="14" t="s">
        <v>854</v>
      </c>
      <c r="C1657" s="316">
        <v>1</v>
      </c>
      <c r="D1657" s="15" t="s">
        <v>772</v>
      </c>
      <c r="E1657" s="16">
        <v>1360000</v>
      </c>
      <c r="F1657" s="16">
        <f t="shared" si="48"/>
        <v>1360000</v>
      </c>
    </row>
    <row r="1658" spans="1:12" ht="90.75" thickBot="1" x14ac:dyDescent="0.3">
      <c r="A1658" s="13">
        <v>25</v>
      </c>
      <c r="B1658" s="14" t="s">
        <v>855</v>
      </c>
      <c r="C1658" s="316">
        <v>6200</v>
      </c>
      <c r="D1658" s="15" t="s">
        <v>769</v>
      </c>
      <c r="E1658" s="16">
        <v>460</v>
      </c>
      <c r="F1658" s="16">
        <f t="shared" si="48"/>
        <v>2852000</v>
      </c>
      <c r="I1658" s="66"/>
      <c r="K1658" s="74"/>
      <c r="L1658" s="74"/>
    </row>
    <row r="1659" spans="1:12" ht="75.75" thickBot="1" x14ac:dyDescent="0.3">
      <c r="A1659" s="13">
        <v>26</v>
      </c>
      <c r="B1659" s="14" t="s">
        <v>856</v>
      </c>
      <c r="C1659" s="316">
        <v>1120</v>
      </c>
      <c r="D1659" s="15" t="s">
        <v>769</v>
      </c>
      <c r="E1659" s="16">
        <v>495</v>
      </c>
      <c r="F1659" s="16">
        <f t="shared" si="48"/>
        <v>554400</v>
      </c>
      <c r="I1659" s="66"/>
      <c r="K1659" s="75"/>
      <c r="L1659" s="75"/>
    </row>
    <row r="1660" spans="1:12" ht="75.75" thickBot="1" x14ac:dyDescent="0.3">
      <c r="A1660" s="13">
        <v>27</v>
      </c>
      <c r="B1660" s="14" t="s">
        <v>857</v>
      </c>
      <c r="C1660" s="316">
        <v>650</v>
      </c>
      <c r="D1660" s="15" t="s">
        <v>769</v>
      </c>
      <c r="E1660" s="16">
        <v>1950</v>
      </c>
      <c r="F1660" s="16">
        <f t="shared" si="48"/>
        <v>1267500</v>
      </c>
      <c r="I1660" s="66"/>
    </row>
    <row r="1661" spans="1:12" ht="15.75" thickBot="1" x14ac:dyDescent="0.3">
      <c r="A1661" s="13">
        <v>28</v>
      </c>
      <c r="B1661" s="20" t="s">
        <v>864</v>
      </c>
      <c r="I1661" s="66"/>
    </row>
    <row r="1662" spans="1:12" ht="30.75" thickBot="1" x14ac:dyDescent="0.3">
      <c r="A1662" s="76" t="s">
        <v>202</v>
      </c>
      <c r="B1662" s="24" t="s">
        <v>858</v>
      </c>
      <c r="C1662" s="331">
        <v>2</v>
      </c>
      <c r="D1662" s="15" t="s">
        <v>180</v>
      </c>
      <c r="E1662" s="260">
        <v>42000</v>
      </c>
      <c r="F1662" s="16">
        <f>C1662*E1662</f>
        <v>84000</v>
      </c>
      <c r="I1662" s="66"/>
    </row>
    <row r="1663" spans="1:12" ht="15.75" thickBot="1" x14ac:dyDescent="0.3">
      <c r="A1663" s="76" t="s">
        <v>204</v>
      </c>
      <c r="B1663" s="24" t="s">
        <v>592</v>
      </c>
      <c r="C1663" s="331">
        <v>48</v>
      </c>
      <c r="D1663" s="55" t="s">
        <v>180</v>
      </c>
      <c r="E1663" s="260">
        <v>6800</v>
      </c>
      <c r="F1663" s="231">
        <f>E1663*C1663</f>
        <v>326400</v>
      </c>
      <c r="I1663" s="66"/>
    </row>
    <row r="1664" spans="1:12" ht="15.75" thickBot="1" x14ac:dyDescent="0.3">
      <c r="A1664" s="76" t="s">
        <v>206</v>
      </c>
      <c r="B1664" s="24" t="s">
        <v>859</v>
      </c>
      <c r="C1664" s="331">
        <v>18</v>
      </c>
      <c r="D1664" s="55" t="s">
        <v>180</v>
      </c>
      <c r="E1664" s="260">
        <v>6800</v>
      </c>
      <c r="F1664" s="231">
        <f t="shared" ref="F1664:F1670" si="50">E1664*C1664</f>
        <v>122400</v>
      </c>
      <c r="I1664" s="66"/>
    </row>
    <row r="1665" spans="1:9" ht="15.75" thickBot="1" x14ac:dyDescent="0.3">
      <c r="A1665" s="76" t="s">
        <v>208</v>
      </c>
      <c r="B1665" s="24" t="s">
        <v>860</v>
      </c>
      <c r="C1665" s="331">
        <v>12</v>
      </c>
      <c r="D1665" s="55" t="s">
        <v>180</v>
      </c>
      <c r="E1665" s="260">
        <v>6800</v>
      </c>
      <c r="F1665" s="231">
        <f t="shared" si="50"/>
        <v>81600</v>
      </c>
      <c r="I1665" s="66"/>
    </row>
    <row r="1666" spans="1:9" x14ac:dyDescent="0.25">
      <c r="A1666" s="76" t="s">
        <v>297</v>
      </c>
      <c r="B1666" s="24" t="s">
        <v>868</v>
      </c>
      <c r="C1666" s="331">
        <v>37</v>
      </c>
      <c r="D1666" s="55" t="s">
        <v>180</v>
      </c>
      <c r="E1666" s="260">
        <v>7700</v>
      </c>
      <c r="F1666" s="231">
        <f t="shared" si="50"/>
        <v>284900</v>
      </c>
    </row>
    <row r="1667" spans="1:9" x14ac:dyDescent="0.25">
      <c r="A1667" s="76" t="s">
        <v>865</v>
      </c>
      <c r="B1667" s="24" t="s">
        <v>861</v>
      </c>
      <c r="C1667" s="331">
        <v>15</v>
      </c>
      <c r="D1667" s="55" t="s">
        <v>180</v>
      </c>
      <c r="E1667" s="260">
        <v>8200</v>
      </c>
      <c r="F1667" s="231">
        <f t="shared" si="50"/>
        <v>123000</v>
      </c>
    </row>
    <row r="1668" spans="1:9" x14ac:dyDescent="0.25">
      <c r="A1668" s="76" t="s">
        <v>866</v>
      </c>
      <c r="B1668" s="24" t="s">
        <v>862</v>
      </c>
      <c r="C1668" s="331">
        <v>12</v>
      </c>
      <c r="D1668" s="55" t="s">
        <v>180</v>
      </c>
      <c r="E1668" s="260">
        <v>7100</v>
      </c>
      <c r="F1668" s="231">
        <f t="shared" si="50"/>
        <v>85200</v>
      </c>
    </row>
    <row r="1669" spans="1:9" x14ac:dyDescent="0.25">
      <c r="A1669" s="76" t="s">
        <v>867</v>
      </c>
      <c r="B1669" s="24" t="s">
        <v>863</v>
      </c>
      <c r="C1669" s="331">
        <v>22</v>
      </c>
      <c r="D1669" s="55" t="s">
        <v>180</v>
      </c>
      <c r="E1669" s="260">
        <v>7600</v>
      </c>
      <c r="F1669" s="231">
        <f>E1669*C1669</f>
        <v>167200</v>
      </c>
    </row>
    <row r="1670" spans="1:9" x14ac:dyDescent="0.25">
      <c r="A1670" s="13" t="s">
        <v>869</v>
      </c>
      <c r="B1670" s="52" t="s">
        <v>870</v>
      </c>
      <c r="C1670" s="316">
        <v>18</v>
      </c>
      <c r="D1670" s="55" t="s">
        <v>180</v>
      </c>
      <c r="E1670" s="16">
        <v>6700</v>
      </c>
      <c r="F1670" s="231">
        <f t="shared" si="50"/>
        <v>120600</v>
      </c>
      <c r="I1670" s="67">
        <f>SUM(F1634:F1670,F1671,F1672)</f>
        <v>23735460</v>
      </c>
    </row>
    <row r="1671" spans="1:9" ht="45" x14ac:dyDescent="0.25">
      <c r="A1671" s="13">
        <v>29</v>
      </c>
      <c r="B1671" s="14" t="s">
        <v>871</v>
      </c>
      <c r="C1671" s="316">
        <v>6480</v>
      </c>
      <c r="D1671" s="15" t="s">
        <v>769</v>
      </c>
      <c r="E1671" s="248">
        <v>360</v>
      </c>
      <c r="F1671" s="16">
        <f>E1671*C1671</f>
        <v>2332800</v>
      </c>
    </row>
    <row r="1672" spans="1:9" ht="45" x14ac:dyDescent="0.25">
      <c r="A1672" s="13">
        <v>30</v>
      </c>
      <c r="B1672" s="14" t="s">
        <v>872</v>
      </c>
      <c r="C1672" s="316">
        <v>4650</v>
      </c>
      <c r="D1672" s="15" t="s">
        <v>769</v>
      </c>
      <c r="E1672" s="16">
        <v>145</v>
      </c>
      <c r="F1672" s="16">
        <f>E1672*C1672</f>
        <v>674250</v>
      </c>
    </row>
    <row r="1674" spans="1:9" x14ac:dyDescent="0.25">
      <c r="B1674" s="17" t="s">
        <v>10</v>
      </c>
      <c r="C1674" s="31"/>
      <c r="D1674" s="18"/>
      <c r="E1674" s="239"/>
      <c r="F1674" s="239">
        <f>SUM(F1634:F1672)</f>
        <v>23735460</v>
      </c>
    </row>
    <row r="1675" spans="1:9" ht="15.75" thickBot="1" x14ac:dyDescent="0.3"/>
    <row r="1676" spans="1:9" ht="15.75" thickBot="1" x14ac:dyDescent="0.3">
      <c r="A1676" s="56" t="s">
        <v>0</v>
      </c>
      <c r="B1676" s="6" t="s">
        <v>1</v>
      </c>
      <c r="C1676" s="323" t="s">
        <v>2</v>
      </c>
      <c r="D1676" s="57" t="s">
        <v>3</v>
      </c>
      <c r="E1676" s="249" t="s">
        <v>4</v>
      </c>
      <c r="F1676" s="249" t="s">
        <v>5</v>
      </c>
    </row>
    <row r="1677" spans="1:9" ht="30" x14ac:dyDescent="0.25">
      <c r="A1677" s="13">
        <v>1</v>
      </c>
      <c r="B1677" s="14" t="s">
        <v>873</v>
      </c>
      <c r="C1677" s="316">
        <v>910</v>
      </c>
      <c r="D1677" s="15" t="s">
        <v>9</v>
      </c>
      <c r="E1677" s="16">
        <v>0</v>
      </c>
      <c r="F1677" s="16">
        <f t="shared" ref="F1677:F1687" si="51">E1677*C1677</f>
        <v>0</v>
      </c>
    </row>
    <row r="1678" spans="1:9" ht="30" x14ac:dyDescent="0.25">
      <c r="A1678" s="13">
        <v>2</v>
      </c>
      <c r="B1678" s="14" t="s">
        <v>874</v>
      </c>
      <c r="C1678" s="316">
        <v>440</v>
      </c>
      <c r="D1678" s="15" t="s">
        <v>9</v>
      </c>
      <c r="E1678" s="16">
        <v>0</v>
      </c>
      <c r="F1678" s="16">
        <f t="shared" si="51"/>
        <v>0</v>
      </c>
    </row>
    <row r="1679" spans="1:9" ht="30" x14ac:dyDescent="0.25">
      <c r="A1679" s="13">
        <v>3</v>
      </c>
      <c r="B1679" s="14" t="s">
        <v>877</v>
      </c>
      <c r="C1679" s="316">
        <v>296</v>
      </c>
      <c r="D1679" s="15" t="s">
        <v>9</v>
      </c>
      <c r="E1679" s="16">
        <v>0</v>
      </c>
      <c r="F1679" s="16">
        <f t="shared" si="51"/>
        <v>0</v>
      </c>
    </row>
    <row r="1680" spans="1:9" x14ac:dyDescent="0.25">
      <c r="A1680" s="13">
        <v>4</v>
      </c>
      <c r="B1680" s="14" t="s">
        <v>878</v>
      </c>
      <c r="C1680" s="316">
        <v>296</v>
      </c>
      <c r="D1680" s="15" t="s">
        <v>9</v>
      </c>
      <c r="E1680" s="16">
        <v>0</v>
      </c>
      <c r="F1680" s="16">
        <f t="shared" si="51"/>
        <v>0</v>
      </c>
    </row>
    <row r="1681" spans="1:9" ht="30" x14ac:dyDescent="0.25">
      <c r="A1681" s="13">
        <v>5</v>
      </c>
      <c r="B1681" s="14" t="s">
        <v>879</v>
      </c>
      <c r="C1681" s="316">
        <v>297</v>
      </c>
      <c r="D1681" s="15" t="s">
        <v>9</v>
      </c>
      <c r="E1681" s="16">
        <v>0</v>
      </c>
      <c r="F1681" s="16">
        <f t="shared" si="51"/>
        <v>0</v>
      </c>
      <c r="I1681" s="34" t="s">
        <v>875</v>
      </c>
    </row>
    <row r="1682" spans="1:9" ht="30" x14ac:dyDescent="0.25">
      <c r="A1682" s="13">
        <v>6</v>
      </c>
      <c r="B1682" s="14" t="s">
        <v>880</v>
      </c>
      <c r="C1682" s="316">
        <v>196</v>
      </c>
      <c r="D1682" s="15" t="s">
        <v>9</v>
      </c>
      <c r="E1682" s="16">
        <v>0</v>
      </c>
      <c r="F1682" s="16">
        <f t="shared" si="51"/>
        <v>0</v>
      </c>
    </row>
    <row r="1683" spans="1:9" ht="45" x14ac:dyDescent="0.25">
      <c r="A1683" s="13">
        <v>7</v>
      </c>
      <c r="B1683" s="14" t="s">
        <v>881</v>
      </c>
      <c r="C1683" s="316">
        <v>364</v>
      </c>
      <c r="D1683" s="15" t="s">
        <v>9</v>
      </c>
      <c r="E1683" s="16">
        <v>0</v>
      </c>
      <c r="F1683" s="16">
        <f t="shared" si="51"/>
        <v>0</v>
      </c>
    </row>
    <row r="1684" spans="1:9" ht="75" x14ac:dyDescent="0.25">
      <c r="A1684" s="13">
        <v>8</v>
      </c>
      <c r="B1684" s="14" t="s">
        <v>876</v>
      </c>
      <c r="C1684" s="316">
        <v>108</v>
      </c>
      <c r="D1684" s="15" t="s">
        <v>9</v>
      </c>
      <c r="E1684" s="16">
        <v>0</v>
      </c>
      <c r="F1684" s="16">
        <f t="shared" si="51"/>
        <v>0</v>
      </c>
    </row>
    <row r="1685" spans="1:9" x14ac:dyDescent="0.25">
      <c r="F1685" s="16">
        <f t="shared" si="51"/>
        <v>0</v>
      </c>
    </row>
    <row r="1686" spans="1:9" x14ac:dyDescent="0.25">
      <c r="F1686" s="16">
        <f t="shared" si="51"/>
        <v>0</v>
      </c>
    </row>
    <row r="1687" spans="1:9" ht="15.75" thickBot="1" x14ac:dyDescent="0.3">
      <c r="F1687" s="16">
        <f t="shared" si="51"/>
        <v>0</v>
      </c>
    </row>
    <row r="1688" spans="1:9" ht="15.75" thickBot="1" x14ac:dyDescent="0.3">
      <c r="A1688" s="56" t="s">
        <v>0</v>
      </c>
      <c r="B1688" s="6" t="s">
        <v>1</v>
      </c>
      <c r="C1688" s="323" t="s">
        <v>2</v>
      </c>
      <c r="D1688" s="57" t="s">
        <v>3</v>
      </c>
      <c r="E1688" s="249" t="s">
        <v>4</v>
      </c>
      <c r="F1688" s="249" t="s">
        <v>5</v>
      </c>
    </row>
    <row r="1689" spans="1:9" ht="42.75" x14ac:dyDescent="0.25">
      <c r="B1689" s="18" t="s">
        <v>925</v>
      </c>
    </row>
    <row r="1690" spans="1:9" ht="165" x14ac:dyDescent="0.25">
      <c r="A1690" s="13">
        <v>1</v>
      </c>
      <c r="B1690" s="14" t="s">
        <v>883</v>
      </c>
      <c r="C1690" s="316">
        <v>36</v>
      </c>
      <c r="D1690" s="15" t="s">
        <v>407</v>
      </c>
      <c r="E1690" s="16">
        <v>145000</v>
      </c>
      <c r="F1690" s="16">
        <f>E1690*C1690</f>
        <v>5220000</v>
      </c>
    </row>
    <row r="1691" spans="1:9" ht="45" x14ac:dyDescent="0.25">
      <c r="A1691" s="13">
        <v>2</v>
      </c>
      <c r="B1691" s="14" t="s">
        <v>882</v>
      </c>
      <c r="C1691" s="316">
        <v>8</v>
      </c>
      <c r="D1691" s="15" t="s">
        <v>407</v>
      </c>
      <c r="E1691" s="16">
        <v>65000</v>
      </c>
      <c r="F1691" s="16">
        <f>E1691*C1691</f>
        <v>520000</v>
      </c>
    </row>
    <row r="1692" spans="1:9" ht="90" x14ac:dyDescent="0.25">
      <c r="A1692" s="13">
        <v>3</v>
      </c>
      <c r="B1692" s="14" t="s">
        <v>885</v>
      </c>
      <c r="C1692" s="316">
        <v>26</v>
      </c>
      <c r="D1692" s="15" t="s">
        <v>407</v>
      </c>
      <c r="E1692" s="16">
        <v>95000</v>
      </c>
      <c r="F1692" s="16">
        <f>E1692*C1692</f>
        <v>2470000</v>
      </c>
    </row>
    <row r="1693" spans="1:9" ht="57" x14ac:dyDescent="0.25">
      <c r="B1693" s="18" t="s">
        <v>929</v>
      </c>
    </row>
    <row r="1694" spans="1:9" ht="120" x14ac:dyDescent="0.25">
      <c r="A1694" s="13">
        <v>4</v>
      </c>
      <c r="B1694" s="14" t="s">
        <v>924</v>
      </c>
      <c r="C1694" s="316">
        <v>34</v>
      </c>
      <c r="D1694" s="15" t="s">
        <v>407</v>
      </c>
      <c r="E1694" s="16">
        <v>112000</v>
      </c>
      <c r="F1694" s="16">
        <f>E1694*C1694</f>
        <v>3808000</v>
      </c>
    </row>
    <row r="1695" spans="1:9" ht="90" x14ac:dyDescent="0.25">
      <c r="A1695" s="13">
        <v>5</v>
      </c>
      <c r="B1695" s="14" t="s">
        <v>884</v>
      </c>
      <c r="C1695" s="316">
        <v>24</v>
      </c>
      <c r="D1695" s="15" t="s">
        <v>407</v>
      </c>
      <c r="E1695" s="16">
        <v>65000</v>
      </c>
      <c r="F1695" s="16">
        <f>E1695*C1695</f>
        <v>1560000</v>
      </c>
    </row>
    <row r="1696" spans="1:9" ht="60" x14ac:dyDescent="0.25">
      <c r="A1696" s="13">
        <v>6</v>
      </c>
      <c r="B1696" s="14" t="s">
        <v>926</v>
      </c>
      <c r="C1696" s="316">
        <v>1</v>
      </c>
      <c r="D1696" s="15" t="s">
        <v>407</v>
      </c>
      <c r="E1696" s="16">
        <v>215000</v>
      </c>
      <c r="F1696" s="16">
        <f t="shared" ref="F1696:F1714" si="52">E1696*C1696</f>
        <v>215000</v>
      </c>
    </row>
    <row r="1697" spans="1:9" ht="75" x14ac:dyDescent="0.25">
      <c r="A1697" s="13">
        <v>7</v>
      </c>
      <c r="B1697" s="14" t="s">
        <v>886</v>
      </c>
      <c r="C1697" s="316">
        <v>1</v>
      </c>
      <c r="D1697" s="15" t="s">
        <v>407</v>
      </c>
      <c r="E1697" s="16">
        <v>385000</v>
      </c>
      <c r="F1697" s="16">
        <f t="shared" si="52"/>
        <v>385000</v>
      </c>
      <c r="I1697" s="67">
        <f>SUM(F1677:F1701,F1702:F1714)</f>
        <v>20448000</v>
      </c>
    </row>
    <row r="1698" spans="1:9" x14ac:dyDescent="0.25">
      <c r="A1698" s="13">
        <v>8</v>
      </c>
      <c r="B1698" s="14" t="s">
        <v>887</v>
      </c>
      <c r="C1698" s="316">
        <v>1</v>
      </c>
      <c r="D1698" s="15" t="s">
        <v>407</v>
      </c>
      <c r="E1698" s="16">
        <v>45000</v>
      </c>
      <c r="F1698" s="16">
        <f t="shared" si="52"/>
        <v>45000</v>
      </c>
    </row>
    <row r="1699" spans="1:9" ht="60" x14ac:dyDescent="0.25">
      <c r="A1699" s="13">
        <v>9</v>
      </c>
      <c r="B1699" s="14" t="s">
        <v>895</v>
      </c>
      <c r="C1699" s="316">
        <v>1</v>
      </c>
      <c r="D1699" s="15" t="s">
        <v>407</v>
      </c>
      <c r="E1699" s="16">
        <v>260000</v>
      </c>
      <c r="F1699" s="16">
        <f t="shared" si="52"/>
        <v>260000</v>
      </c>
    </row>
    <row r="1700" spans="1:9" ht="75" x14ac:dyDescent="0.25">
      <c r="A1700" s="13">
        <v>10</v>
      </c>
      <c r="B1700" s="14" t="s">
        <v>888</v>
      </c>
      <c r="C1700" s="316">
        <v>1</v>
      </c>
      <c r="D1700" s="15" t="s">
        <v>407</v>
      </c>
      <c r="E1700" s="16">
        <v>385000</v>
      </c>
      <c r="F1700" s="16">
        <f t="shared" si="52"/>
        <v>385000</v>
      </c>
    </row>
    <row r="1701" spans="1:9" ht="45" x14ac:dyDescent="0.25">
      <c r="A1701" s="13">
        <v>11</v>
      </c>
      <c r="B1701" s="14" t="s">
        <v>889</v>
      </c>
      <c r="C1701" s="316">
        <v>1</v>
      </c>
      <c r="D1701" s="15" t="s">
        <v>407</v>
      </c>
      <c r="E1701" s="16">
        <v>310000</v>
      </c>
      <c r="F1701" s="16">
        <f t="shared" si="52"/>
        <v>310000</v>
      </c>
    </row>
    <row r="1702" spans="1:9" ht="45" x14ac:dyDescent="0.25">
      <c r="A1702" s="13">
        <v>12</v>
      </c>
      <c r="B1702" s="14" t="s">
        <v>890</v>
      </c>
      <c r="C1702" s="316">
        <v>1</v>
      </c>
      <c r="D1702" s="15" t="s">
        <v>407</v>
      </c>
      <c r="E1702" s="16">
        <v>365000</v>
      </c>
      <c r="F1702" s="16">
        <f t="shared" si="52"/>
        <v>365000</v>
      </c>
    </row>
    <row r="1703" spans="1:9" ht="90" x14ac:dyDescent="0.25">
      <c r="A1703" s="13">
        <v>13</v>
      </c>
      <c r="B1703" s="14" t="s">
        <v>891</v>
      </c>
      <c r="C1703" s="316">
        <v>1</v>
      </c>
      <c r="D1703" s="15" t="s">
        <v>407</v>
      </c>
      <c r="E1703" s="16">
        <v>385000</v>
      </c>
      <c r="F1703" s="16">
        <f t="shared" si="52"/>
        <v>385000</v>
      </c>
    </row>
    <row r="1704" spans="1:9" ht="60" x14ac:dyDescent="0.25">
      <c r="A1704" s="13">
        <v>14</v>
      </c>
      <c r="B1704" s="14" t="s">
        <v>892</v>
      </c>
      <c r="C1704" s="316">
        <v>5</v>
      </c>
      <c r="D1704" s="15" t="s">
        <v>407</v>
      </c>
      <c r="E1704" s="16">
        <v>95000</v>
      </c>
      <c r="F1704" s="16">
        <f t="shared" si="52"/>
        <v>475000</v>
      </c>
    </row>
    <row r="1705" spans="1:9" ht="90" x14ac:dyDescent="0.25">
      <c r="A1705" s="13">
        <v>15</v>
      </c>
      <c r="B1705" s="14" t="s">
        <v>893</v>
      </c>
      <c r="C1705" s="316">
        <v>1</v>
      </c>
      <c r="D1705" s="15" t="s">
        <v>407</v>
      </c>
      <c r="E1705" s="16">
        <v>385000</v>
      </c>
      <c r="F1705" s="16">
        <f t="shared" si="52"/>
        <v>385000</v>
      </c>
    </row>
    <row r="1706" spans="1:9" ht="60" x14ac:dyDescent="0.25">
      <c r="A1706" s="13">
        <v>16</v>
      </c>
      <c r="B1706" s="14" t="s">
        <v>894</v>
      </c>
      <c r="C1706" s="316">
        <v>1</v>
      </c>
      <c r="D1706" s="15" t="s">
        <v>407</v>
      </c>
      <c r="E1706" s="16">
        <v>260000</v>
      </c>
      <c r="F1706" s="16">
        <f t="shared" si="52"/>
        <v>260000</v>
      </c>
    </row>
    <row r="1707" spans="1:9" ht="75" x14ac:dyDescent="0.25">
      <c r="A1707" s="13">
        <v>17</v>
      </c>
      <c r="B1707" s="14" t="s">
        <v>896</v>
      </c>
      <c r="C1707" s="316">
        <v>1</v>
      </c>
      <c r="D1707" s="15" t="s">
        <v>407</v>
      </c>
      <c r="E1707" s="16">
        <v>385000</v>
      </c>
      <c r="F1707" s="16">
        <f t="shared" si="52"/>
        <v>385000</v>
      </c>
    </row>
    <row r="1708" spans="1:9" ht="75" x14ac:dyDescent="0.25">
      <c r="A1708" s="13">
        <v>18</v>
      </c>
      <c r="B1708" s="14" t="s">
        <v>897</v>
      </c>
      <c r="C1708" s="316">
        <v>6</v>
      </c>
      <c r="D1708" s="15" t="s">
        <v>407</v>
      </c>
      <c r="E1708" s="16">
        <v>145000</v>
      </c>
      <c r="F1708" s="16">
        <f t="shared" si="52"/>
        <v>870000</v>
      </c>
    </row>
    <row r="1709" spans="1:9" ht="90" x14ac:dyDescent="0.25">
      <c r="A1709" s="13">
        <v>19</v>
      </c>
      <c r="B1709" s="14" t="s">
        <v>898</v>
      </c>
      <c r="C1709" s="316">
        <v>1</v>
      </c>
      <c r="D1709" s="15" t="s">
        <v>407</v>
      </c>
      <c r="E1709" s="16">
        <v>385000</v>
      </c>
      <c r="F1709" s="16">
        <f t="shared" si="52"/>
        <v>385000</v>
      </c>
    </row>
    <row r="1710" spans="1:9" ht="90" x14ac:dyDescent="0.25">
      <c r="A1710" s="13">
        <v>20</v>
      </c>
      <c r="B1710" s="14" t="s">
        <v>899</v>
      </c>
      <c r="C1710" s="316">
        <v>1</v>
      </c>
      <c r="D1710" s="15" t="s">
        <v>407</v>
      </c>
      <c r="E1710" s="16">
        <v>385000</v>
      </c>
      <c r="F1710" s="16">
        <f t="shared" si="52"/>
        <v>385000</v>
      </c>
    </row>
    <row r="1711" spans="1:9" ht="60" x14ac:dyDescent="0.25">
      <c r="A1711" s="13">
        <v>21</v>
      </c>
      <c r="B1711" s="14" t="s">
        <v>900</v>
      </c>
      <c r="C1711" s="316">
        <v>1</v>
      </c>
      <c r="D1711" s="15" t="s">
        <v>407</v>
      </c>
      <c r="E1711" s="16">
        <v>260000</v>
      </c>
      <c r="F1711" s="16">
        <f t="shared" si="52"/>
        <v>260000</v>
      </c>
    </row>
    <row r="1712" spans="1:9" ht="60" x14ac:dyDescent="0.25">
      <c r="A1712" s="13">
        <v>22</v>
      </c>
      <c r="B1712" s="14" t="s">
        <v>901</v>
      </c>
      <c r="C1712" s="316">
        <v>1</v>
      </c>
      <c r="D1712" s="15" t="s">
        <v>407</v>
      </c>
      <c r="E1712" s="16">
        <v>385000</v>
      </c>
      <c r="F1712" s="16">
        <f t="shared" si="52"/>
        <v>385000</v>
      </c>
      <c r="I1712" s="34" t="s">
        <v>928</v>
      </c>
    </row>
    <row r="1713" spans="1:9" ht="45" x14ac:dyDescent="0.25">
      <c r="A1713" s="13">
        <v>23</v>
      </c>
      <c r="B1713" s="14" t="s">
        <v>902</v>
      </c>
      <c r="C1713" s="316">
        <v>1</v>
      </c>
      <c r="D1713" s="15" t="s">
        <v>407</v>
      </c>
      <c r="E1713" s="16">
        <v>485000</v>
      </c>
      <c r="F1713" s="16">
        <f t="shared" si="52"/>
        <v>485000</v>
      </c>
      <c r="I1713" s="34" t="s">
        <v>927</v>
      </c>
    </row>
    <row r="1714" spans="1:9" ht="45" x14ac:dyDescent="0.25">
      <c r="A1714" s="13">
        <v>24</v>
      </c>
      <c r="B1714" s="14" t="s">
        <v>903</v>
      </c>
      <c r="C1714" s="316">
        <v>1</v>
      </c>
      <c r="D1714" s="15" t="s">
        <v>407</v>
      </c>
      <c r="E1714" s="16">
        <v>245000</v>
      </c>
      <c r="F1714" s="16">
        <f t="shared" si="52"/>
        <v>245000</v>
      </c>
    </row>
    <row r="1716" spans="1:9" ht="15.75" x14ac:dyDescent="0.25">
      <c r="B1716" s="35" t="s">
        <v>10</v>
      </c>
      <c r="C1716" s="317"/>
      <c r="D1716" s="36"/>
      <c r="E1716" s="240"/>
      <c r="F1716" s="240">
        <f>SUM(F1689:F1714)</f>
        <v>20448000</v>
      </c>
    </row>
    <row r="1718" spans="1:9" x14ac:dyDescent="0.25">
      <c r="F1718" s="16">
        <f>E1718*C1718</f>
        <v>0</v>
      </c>
    </row>
    <row r="1719" spans="1:9" x14ac:dyDescent="0.25">
      <c r="F1719" s="16">
        <f>E1719*C1719</f>
        <v>0</v>
      </c>
    </row>
    <row r="1720" spans="1:9" ht="15.75" thickBot="1" x14ac:dyDescent="0.3">
      <c r="F1720" s="16">
        <f>E1720*C1720</f>
        <v>0</v>
      </c>
    </row>
    <row r="1721" spans="1:9" ht="15.75" thickBot="1" x14ac:dyDescent="0.3">
      <c r="A1721" s="56" t="s">
        <v>0</v>
      </c>
      <c r="B1721" s="6" t="s">
        <v>1</v>
      </c>
      <c r="C1721" s="323" t="s">
        <v>2</v>
      </c>
      <c r="D1721" s="57" t="s">
        <v>3</v>
      </c>
      <c r="E1721" s="249" t="s">
        <v>4</v>
      </c>
      <c r="F1721" s="249" t="s">
        <v>5</v>
      </c>
    </row>
    <row r="1722" spans="1:9" ht="75" x14ac:dyDescent="0.25">
      <c r="A1722" s="13">
        <v>1</v>
      </c>
      <c r="B1722" s="14" t="s">
        <v>904</v>
      </c>
      <c r="C1722" s="316">
        <v>38</v>
      </c>
      <c r="D1722" s="15" t="s">
        <v>33</v>
      </c>
      <c r="E1722" s="16">
        <v>4700</v>
      </c>
      <c r="F1722" s="16">
        <f>E1722*C1722</f>
        <v>178600</v>
      </c>
    </row>
    <row r="1723" spans="1:9" ht="45" x14ac:dyDescent="0.25">
      <c r="A1723" s="13">
        <v>2</v>
      </c>
      <c r="B1723" s="14" t="s">
        <v>907</v>
      </c>
      <c r="C1723" s="316">
        <v>871</v>
      </c>
      <c r="D1723" s="15" t="s">
        <v>31</v>
      </c>
      <c r="E1723" s="16">
        <v>65</v>
      </c>
      <c r="F1723" s="16">
        <f>E1723*C1723</f>
        <v>56615</v>
      </c>
    </row>
    <row r="1724" spans="1:9" ht="75" x14ac:dyDescent="0.25">
      <c r="A1724" s="13">
        <v>3</v>
      </c>
      <c r="B1724" s="14" t="s">
        <v>905</v>
      </c>
      <c r="C1724" s="316">
        <v>4283</v>
      </c>
      <c r="D1724" s="15" t="s">
        <v>31</v>
      </c>
      <c r="E1724" s="16">
        <v>85</v>
      </c>
      <c r="F1724" s="16">
        <f>E1724*C1724</f>
        <v>364055</v>
      </c>
    </row>
    <row r="1725" spans="1:9" ht="105" x14ac:dyDescent="0.25">
      <c r="A1725" s="13">
        <v>4</v>
      </c>
      <c r="B1725" s="14" t="s">
        <v>906</v>
      </c>
    </row>
    <row r="1726" spans="1:9" ht="45" x14ac:dyDescent="0.25">
      <c r="A1726" s="13" t="s">
        <v>908</v>
      </c>
      <c r="B1726" s="14" t="s">
        <v>915</v>
      </c>
      <c r="C1726" s="316">
        <v>1</v>
      </c>
      <c r="D1726" s="15" t="s">
        <v>407</v>
      </c>
      <c r="E1726" s="16">
        <v>12000</v>
      </c>
      <c r="F1726" s="16">
        <f>E1726*C1726</f>
        <v>12000</v>
      </c>
    </row>
    <row r="1727" spans="1:9" ht="45" x14ac:dyDescent="0.25">
      <c r="A1727" s="13" t="s">
        <v>909</v>
      </c>
      <c r="B1727" s="14" t="s">
        <v>916</v>
      </c>
      <c r="C1727" s="316">
        <v>1</v>
      </c>
      <c r="D1727" s="15" t="s">
        <v>407</v>
      </c>
      <c r="E1727" s="16">
        <v>26500</v>
      </c>
      <c r="F1727" s="16">
        <f t="shared" ref="F1727:F1763" si="53">E1727*C1727</f>
        <v>26500</v>
      </c>
    </row>
    <row r="1728" spans="1:9" ht="60" x14ac:dyDescent="0.25">
      <c r="A1728" s="13" t="s">
        <v>910</v>
      </c>
      <c r="B1728" s="14" t="s">
        <v>923</v>
      </c>
      <c r="C1728" s="316">
        <v>1</v>
      </c>
      <c r="D1728" s="15" t="s">
        <v>407</v>
      </c>
      <c r="E1728" s="16">
        <v>102720</v>
      </c>
      <c r="F1728" s="16">
        <f t="shared" si="53"/>
        <v>102720</v>
      </c>
    </row>
    <row r="1729" spans="1:6" ht="30" x14ac:dyDescent="0.25">
      <c r="A1729" s="13" t="s">
        <v>911</v>
      </c>
      <c r="B1729" s="14" t="s">
        <v>917</v>
      </c>
      <c r="C1729" s="316">
        <v>8</v>
      </c>
      <c r="D1729" s="15" t="s">
        <v>9</v>
      </c>
      <c r="E1729" s="16">
        <v>620</v>
      </c>
      <c r="F1729" s="16">
        <f t="shared" si="53"/>
        <v>4960</v>
      </c>
    </row>
    <row r="1730" spans="1:6" ht="90" x14ac:dyDescent="0.25">
      <c r="A1730" s="13" t="s">
        <v>912</v>
      </c>
      <c r="B1730" s="14" t="s">
        <v>918</v>
      </c>
      <c r="C1730" s="316">
        <v>1</v>
      </c>
      <c r="D1730" s="15" t="s">
        <v>407</v>
      </c>
      <c r="E1730" s="16">
        <v>94650</v>
      </c>
      <c r="F1730" s="16">
        <f t="shared" si="53"/>
        <v>94650</v>
      </c>
    </row>
    <row r="1731" spans="1:6" ht="45" x14ac:dyDescent="0.25">
      <c r="A1731" s="13" t="s">
        <v>913</v>
      </c>
      <c r="B1731" s="14" t="s">
        <v>919</v>
      </c>
      <c r="C1731" s="316">
        <v>1</v>
      </c>
      <c r="D1731" s="15" t="s">
        <v>407</v>
      </c>
      <c r="E1731" s="16">
        <v>32800</v>
      </c>
      <c r="F1731" s="16">
        <f t="shared" si="53"/>
        <v>32800</v>
      </c>
    </row>
    <row r="1732" spans="1:6" ht="75" x14ac:dyDescent="0.25">
      <c r="A1732" s="13" t="s">
        <v>914</v>
      </c>
      <c r="B1732" s="14" t="s">
        <v>920</v>
      </c>
      <c r="C1732" s="316">
        <v>1</v>
      </c>
      <c r="D1732" s="15" t="s">
        <v>407</v>
      </c>
      <c r="E1732" s="16">
        <v>26000</v>
      </c>
      <c r="F1732" s="16">
        <f t="shared" si="53"/>
        <v>26000</v>
      </c>
    </row>
    <row r="1733" spans="1:6" x14ac:dyDescent="0.25">
      <c r="A1733" s="13" t="s">
        <v>921</v>
      </c>
      <c r="B1733" s="14" t="s">
        <v>922</v>
      </c>
      <c r="C1733" s="316">
        <v>1</v>
      </c>
      <c r="D1733" s="15" t="s">
        <v>407</v>
      </c>
      <c r="E1733" s="16">
        <v>8200</v>
      </c>
      <c r="F1733" s="16">
        <f t="shared" si="53"/>
        <v>8200</v>
      </c>
    </row>
    <row r="1735" spans="1:6" x14ac:dyDescent="0.25">
      <c r="B1735" s="17" t="s">
        <v>224</v>
      </c>
      <c r="F1735" s="239">
        <f>SUM(F1722:F1733)</f>
        <v>907100</v>
      </c>
    </row>
    <row r="1736" spans="1:6" ht="15.75" thickBot="1" x14ac:dyDescent="0.3"/>
    <row r="1737" spans="1:6" ht="15.75" thickBot="1" x14ac:dyDescent="0.3">
      <c r="A1737" s="56" t="s">
        <v>0</v>
      </c>
      <c r="B1737" s="6" t="s">
        <v>1</v>
      </c>
      <c r="C1737" s="323" t="s">
        <v>2</v>
      </c>
      <c r="D1737" s="57" t="s">
        <v>3</v>
      </c>
      <c r="E1737" s="249" t="s">
        <v>4</v>
      </c>
      <c r="F1737" s="249" t="s">
        <v>5</v>
      </c>
    </row>
    <row r="1738" spans="1:6" ht="75" x14ac:dyDescent="0.25">
      <c r="A1738" s="13">
        <v>1</v>
      </c>
      <c r="B1738" s="14" t="s">
        <v>930</v>
      </c>
      <c r="C1738" s="316">
        <v>120</v>
      </c>
      <c r="D1738" s="15" t="s">
        <v>9</v>
      </c>
      <c r="E1738" s="16">
        <v>420</v>
      </c>
      <c r="F1738" s="16">
        <f t="shared" si="53"/>
        <v>50400</v>
      </c>
    </row>
    <row r="1739" spans="1:6" ht="75" x14ac:dyDescent="0.25">
      <c r="A1739" s="13">
        <v>2</v>
      </c>
      <c r="B1739" s="14" t="s">
        <v>931</v>
      </c>
      <c r="C1739" s="316">
        <v>380</v>
      </c>
      <c r="D1739" s="15" t="s">
        <v>9</v>
      </c>
      <c r="E1739" s="16">
        <v>390</v>
      </c>
      <c r="F1739" s="16">
        <f t="shared" si="53"/>
        <v>148200</v>
      </c>
    </row>
    <row r="1740" spans="1:6" ht="30" x14ac:dyDescent="0.25">
      <c r="A1740" s="13">
        <v>3</v>
      </c>
      <c r="B1740" s="14" t="s">
        <v>932</v>
      </c>
      <c r="C1740" s="316">
        <v>160</v>
      </c>
      <c r="D1740" s="15" t="s">
        <v>9</v>
      </c>
      <c r="E1740" s="16">
        <v>220</v>
      </c>
      <c r="F1740" s="16">
        <f t="shared" si="53"/>
        <v>35200</v>
      </c>
    </row>
    <row r="1742" spans="1:6" x14ac:dyDescent="0.25">
      <c r="B1742" s="17" t="s">
        <v>10</v>
      </c>
      <c r="C1742" s="31"/>
      <c r="D1742" s="18"/>
      <c r="E1742" s="239"/>
      <c r="F1742" s="239">
        <f>+SUM(F1738:F1740)</f>
        <v>233800</v>
      </c>
    </row>
    <row r="1744" spans="1:6" x14ac:dyDescent="0.25">
      <c r="A1744" s="30" t="s">
        <v>0</v>
      </c>
      <c r="B1744" s="18" t="s">
        <v>1</v>
      </c>
      <c r="C1744" s="31" t="s">
        <v>2</v>
      </c>
      <c r="D1744" s="31" t="s">
        <v>3</v>
      </c>
      <c r="E1744" s="239" t="s">
        <v>4</v>
      </c>
      <c r="F1744" s="239" t="s">
        <v>5</v>
      </c>
    </row>
    <row r="1745" spans="1:6" ht="30" x14ac:dyDescent="0.25">
      <c r="A1745" s="13">
        <v>1</v>
      </c>
      <c r="B1745" s="14" t="s">
        <v>129</v>
      </c>
      <c r="C1745" s="316">
        <v>405</v>
      </c>
      <c r="D1745" s="15" t="s">
        <v>9</v>
      </c>
      <c r="E1745" s="16">
        <v>530</v>
      </c>
      <c r="F1745" s="16">
        <f>(C1745*E1745)</f>
        <v>214650</v>
      </c>
    </row>
    <row r="1746" spans="1:6" ht="30" x14ac:dyDescent="0.25">
      <c r="A1746" s="13">
        <v>2</v>
      </c>
      <c r="B1746" s="14" t="s">
        <v>110</v>
      </c>
      <c r="C1746" s="316">
        <v>26</v>
      </c>
      <c r="D1746" s="15" t="s">
        <v>33</v>
      </c>
      <c r="E1746" s="16">
        <v>950</v>
      </c>
      <c r="F1746" s="16">
        <f>(C1746*E1746)</f>
        <v>24700</v>
      </c>
    </row>
    <row r="1747" spans="1:6" ht="45" x14ac:dyDescent="0.25">
      <c r="A1747" s="13">
        <v>3</v>
      </c>
      <c r="B1747" s="14" t="s">
        <v>933</v>
      </c>
      <c r="C1747" s="316">
        <v>510</v>
      </c>
      <c r="D1747" s="15" t="s">
        <v>9</v>
      </c>
      <c r="E1747" s="16">
        <v>240</v>
      </c>
      <c r="F1747" s="16">
        <f>(C1747*E1747)</f>
        <v>122400</v>
      </c>
    </row>
    <row r="1748" spans="1:6" ht="45" x14ac:dyDescent="0.25">
      <c r="A1748" s="13">
        <v>4</v>
      </c>
      <c r="B1748" s="14" t="s">
        <v>934</v>
      </c>
      <c r="C1748" s="316">
        <v>1</v>
      </c>
      <c r="D1748" s="15" t="s">
        <v>11</v>
      </c>
      <c r="E1748" s="16">
        <v>189000</v>
      </c>
      <c r="F1748" s="16">
        <f>(C1748*E1748)</f>
        <v>189000</v>
      </c>
    </row>
    <row r="1750" spans="1:6" x14ac:dyDescent="0.25">
      <c r="B1750" s="17" t="s">
        <v>10</v>
      </c>
      <c r="C1750" s="31"/>
      <c r="D1750" s="18"/>
      <c r="E1750" s="239"/>
      <c r="F1750" s="239">
        <f>SUM(F1745:F1748)</f>
        <v>550750</v>
      </c>
    </row>
    <row r="1752" spans="1:6" x14ac:dyDescent="0.25">
      <c r="A1752" s="30" t="s">
        <v>0</v>
      </c>
      <c r="B1752" s="18" t="s">
        <v>1</v>
      </c>
      <c r="C1752" s="31" t="s">
        <v>2</v>
      </c>
      <c r="D1752" s="31" t="s">
        <v>3</v>
      </c>
      <c r="E1752" s="239" t="s">
        <v>4</v>
      </c>
      <c r="F1752" s="239" t="s">
        <v>5</v>
      </c>
    </row>
    <row r="1753" spans="1:6" ht="30" x14ac:dyDescent="0.25">
      <c r="A1753" s="13">
        <v>1</v>
      </c>
      <c r="B1753" s="14" t="s">
        <v>935</v>
      </c>
      <c r="C1753" s="316">
        <v>1</v>
      </c>
      <c r="D1753" s="15" t="s">
        <v>11</v>
      </c>
      <c r="E1753" s="16">
        <v>48000</v>
      </c>
      <c r="F1753" s="16">
        <f t="shared" si="53"/>
        <v>48000</v>
      </c>
    </row>
    <row r="1754" spans="1:6" ht="30" x14ac:dyDescent="0.25">
      <c r="A1754" s="13">
        <v>2</v>
      </c>
      <c r="B1754" s="14" t="s">
        <v>936</v>
      </c>
      <c r="C1754" s="316">
        <v>1.5</v>
      </c>
      <c r="D1754" s="15" t="s">
        <v>30</v>
      </c>
      <c r="E1754" s="16">
        <v>8500</v>
      </c>
      <c r="F1754" s="16">
        <f t="shared" si="53"/>
        <v>12750</v>
      </c>
    </row>
    <row r="1755" spans="1:6" ht="45" x14ac:dyDescent="0.25">
      <c r="A1755" s="13">
        <v>3</v>
      </c>
      <c r="B1755" s="14" t="s">
        <v>937</v>
      </c>
      <c r="C1755" s="316">
        <v>2</v>
      </c>
      <c r="D1755" s="15" t="s">
        <v>11</v>
      </c>
      <c r="E1755" s="16">
        <v>18000</v>
      </c>
      <c r="F1755" s="16">
        <f t="shared" si="53"/>
        <v>36000</v>
      </c>
    </row>
    <row r="1756" spans="1:6" ht="60" x14ac:dyDescent="0.25">
      <c r="A1756" s="13">
        <v>4</v>
      </c>
      <c r="B1756" s="14" t="s">
        <v>686</v>
      </c>
      <c r="C1756" s="316">
        <v>26</v>
      </c>
      <c r="D1756" s="15" t="s">
        <v>33</v>
      </c>
      <c r="E1756" s="16">
        <v>1750</v>
      </c>
      <c r="F1756" s="16">
        <f t="shared" si="53"/>
        <v>45500</v>
      </c>
    </row>
    <row r="1757" spans="1:6" ht="60" x14ac:dyDescent="0.25">
      <c r="A1757" s="13">
        <v>5</v>
      </c>
      <c r="B1757" s="14" t="s">
        <v>938</v>
      </c>
      <c r="C1757" s="316">
        <v>26</v>
      </c>
      <c r="D1757" s="15" t="s">
        <v>33</v>
      </c>
      <c r="E1757" s="16">
        <v>1750</v>
      </c>
      <c r="F1757" s="16">
        <f t="shared" si="53"/>
        <v>45500</v>
      </c>
    </row>
    <row r="1758" spans="1:6" ht="45" x14ac:dyDescent="0.25">
      <c r="A1758" s="13">
        <v>6</v>
      </c>
      <c r="B1758" s="14" t="s">
        <v>939</v>
      </c>
      <c r="C1758" s="316">
        <v>240</v>
      </c>
      <c r="D1758" s="15" t="s">
        <v>9</v>
      </c>
      <c r="E1758" s="16">
        <v>430</v>
      </c>
      <c r="F1758" s="16">
        <f t="shared" si="53"/>
        <v>103200</v>
      </c>
    </row>
    <row r="1759" spans="1:6" ht="60" x14ac:dyDescent="0.25">
      <c r="A1759" s="13">
        <v>7</v>
      </c>
      <c r="B1759" s="14" t="s">
        <v>940</v>
      </c>
      <c r="C1759" s="316">
        <v>140</v>
      </c>
      <c r="D1759" s="15" t="s">
        <v>9</v>
      </c>
      <c r="E1759" s="16">
        <v>480</v>
      </c>
      <c r="F1759" s="16">
        <f t="shared" si="53"/>
        <v>67200</v>
      </c>
    </row>
    <row r="1760" spans="1:6" ht="45" x14ac:dyDescent="0.25">
      <c r="A1760" s="13">
        <v>8</v>
      </c>
      <c r="B1760" s="14" t="s">
        <v>933</v>
      </c>
      <c r="C1760" s="316">
        <v>460</v>
      </c>
      <c r="D1760" s="15" t="s">
        <v>9</v>
      </c>
      <c r="E1760" s="16">
        <v>145</v>
      </c>
      <c r="F1760" s="16">
        <f t="shared" si="53"/>
        <v>66700</v>
      </c>
    </row>
    <row r="1761" spans="1:9" ht="45" x14ac:dyDescent="0.25">
      <c r="A1761" s="13">
        <v>9</v>
      </c>
      <c r="B1761" s="14" t="s">
        <v>941</v>
      </c>
      <c r="C1761" s="316">
        <v>140</v>
      </c>
      <c r="D1761" s="15" t="s">
        <v>9</v>
      </c>
      <c r="E1761" s="16">
        <v>135</v>
      </c>
      <c r="F1761" s="16">
        <f t="shared" si="53"/>
        <v>18900</v>
      </c>
    </row>
    <row r="1762" spans="1:9" ht="60" x14ac:dyDescent="0.25">
      <c r="A1762" s="13">
        <v>10</v>
      </c>
      <c r="B1762" s="14" t="s">
        <v>942</v>
      </c>
      <c r="C1762" s="316">
        <v>1</v>
      </c>
      <c r="D1762" s="15" t="s">
        <v>11</v>
      </c>
      <c r="E1762" s="16">
        <v>165000</v>
      </c>
      <c r="F1762" s="16">
        <f t="shared" si="53"/>
        <v>165000</v>
      </c>
    </row>
    <row r="1763" spans="1:9" ht="60" x14ac:dyDescent="0.25">
      <c r="A1763" s="13">
        <v>11</v>
      </c>
      <c r="B1763" s="14" t="s">
        <v>943</v>
      </c>
      <c r="C1763" s="316">
        <v>1</v>
      </c>
      <c r="D1763" s="15" t="s">
        <v>11</v>
      </c>
      <c r="E1763" s="16">
        <v>38000</v>
      </c>
      <c r="F1763" s="16">
        <f t="shared" si="53"/>
        <v>38000</v>
      </c>
    </row>
    <row r="1764" spans="1:9" x14ac:dyDescent="0.25">
      <c r="B1764" s="17"/>
      <c r="C1764" s="31"/>
      <c r="D1764" s="18"/>
      <c r="E1764" s="239"/>
      <c r="F1764" s="239"/>
    </row>
    <row r="1765" spans="1:9" x14ac:dyDescent="0.25">
      <c r="B1765" s="17" t="s">
        <v>224</v>
      </c>
      <c r="C1765" s="31"/>
      <c r="D1765" s="18"/>
      <c r="E1765" s="239"/>
      <c r="F1765" s="239">
        <f>SUM(F1753:F1763)</f>
        <v>646750</v>
      </c>
    </row>
    <row r="1766" spans="1:9" x14ac:dyDescent="0.25">
      <c r="I1766" s="34" t="s">
        <v>944</v>
      </c>
    </row>
    <row r="1767" spans="1:9" x14ac:dyDescent="0.25">
      <c r="A1767" s="30" t="s">
        <v>0</v>
      </c>
      <c r="B1767" s="18" t="s">
        <v>1</v>
      </c>
      <c r="C1767" s="31" t="s">
        <v>2</v>
      </c>
      <c r="D1767" s="31" t="s">
        <v>3</v>
      </c>
      <c r="E1767" s="239" t="s">
        <v>4</v>
      </c>
      <c r="F1767" s="239" t="s">
        <v>5</v>
      </c>
    </row>
    <row r="1768" spans="1:9" x14ac:dyDescent="0.25">
      <c r="A1768" s="13">
        <v>1</v>
      </c>
    </row>
    <row r="1769" spans="1:9" x14ac:dyDescent="0.25">
      <c r="A1769" s="13">
        <v>2</v>
      </c>
    </row>
    <row r="1770" spans="1:9" x14ac:dyDescent="0.25">
      <c r="A1770" s="13">
        <v>3</v>
      </c>
    </row>
    <row r="1771" spans="1:9" x14ac:dyDescent="0.25">
      <c r="A1771" s="13">
        <v>4</v>
      </c>
    </row>
    <row r="1772" spans="1:9" x14ac:dyDescent="0.25">
      <c r="A1772" s="13">
        <v>5</v>
      </c>
    </row>
    <row r="1773" spans="1:9" x14ac:dyDescent="0.25">
      <c r="A1773" s="13">
        <v>6</v>
      </c>
    </row>
    <row r="1774" spans="1:9" x14ac:dyDescent="0.25">
      <c r="A1774" s="13">
        <v>7</v>
      </c>
      <c r="I1774" s="34" t="s">
        <v>949</v>
      </c>
    </row>
    <row r="1775" spans="1:9" x14ac:dyDescent="0.25">
      <c r="A1775" s="13">
        <v>7</v>
      </c>
    </row>
    <row r="1776" spans="1:9" x14ac:dyDescent="0.25">
      <c r="A1776" s="13">
        <v>8</v>
      </c>
    </row>
    <row r="1777" spans="1:6" x14ac:dyDescent="0.25">
      <c r="A1777" s="13">
        <v>9</v>
      </c>
    </row>
    <row r="1778" spans="1:6" x14ac:dyDescent="0.25">
      <c r="A1778" s="13">
        <v>10</v>
      </c>
    </row>
    <row r="1780" spans="1:6" x14ac:dyDescent="0.25">
      <c r="B1780" s="17" t="s">
        <v>10</v>
      </c>
      <c r="C1780" s="31"/>
      <c r="D1780" s="18"/>
      <c r="E1780" s="239"/>
      <c r="F1780" s="239">
        <f ca="1">SUM(F1768:F1788)</f>
        <v>17900000</v>
      </c>
    </row>
    <row r="1781" spans="1:6" x14ac:dyDescent="0.25">
      <c r="A1781" s="30" t="s">
        <v>0</v>
      </c>
      <c r="B1781" s="18" t="s">
        <v>1</v>
      </c>
      <c r="C1781" s="31" t="s">
        <v>2</v>
      </c>
      <c r="D1781" s="31" t="s">
        <v>3</v>
      </c>
      <c r="E1781" s="239" t="s">
        <v>4</v>
      </c>
      <c r="F1781" s="239" t="s">
        <v>5</v>
      </c>
    </row>
    <row r="1782" spans="1:6" ht="45" x14ac:dyDescent="0.25">
      <c r="A1782" s="13">
        <v>1</v>
      </c>
      <c r="B1782" s="14" t="s">
        <v>957</v>
      </c>
      <c r="C1782" s="316">
        <v>1</v>
      </c>
      <c r="D1782" s="15" t="s">
        <v>945</v>
      </c>
      <c r="E1782" s="16">
        <v>125000</v>
      </c>
      <c r="F1782" s="16">
        <f t="shared" ref="F1782:F1792" si="54">E1782*C1782</f>
        <v>125000</v>
      </c>
    </row>
    <row r="1783" spans="1:6" ht="45" x14ac:dyDescent="0.25">
      <c r="A1783" s="13">
        <v>2</v>
      </c>
      <c r="B1783" s="14" t="s">
        <v>947</v>
      </c>
      <c r="C1783" s="316">
        <v>2</v>
      </c>
      <c r="D1783" s="15" t="s">
        <v>11</v>
      </c>
      <c r="E1783" s="16">
        <v>125000</v>
      </c>
      <c r="F1783" s="16">
        <f t="shared" si="54"/>
        <v>250000</v>
      </c>
    </row>
    <row r="1784" spans="1:6" ht="75" x14ac:dyDescent="0.25">
      <c r="A1784" s="13">
        <v>3</v>
      </c>
      <c r="B1784" s="14" t="s">
        <v>953</v>
      </c>
      <c r="C1784" s="316">
        <v>4400</v>
      </c>
      <c r="D1784" s="15" t="s">
        <v>9</v>
      </c>
      <c r="E1784" s="16">
        <v>580</v>
      </c>
      <c r="F1784" s="16">
        <f t="shared" si="54"/>
        <v>2552000</v>
      </c>
    </row>
    <row r="1785" spans="1:6" ht="60" x14ac:dyDescent="0.25">
      <c r="A1785" s="13">
        <v>4</v>
      </c>
      <c r="B1785" s="14" t="s">
        <v>946</v>
      </c>
      <c r="C1785" s="316">
        <v>2400</v>
      </c>
      <c r="D1785" s="15" t="s">
        <v>9</v>
      </c>
      <c r="E1785" s="16">
        <v>1150</v>
      </c>
      <c r="F1785" s="16">
        <f t="shared" si="54"/>
        <v>2760000</v>
      </c>
    </row>
    <row r="1786" spans="1:6" ht="45" x14ac:dyDescent="0.25">
      <c r="A1786" s="13">
        <v>5</v>
      </c>
      <c r="B1786" s="14" t="s">
        <v>955</v>
      </c>
      <c r="C1786" s="316">
        <v>850</v>
      </c>
      <c r="D1786" s="15" t="s">
        <v>9</v>
      </c>
      <c r="E1786" s="16">
        <v>1100</v>
      </c>
      <c r="F1786" s="16">
        <f t="shared" si="54"/>
        <v>935000</v>
      </c>
    </row>
    <row r="1787" spans="1:6" ht="75" x14ac:dyDescent="0.25">
      <c r="A1787" s="13">
        <v>6</v>
      </c>
      <c r="B1787" s="14" t="s">
        <v>715</v>
      </c>
      <c r="C1787" s="316">
        <v>1</v>
      </c>
      <c r="D1787" s="15" t="s">
        <v>948</v>
      </c>
      <c r="E1787" s="16">
        <v>350000</v>
      </c>
      <c r="F1787" s="16">
        <f t="shared" si="54"/>
        <v>350000</v>
      </c>
    </row>
    <row r="1788" spans="1:6" ht="105" x14ac:dyDescent="0.25">
      <c r="A1788" s="13">
        <v>7</v>
      </c>
      <c r="B1788" s="14" t="s">
        <v>951</v>
      </c>
      <c r="C1788" s="316">
        <v>2</v>
      </c>
      <c r="D1788" s="15" t="s">
        <v>954</v>
      </c>
      <c r="E1788" s="16">
        <v>2350000</v>
      </c>
      <c r="F1788" s="16">
        <f t="shared" si="54"/>
        <v>4700000</v>
      </c>
    </row>
    <row r="1789" spans="1:6" ht="60" x14ac:dyDescent="0.25">
      <c r="A1789" s="13">
        <v>8</v>
      </c>
      <c r="B1789" s="24" t="s">
        <v>363</v>
      </c>
      <c r="C1789" s="316">
        <v>7</v>
      </c>
      <c r="D1789" s="15" t="s">
        <v>180</v>
      </c>
      <c r="E1789" s="16">
        <v>670000</v>
      </c>
      <c r="F1789" s="16">
        <f t="shared" si="54"/>
        <v>4690000</v>
      </c>
    </row>
    <row r="1790" spans="1:6" ht="75" x14ac:dyDescent="0.25">
      <c r="A1790" s="13">
        <v>9</v>
      </c>
      <c r="B1790" s="14" t="s">
        <v>956</v>
      </c>
      <c r="C1790" s="316">
        <v>1</v>
      </c>
      <c r="D1790" s="15" t="s">
        <v>641</v>
      </c>
      <c r="E1790" s="16">
        <v>1110000</v>
      </c>
      <c r="F1790" s="16">
        <f t="shared" si="54"/>
        <v>1110000</v>
      </c>
    </row>
    <row r="1791" spans="1:6" ht="60" x14ac:dyDescent="0.25">
      <c r="A1791" s="13">
        <v>10</v>
      </c>
      <c r="B1791" s="14" t="s">
        <v>950</v>
      </c>
      <c r="C1791" s="316">
        <v>8</v>
      </c>
      <c r="D1791" s="15" t="s">
        <v>180</v>
      </c>
      <c r="E1791" s="16">
        <v>325000</v>
      </c>
      <c r="F1791" s="16">
        <f t="shared" si="54"/>
        <v>2600000</v>
      </c>
    </row>
    <row r="1792" spans="1:6" ht="90" x14ac:dyDescent="0.25">
      <c r="A1792" s="13">
        <v>11</v>
      </c>
      <c r="B1792" s="29" t="s">
        <v>952</v>
      </c>
      <c r="C1792" s="316">
        <v>1</v>
      </c>
      <c r="D1792" s="15" t="s">
        <v>945</v>
      </c>
      <c r="E1792" s="16">
        <v>4800000</v>
      </c>
      <c r="F1792" s="16">
        <f t="shared" si="54"/>
        <v>4800000</v>
      </c>
    </row>
    <row r="1794" spans="1:6" x14ac:dyDescent="0.25">
      <c r="B1794" s="17" t="s">
        <v>10</v>
      </c>
      <c r="C1794" s="31"/>
      <c r="D1794" s="18"/>
      <c r="E1794" s="239"/>
      <c r="F1794" s="239">
        <f>SUM(F1782:F1792)</f>
        <v>24872000</v>
      </c>
    </row>
    <row r="1796" spans="1:6" x14ac:dyDescent="0.25">
      <c r="A1796" s="30" t="s">
        <v>0</v>
      </c>
      <c r="B1796" s="18" t="s">
        <v>1</v>
      </c>
      <c r="C1796" s="31" t="s">
        <v>2</v>
      </c>
      <c r="D1796" s="31" t="s">
        <v>3</v>
      </c>
      <c r="E1796" s="239" t="s">
        <v>4</v>
      </c>
      <c r="F1796" s="239" t="s">
        <v>5</v>
      </c>
    </row>
    <row r="1797" spans="1:6" ht="30" x14ac:dyDescent="0.25">
      <c r="A1797" s="13">
        <v>1</v>
      </c>
      <c r="B1797" s="14" t="s">
        <v>958</v>
      </c>
      <c r="C1797" s="316">
        <v>1</v>
      </c>
      <c r="D1797" s="15" t="s">
        <v>11</v>
      </c>
      <c r="E1797" s="16">
        <v>2500</v>
      </c>
      <c r="F1797" s="16">
        <f t="shared" ref="F1797:F1809" si="55">E1797*C1797</f>
        <v>2500</v>
      </c>
    </row>
    <row r="1798" spans="1:6" ht="75" x14ac:dyDescent="0.25">
      <c r="A1798" s="13">
        <v>2</v>
      </c>
      <c r="B1798" s="14" t="s">
        <v>930</v>
      </c>
      <c r="C1798" s="316">
        <v>120</v>
      </c>
      <c r="D1798" s="15" t="s">
        <v>9</v>
      </c>
      <c r="E1798" s="16">
        <v>420</v>
      </c>
      <c r="F1798" s="16">
        <f t="shared" si="55"/>
        <v>50400</v>
      </c>
    </row>
    <row r="1799" spans="1:6" ht="75" x14ac:dyDescent="0.25">
      <c r="A1799" s="13">
        <v>3</v>
      </c>
      <c r="B1799" s="14" t="s">
        <v>931</v>
      </c>
      <c r="C1799" s="316">
        <v>380</v>
      </c>
      <c r="D1799" s="15" t="s">
        <v>9</v>
      </c>
      <c r="E1799" s="16">
        <v>390</v>
      </c>
      <c r="F1799" s="16">
        <f t="shared" si="55"/>
        <v>148200</v>
      </c>
    </row>
    <row r="1800" spans="1:6" ht="30" x14ac:dyDescent="0.25">
      <c r="A1800" s="13">
        <v>4</v>
      </c>
      <c r="B1800" s="14" t="s">
        <v>932</v>
      </c>
      <c r="C1800" s="316">
        <v>160</v>
      </c>
      <c r="D1800" s="15" t="s">
        <v>9</v>
      </c>
      <c r="E1800" s="16">
        <v>220</v>
      </c>
      <c r="F1800" s="16">
        <f t="shared" si="55"/>
        <v>35200</v>
      </c>
    </row>
    <row r="1801" spans="1:6" ht="30" x14ac:dyDescent="0.25">
      <c r="A1801" s="13">
        <v>5</v>
      </c>
      <c r="B1801" s="14" t="s">
        <v>959</v>
      </c>
      <c r="C1801" s="316">
        <v>40</v>
      </c>
      <c r="D1801" s="15" t="s">
        <v>9</v>
      </c>
      <c r="E1801" s="16">
        <v>220</v>
      </c>
      <c r="F1801" s="16">
        <f t="shared" si="55"/>
        <v>8800</v>
      </c>
    </row>
    <row r="1802" spans="1:6" ht="45" x14ac:dyDescent="0.25">
      <c r="A1802" s="13">
        <v>6</v>
      </c>
      <c r="B1802" s="14" t="s">
        <v>960</v>
      </c>
      <c r="C1802" s="316">
        <v>28</v>
      </c>
      <c r="D1802" s="15" t="s">
        <v>9</v>
      </c>
      <c r="E1802" s="16">
        <v>350</v>
      </c>
      <c r="F1802" s="16">
        <f t="shared" si="55"/>
        <v>9800</v>
      </c>
    </row>
    <row r="1803" spans="1:6" ht="60" x14ac:dyDescent="0.25">
      <c r="A1803" s="13">
        <v>7</v>
      </c>
      <c r="B1803" s="14" t="s">
        <v>961</v>
      </c>
      <c r="C1803" s="316">
        <v>1</v>
      </c>
      <c r="D1803" s="15" t="s">
        <v>772</v>
      </c>
      <c r="E1803" s="16">
        <v>3500</v>
      </c>
      <c r="F1803" s="16">
        <f t="shared" si="55"/>
        <v>3500</v>
      </c>
    </row>
    <row r="1804" spans="1:6" ht="75" x14ac:dyDescent="0.25">
      <c r="A1804" s="13">
        <v>8</v>
      </c>
      <c r="B1804" s="14" t="s">
        <v>980</v>
      </c>
      <c r="C1804" s="316">
        <v>1</v>
      </c>
      <c r="D1804" s="15" t="s">
        <v>772</v>
      </c>
      <c r="E1804" s="16">
        <v>329275</v>
      </c>
      <c r="F1804" s="16">
        <f t="shared" si="55"/>
        <v>329275</v>
      </c>
    </row>
    <row r="1805" spans="1:6" ht="30" x14ac:dyDescent="0.25">
      <c r="A1805" s="13">
        <v>9</v>
      </c>
      <c r="B1805" s="14" t="s">
        <v>982</v>
      </c>
      <c r="C1805" s="316">
        <v>1</v>
      </c>
      <c r="D1805" s="15" t="s">
        <v>11</v>
      </c>
      <c r="E1805" s="16">
        <v>19000</v>
      </c>
      <c r="F1805" s="16">
        <f t="shared" si="55"/>
        <v>19000</v>
      </c>
    </row>
    <row r="1806" spans="1:6" ht="75" x14ac:dyDescent="0.25">
      <c r="A1806" s="13">
        <v>10</v>
      </c>
      <c r="B1806" s="14" t="s">
        <v>962</v>
      </c>
      <c r="C1806" s="316">
        <v>1</v>
      </c>
      <c r="D1806" s="15" t="s">
        <v>11</v>
      </c>
      <c r="E1806" s="16">
        <v>101250</v>
      </c>
      <c r="F1806" s="16">
        <f t="shared" si="55"/>
        <v>101250</v>
      </c>
    </row>
    <row r="1807" spans="1:6" ht="45" x14ac:dyDescent="0.25">
      <c r="A1807" s="13">
        <v>11</v>
      </c>
      <c r="B1807" s="14" t="s">
        <v>963</v>
      </c>
      <c r="C1807" s="316">
        <v>1</v>
      </c>
      <c r="D1807" s="15" t="s">
        <v>11</v>
      </c>
      <c r="E1807" s="16">
        <v>64000</v>
      </c>
      <c r="F1807" s="16">
        <f t="shared" si="55"/>
        <v>64000</v>
      </c>
    </row>
    <row r="1808" spans="1:6" ht="45" x14ac:dyDescent="0.25">
      <c r="A1808" s="13">
        <v>12</v>
      </c>
      <c r="B1808" s="14" t="s">
        <v>964</v>
      </c>
      <c r="C1808" s="316">
        <v>1</v>
      </c>
      <c r="D1808" s="15" t="s">
        <v>11</v>
      </c>
      <c r="E1808" s="16">
        <v>29500</v>
      </c>
      <c r="F1808" s="16">
        <f t="shared" si="55"/>
        <v>29500</v>
      </c>
    </row>
    <row r="1809" spans="1:9" ht="60" x14ac:dyDescent="0.25">
      <c r="A1809" s="13">
        <v>13</v>
      </c>
      <c r="B1809" s="14" t="s">
        <v>981</v>
      </c>
      <c r="C1809" s="316">
        <v>1</v>
      </c>
      <c r="D1809" s="15" t="s">
        <v>641</v>
      </c>
      <c r="E1809" s="16">
        <v>38000</v>
      </c>
      <c r="F1809" s="16">
        <f t="shared" si="55"/>
        <v>38000</v>
      </c>
    </row>
    <row r="1811" spans="1:9" x14ac:dyDescent="0.25">
      <c r="A1811" s="30" t="s">
        <v>0</v>
      </c>
      <c r="B1811" s="18" t="s">
        <v>1</v>
      </c>
      <c r="C1811" s="31" t="s">
        <v>2</v>
      </c>
      <c r="D1811" s="31" t="s">
        <v>3</v>
      </c>
      <c r="E1811" s="239" t="s">
        <v>4</v>
      </c>
      <c r="F1811" s="239" t="s">
        <v>5</v>
      </c>
    </row>
    <row r="1812" spans="1:9" ht="45" x14ac:dyDescent="0.25">
      <c r="A1812" s="13">
        <v>1</v>
      </c>
      <c r="B1812" s="14" t="s">
        <v>965</v>
      </c>
      <c r="C1812" s="316">
        <v>18</v>
      </c>
      <c r="D1812" s="15" t="s">
        <v>33</v>
      </c>
      <c r="E1812" s="16">
        <v>2650</v>
      </c>
      <c r="F1812" s="16">
        <f>E1812*C1812</f>
        <v>47700</v>
      </c>
    </row>
    <row r="1813" spans="1:9" ht="30" x14ac:dyDescent="0.25">
      <c r="A1813" s="13">
        <v>2</v>
      </c>
      <c r="B1813" s="14" t="s">
        <v>966</v>
      </c>
      <c r="C1813" s="316">
        <v>1</v>
      </c>
      <c r="D1813" s="15" t="s">
        <v>407</v>
      </c>
      <c r="E1813" s="16">
        <v>336000</v>
      </c>
      <c r="F1813" s="16">
        <f>E1813*C1813</f>
        <v>336000</v>
      </c>
    </row>
    <row r="1814" spans="1:9" ht="105" x14ac:dyDescent="0.25">
      <c r="A1814" s="13">
        <v>3</v>
      </c>
      <c r="B1814" s="14" t="s">
        <v>967</v>
      </c>
      <c r="C1814" s="316">
        <v>1</v>
      </c>
      <c r="D1814" s="15" t="s">
        <v>772</v>
      </c>
      <c r="E1814" s="16">
        <v>135000</v>
      </c>
      <c r="F1814" s="16">
        <f>E1814*C1814</f>
        <v>135000</v>
      </c>
    </row>
    <row r="1815" spans="1:9" ht="30" x14ac:dyDescent="0.25">
      <c r="A1815" s="13">
        <v>4</v>
      </c>
      <c r="B1815" s="14" t="s">
        <v>968</v>
      </c>
      <c r="C1815" s="316">
        <v>1</v>
      </c>
      <c r="D1815" s="15" t="s">
        <v>772</v>
      </c>
      <c r="E1815" s="16">
        <v>27500</v>
      </c>
      <c r="F1815" s="16">
        <f>E1815*C1815</f>
        <v>27500</v>
      </c>
      <c r="I1815" s="34" t="s">
        <v>971</v>
      </c>
    </row>
    <row r="1816" spans="1:9" ht="30" x14ac:dyDescent="0.25">
      <c r="A1816" s="13">
        <v>5</v>
      </c>
      <c r="B1816" s="14" t="s">
        <v>969</v>
      </c>
      <c r="C1816" s="316">
        <v>1</v>
      </c>
      <c r="D1816" s="15" t="s">
        <v>772</v>
      </c>
      <c r="E1816" s="16">
        <v>40000</v>
      </c>
      <c r="F1816" s="16">
        <f>E1816*C1816</f>
        <v>40000</v>
      </c>
    </row>
    <row r="1818" spans="1:9" x14ac:dyDescent="0.25">
      <c r="B1818" s="14" t="s">
        <v>978</v>
      </c>
      <c r="F1818" s="16">
        <f>SUM(F1812:F1816)</f>
        <v>586200</v>
      </c>
    </row>
    <row r="1819" spans="1:9" x14ac:dyDescent="0.25">
      <c r="B1819" s="14" t="s">
        <v>979</v>
      </c>
      <c r="F1819" s="16">
        <v>2854500</v>
      </c>
    </row>
    <row r="1821" spans="1:9" x14ac:dyDescent="0.25">
      <c r="B1821" s="17" t="s">
        <v>972</v>
      </c>
      <c r="C1821" s="31"/>
      <c r="D1821" s="18"/>
      <c r="E1821" s="239"/>
      <c r="F1821" s="239">
        <f>SUM(F1818:F1819)</f>
        <v>3440700</v>
      </c>
    </row>
    <row r="1823" spans="1:9" x14ac:dyDescent="0.25">
      <c r="B1823" s="77" t="s">
        <v>973</v>
      </c>
      <c r="F1823" s="16">
        <v>1168000</v>
      </c>
    </row>
    <row r="1824" spans="1:9" x14ac:dyDescent="0.25">
      <c r="B1824" s="14" t="s">
        <v>975</v>
      </c>
      <c r="F1824" s="16">
        <v>288090</v>
      </c>
    </row>
    <row r="1825" spans="1:6" ht="45" x14ac:dyDescent="0.25">
      <c r="B1825" s="14" t="s">
        <v>976</v>
      </c>
      <c r="F1825" s="16">
        <v>200000</v>
      </c>
    </row>
    <row r="1826" spans="1:6" x14ac:dyDescent="0.25">
      <c r="B1826" s="17" t="s">
        <v>974</v>
      </c>
      <c r="C1826" s="31"/>
      <c r="D1826" s="18"/>
      <c r="E1826" s="239"/>
      <c r="F1826" s="239">
        <f>F1825+F1824+F1823</f>
        <v>1656090</v>
      </c>
    </row>
    <row r="1828" spans="1:6" x14ac:dyDescent="0.25">
      <c r="B1828" s="14" t="s">
        <v>10</v>
      </c>
      <c r="F1828" s="16">
        <v>3440700</v>
      </c>
    </row>
    <row r="1829" spans="1:6" x14ac:dyDescent="0.25">
      <c r="B1829" s="14" t="s">
        <v>228</v>
      </c>
      <c r="E1829" s="16" t="s">
        <v>977</v>
      </c>
      <c r="F1829" s="16">
        <v>1656090</v>
      </c>
    </row>
    <row r="1831" spans="1:6" x14ac:dyDescent="0.25">
      <c r="B1831" s="17" t="s">
        <v>234</v>
      </c>
      <c r="C1831" s="31"/>
      <c r="D1831" s="18"/>
      <c r="E1831" s="239"/>
      <c r="F1831" s="239">
        <f>F1828-F1829</f>
        <v>1784610</v>
      </c>
    </row>
    <row r="1833" spans="1:6" x14ac:dyDescent="0.25">
      <c r="A1833" s="30" t="s">
        <v>0</v>
      </c>
      <c r="B1833" s="18" t="s">
        <v>1</v>
      </c>
      <c r="C1833" s="31" t="s">
        <v>2</v>
      </c>
      <c r="D1833" s="31" t="s">
        <v>3</v>
      </c>
      <c r="E1833" s="239" t="s">
        <v>4</v>
      </c>
      <c r="F1833" s="239" t="s">
        <v>5</v>
      </c>
    </row>
    <row r="1834" spans="1:6" ht="30" x14ac:dyDescent="0.25">
      <c r="A1834" s="13">
        <v>1</v>
      </c>
      <c r="B1834" s="14" t="s">
        <v>958</v>
      </c>
      <c r="C1834" s="316">
        <v>1</v>
      </c>
      <c r="D1834" s="15" t="s">
        <v>11</v>
      </c>
      <c r="E1834" s="16">
        <v>2500</v>
      </c>
      <c r="F1834" s="16">
        <f>E1834*C1834</f>
        <v>2500</v>
      </c>
    </row>
    <row r="1835" spans="1:6" ht="75" x14ac:dyDescent="0.25">
      <c r="A1835" s="13">
        <v>2</v>
      </c>
      <c r="B1835" s="14" t="s">
        <v>930</v>
      </c>
      <c r="C1835" s="316">
        <v>120</v>
      </c>
      <c r="D1835" s="15" t="s">
        <v>9</v>
      </c>
      <c r="E1835" s="16">
        <v>420</v>
      </c>
      <c r="F1835" s="16">
        <f>E1835*C1835</f>
        <v>50400</v>
      </c>
    </row>
    <row r="1836" spans="1:6" ht="75" x14ac:dyDescent="0.25">
      <c r="A1836" s="13">
        <v>3</v>
      </c>
      <c r="B1836" s="14" t="s">
        <v>931</v>
      </c>
      <c r="C1836" s="316">
        <v>380</v>
      </c>
      <c r="D1836" s="15" t="s">
        <v>9</v>
      </c>
      <c r="E1836" s="16">
        <v>390</v>
      </c>
      <c r="F1836" s="16">
        <f>E1836*C1836</f>
        <v>148200</v>
      </c>
    </row>
    <row r="1837" spans="1:6" ht="30" x14ac:dyDescent="0.25">
      <c r="A1837" s="13">
        <v>4</v>
      </c>
      <c r="B1837" s="14" t="s">
        <v>932</v>
      </c>
      <c r="C1837" s="316">
        <v>160</v>
      </c>
      <c r="D1837" s="15" t="s">
        <v>9</v>
      </c>
      <c r="E1837" s="16">
        <v>220</v>
      </c>
      <c r="F1837" s="16">
        <f>E1837*C1837</f>
        <v>35200</v>
      </c>
    </row>
    <row r="1838" spans="1:6" ht="30" x14ac:dyDescent="0.25">
      <c r="A1838" s="13">
        <v>5</v>
      </c>
      <c r="B1838" s="14" t="s">
        <v>959</v>
      </c>
      <c r="C1838" s="316">
        <v>40</v>
      </c>
      <c r="D1838" s="15" t="s">
        <v>9</v>
      </c>
      <c r="E1838" s="16">
        <v>220</v>
      </c>
      <c r="F1838" s="16">
        <f t="shared" ref="F1838:F1846" si="56">E1838*C1838</f>
        <v>8800</v>
      </c>
    </row>
    <row r="1839" spans="1:6" ht="45" x14ac:dyDescent="0.25">
      <c r="A1839" s="13">
        <v>6</v>
      </c>
      <c r="B1839" s="14" t="s">
        <v>960</v>
      </c>
      <c r="C1839" s="316">
        <v>28</v>
      </c>
      <c r="D1839" s="15" t="s">
        <v>9</v>
      </c>
      <c r="E1839" s="16">
        <v>350</v>
      </c>
      <c r="F1839" s="16">
        <f t="shared" si="56"/>
        <v>9800</v>
      </c>
    </row>
    <row r="1840" spans="1:6" ht="60" x14ac:dyDescent="0.25">
      <c r="A1840" s="13">
        <v>7</v>
      </c>
      <c r="B1840" s="14" t="s">
        <v>961</v>
      </c>
      <c r="C1840" s="316">
        <v>1</v>
      </c>
      <c r="D1840" s="15" t="s">
        <v>772</v>
      </c>
      <c r="E1840" s="16">
        <v>3500</v>
      </c>
      <c r="F1840" s="16">
        <f t="shared" si="56"/>
        <v>3500</v>
      </c>
    </row>
    <row r="1841" spans="1:9" ht="75" x14ac:dyDescent="0.25">
      <c r="A1841" s="13">
        <v>8</v>
      </c>
      <c r="B1841" s="14" t="s">
        <v>980</v>
      </c>
      <c r="C1841" s="316">
        <v>1</v>
      </c>
      <c r="D1841" s="15" t="s">
        <v>772</v>
      </c>
      <c r="E1841" s="16">
        <v>329275</v>
      </c>
      <c r="F1841" s="16">
        <f t="shared" si="56"/>
        <v>329275</v>
      </c>
    </row>
    <row r="1842" spans="1:9" ht="30" x14ac:dyDescent="0.25">
      <c r="A1842" s="13">
        <v>9</v>
      </c>
      <c r="B1842" s="14" t="s">
        <v>982</v>
      </c>
      <c r="C1842" s="316">
        <v>1</v>
      </c>
      <c r="D1842" s="15" t="s">
        <v>11</v>
      </c>
      <c r="E1842" s="16">
        <v>19000</v>
      </c>
      <c r="F1842" s="16">
        <f t="shared" si="56"/>
        <v>19000</v>
      </c>
    </row>
    <row r="1843" spans="1:9" ht="75" x14ac:dyDescent="0.25">
      <c r="A1843" s="13">
        <v>10</v>
      </c>
      <c r="B1843" s="14" t="s">
        <v>962</v>
      </c>
      <c r="C1843" s="316">
        <v>1</v>
      </c>
      <c r="D1843" s="15" t="s">
        <v>11</v>
      </c>
      <c r="E1843" s="16">
        <v>101250</v>
      </c>
      <c r="F1843" s="16">
        <f t="shared" si="56"/>
        <v>101250</v>
      </c>
    </row>
    <row r="1844" spans="1:9" ht="45" x14ac:dyDescent="0.25">
      <c r="A1844" s="13">
        <v>11</v>
      </c>
      <c r="B1844" s="14" t="s">
        <v>963</v>
      </c>
      <c r="C1844" s="316">
        <v>1</v>
      </c>
      <c r="D1844" s="15" t="s">
        <v>11</v>
      </c>
      <c r="E1844" s="16">
        <v>64000</v>
      </c>
      <c r="F1844" s="16">
        <f t="shared" si="56"/>
        <v>64000</v>
      </c>
    </row>
    <row r="1845" spans="1:9" ht="45" x14ac:dyDescent="0.25">
      <c r="A1845" s="13">
        <v>12</v>
      </c>
      <c r="B1845" s="14" t="s">
        <v>964</v>
      </c>
      <c r="C1845" s="316">
        <v>1</v>
      </c>
      <c r="D1845" s="15" t="s">
        <v>11</v>
      </c>
      <c r="E1845" s="16">
        <v>29500</v>
      </c>
      <c r="F1845" s="16">
        <f t="shared" si="56"/>
        <v>29500</v>
      </c>
    </row>
    <row r="1846" spans="1:9" ht="60" x14ac:dyDescent="0.25">
      <c r="A1846" s="13">
        <v>13</v>
      </c>
      <c r="B1846" s="14" t="s">
        <v>981</v>
      </c>
      <c r="C1846" s="316">
        <v>1</v>
      </c>
      <c r="D1846" s="15" t="s">
        <v>641</v>
      </c>
      <c r="E1846" s="16">
        <v>38000</v>
      </c>
      <c r="F1846" s="16">
        <f t="shared" si="56"/>
        <v>38000</v>
      </c>
    </row>
    <row r="1848" spans="1:9" x14ac:dyDescent="0.25">
      <c r="B1848" s="17" t="s">
        <v>970</v>
      </c>
      <c r="C1848" s="31"/>
      <c r="D1848" s="18"/>
      <c r="E1848" s="239"/>
      <c r="F1848" s="239">
        <f>SUM(F1834:F1846)</f>
        <v>839425</v>
      </c>
    </row>
    <row r="1850" spans="1:9" x14ac:dyDescent="0.25">
      <c r="F1850" s="16">
        <f>E1850*C1850</f>
        <v>0</v>
      </c>
    </row>
    <row r="1851" spans="1:9" x14ac:dyDescent="0.25">
      <c r="F1851" s="16">
        <f>E1851*C1851</f>
        <v>0</v>
      </c>
      <c r="I1851" s="34" t="s">
        <v>983</v>
      </c>
    </row>
    <row r="1852" spans="1:9" x14ac:dyDescent="0.25">
      <c r="A1852" s="30" t="s">
        <v>0</v>
      </c>
      <c r="B1852" s="18" t="s">
        <v>1</v>
      </c>
      <c r="C1852" s="31" t="s">
        <v>2</v>
      </c>
      <c r="D1852" s="31" t="s">
        <v>3</v>
      </c>
      <c r="E1852" s="239" t="s">
        <v>4</v>
      </c>
      <c r="F1852" s="239" t="s">
        <v>5</v>
      </c>
    </row>
    <row r="1853" spans="1:9" ht="75" x14ac:dyDescent="0.25">
      <c r="A1853" s="13">
        <v>1</v>
      </c>
      <c r="B1853" s="14" t="s">
        <v>989</v>
      </c>
      <c r="C1853" s="316">
        <v>210</v>
      </c>
      <c r="D1853" s="15" t="s">
        <v>33</v>
      </c>
      <c r="E1853" s="16">
        <v>1550</v>
      </c>
      <c r="F1853" s="16">
        <f>E1853*C1853</f>
        <v>325500</v>
      </c>
      <c r="I1853" s="34" t="s">
        <v>984</v>
      </c>
    </row>
    <row r="1854" spans="1:9" ht="90" x14ac:dyDescent="0.25">
      <c r="A1854" s="13">
        <v>2</v>
      </c>
      <c r="B1854" s="14" t="s">
        <v>990</v>
      </c>
      <c r="C1854" s="316">
        <v>21</v>
      </c>
      <c r="D1854" s="15" t="s">
        <v>85</v>
      </c>
      <c r="E1854" s="16">
        <v>7000</v>
      </c>
      <c r="F1854" s="16">
        <f>E1854*C1854</f>
        <v>147000</v>
      </c>
      <c r="I1854" s="34" t="s">
        <v>986</v>
      </c>
    </row>
    <row r="1855" spans="1:9" x14ac:dyDescent="0.25">
      <c r="I1855" s="34" t="s">
        <v>985</v>
      </c>
    </row>
    <row r="1856" spans="1:9" x14ac:dyDescent="0.25">
      <c r="B1856" s="17" t="s">
        <v>10</v>
      </c>
      <c r="C1856" s="31"/>
      <c r="D1856" s="18"/>
      <c r="E1856" s="239"/>
      <c r="F1856" s="239">
        <f>SUM(F1853:F1854)</f>
        <v>472500</v>
      </c>
      <c r="I1856" s="34" t="s">
        <v>987</v>
      </c>
    </row>
    <row r="1858" spans="1:9" x14ac:dyDescent="0.25">
      <c r="A1858" s="30" t="s">
        <v>0</v>
      </c>
      <c r="B1858" s="18" t="s">
        <v>1</v>
      </c>
      <c r="C1858" s="31" t="s">
        <v>2</v>
      </c>
      <c r="D1858" s="31" t="s">
        <v>3</v>
      </c>
      <c r="E1858" s="239" t="s">
        <v>4</v>
      </c>
      <c r="F1858" s="239" t="s">
        <v>5</v>
      </c>
      <c r="I1858" s="78">
        <v>388500</v>
      </c>
    </row>
    <row r="1859" spans="1:9" ht="15.75" x14ac:dyDescent="0.25">
      <c r="A1859" s="617" t="s">
        <v>991</v>
      </c>
      <c r="B1859" s="618"/>
      <c r="C1859" s="619"/>
      <c r="D1859" s="426"/>
      <c r="E1859" s="427"/>
      <c r="F1859" s="428"/>
      <c r="I1859" s="78">
        <v>252000</v>
      </c>
    </row>
    <row r="1860" spans="1:9" ht="30" x14ac:dyDescent="0.25">
      <c r="A1860" s="13">
        <v>1</v>
      </c>
      <c r="B1860" s="14" t="s">
        <v>1013</v>
      </c>
      <c r="C1860" s="316">
        <v>4</v>
      </c>
      <c r="D1860" s="15" t="s">
        <v>11</v>
      </c>
      <c r="E1860" s="16">
        <v>500</v>
      </c>
      <c r="F1860" s="16">
        <f>E1860*C1860</f>
        <v>2000</v>
      </c>
      <c r="I1860" s="78">
        <f>SUM(I1858:I1859)</f>
        <v>640500</v>
      </c>
    </row>
    <row r="1861" spans="1:9" x14ac:dyDescent="0.25">
      <c r="A1861" s="13">
        <v>2</v>
      </c>
      <c r="B1861" s="14" t="s">
        <v>992</v>
      </c>
      <c r="C1861" s="316">
        <v>60</v>
      </c>
      <c r="D1861" s="15" t="s">
        <v>9</v>
      </c>
      <c r="E1861" s="16">
        <v>25</v>
      </c>
      <c r="F1861" s="16">
        <f>E1861*C1861</f>
        <v>1500</v>
      </c>
    </row>
    <row r="1862" spans="1:9" x14ac:dyDescent="0.25">
      <c r="A1862" s="13">
        <v>3</v>
      </c>
      <c r="B1862" s="14" t="s">
        <v>1012</v>
      </c>
      <c r="C1862" s="316">
        <v>460</v>
      </c>
      <c r="D1862" s="15" t="s">
        <v>9</v>
      </c>
      <c r="E1862" s="16">
        <v>20</v>
      </c>
      <c r="F1862" s="16">
        <f>E1862*C1862</f>
        <v>9200</v>
      </c>
      <c r="I1862" s="34" t="s">
        <v>988</v>
      </c>
    </row>
    <row r="1863" spans="1:9" ht="15.75" x14ac:dyDescent="0.25">
      <c r="A1863" s="617" t="s">
        <v>993</v>
      </c>
      <c r="B1863" s="618"/>
      <c r="C1863" s="619"/>
      <c r="D1863" s="426"/>
      <c r="E1863" s="427"/>
      <c r="F1863" s="428"/>
    </row>
    <row r="1864" spans="1:9" ht="30" x14ac:dyDescent="0.25">
      <c r="A1864" s="13">
        <v>4</v>
      </c>
      <c r="B1864" s="14" t="s">
        <v>1011</v>
      </c>
      <c r="C1864" s="316">
        <v>460</v>
      </c>
      <c r="D1864" s="15" t="s">
        <v>9</v>
      </c>
      <c r="E1864" s="16">
        <v>35</v>
      </c>
      <c r="F1864" s="16">
        <f>E1864*C1864</f>
        <v>16100</v>
      </c>
    </row>
    <row r="1865" spans="1:9" ht="15.75" x14ac:dyDescent="0.25">
      <c r="A1865" s="617" t="s">
        <v>994</v>
      </c>
      <c r="B1865" s="618"/>
      <c r="C1865" s="619"/>
      <c r="D1865" s="426"/>
      <c r="E1865" s="427"/>
      <c r="F1865" s="428"/>
    </row>
    <row r="1866" spans="1:9" ht="30" x14ac:dyDescent="0.25">
      <c r="A1866" s="13">
        <v>8</v>
      </c>
      <c r="B1866" s="14" t="s">
        <v>1010</v>
      </c>
      <c r="C1866" s="316">
        <v>460</v>
      </c>
      <c r="D1866" s="15" t="s">
        <v>9</v>
      </c>
      <c r="E1866" s="16">
        <v>90</v>
      </c>
      <c r="F1866" s="16">
        <f>E1866*C1866</f>
        <v>41400</v>
      </c>
    </row>
    <row r="1867" spans="1:9" ht="15.75" x14ac:dyDescent="0.25">
      <c r="A1867" s="617" t="s">
        <v>995</v>
      </c>
      <c r="B1867" s="618"/>
      <c r="C1867" s="619"/>
      <c r="D1867" s="615"/>
      <c r="E1867" s="620"/>
      <c r="F1867" s="616"/>
    </row>
    <row r="1868" spans="1:9" x14ac:dyDescent="0.25">
      <c r="A1868" s="13">
        <v>9</v>
      </c>
      <c r="B1868" s="14" t="s">
        <v>996</v>
      </c>
      <c r="C1868" s="316">
        <v>6</v>
      </c>
      <c r="D1868" s="15" t="s">
        <v>33</v>
      </c>
      <c r="E1868" s="16">
        <v>120</v>
      </c>
      <c r="F1868" s="16">
        <f>E1868*C1868</f>
        <v>720</v>
      </c>
    </row>
    <row r="1869" spans="1:9" ht="15.75" x14ac:dyDescent="0.25">
      <c r="A1869" s="617" t="s">
        <v>997</v>
      </c>
      <c r="B1869" s="618"/>
      <c r="C1869" s="619"/>
      <c r="D1869" s="426"/>
      <c r="E1869" s="427"/>
      <c r="F1869" s="428"/>
    </row>
    <row r="1870" spans="1:9" ht="30" x14ac:dyDescent="0.25">
      <c r="A1870" s="13">
        <v>10</v>
      </c>
      <c r="B1870" s="14" t="s">
        <v>1009</v>
      </c>
      <c r="C1870" s="316">
        <v>85</v>
      </c>
      <c r="D1870" s="15" t="s">
        <v>9</v>
      </c>
      <c r="E1870" s="16">
        <v>165</v>
      </c>
      <c r="F1870" s="16">
        <f>E1870*C1870</f>
        <v>14025</v>
      </c>
    </row>
    <row r="1871" spans="1:9" ht="15.75" x14ac:dyDescent="0.25">
      <c r="A1871" s="617" t="s">
        <v>998</v>
      </c>
      <c r="B1871" s="618"/>
      <c r="C1871" s="619"/>
      <c r="D1871" s="426"/>
      <c r="E1871" s="427"/>
      <c r="F1871" s="428"/>
    </row>
    <row r="1872" spans="1:9" ht="30" x14ac:dyDescent="0.25">
      <c r="A1872" s="13">
        <v>12</v>
      </c>
      <c r="B1872" s="14" t="s">
        <v>1024</v>
      </c>
      <c r="C1872" s="316">
        <v>1622</v>
      </c>
      <c r="D1872" s="15" t="s">
        <v>9</v>
      </c>
      <c r="E1872" s="16">
        <v>75</v>
      </c>
      <c r="F1872" s="16">
        <f>E1872*C1872</f>
        <v>121650</v>
      </c>
    </row>
    <row r="1873" spans="1:6" ht="15.75" x14ac:dyDescent="0.25">
      <c r="A1873" s="617" t="s">
        <v>999</v>
      </c>
      <c r="B1873" s="618"/>
      <c r="C1873" s="619"/>
      <c r="D1873" s="426"/>
      <c r="E1873" s="427"/>
      <c r="F1873" s="428"/>
    </row>
    <row r="1874" spans="1:6" x14ac:dyDescent="0.25">
      <c r="A1874" s="13">
        <v>13</v>
      </c>
      <c r="B1874" s="14" t="s">
        <v>1008</v>
      </c>
      <c r="C1874" s="316">
        <v>620</v>
      </c>
      <c r="D1874" s="15" t="s">
        <v>9</v>
      </c>
      <c r="E1874" s="16">
        <v>75</v>
      </c>
      <c r="F1874" s="16">
        <f>E1874*C1874</f>
        <v>46500</v>
      </c>
    </row>
    <row r="1875" spans="1:6" x14ac:dyDescent="0.25">
      <c r="A1875" s="13">
        <v>14</v>
      </c>
      <c r="B1875" s="14" t="s">
        <v>1007</v>
      </c>
      <c r="C1875" s="316">
        <v>620</v>
      </c>
      <c r="D1875" s="15" t="s">
        <v>9</v>
      </c>
      <c r="E1875" s="16">
        <v>55</v>
      </c>
      <c r="F1875" s="16">
        <f>E1875*C1875</f>
        <v>34100</v>
      </c>
    </row>
    <row r="1876" spans="1:6" ht="15.75" x14ac:dyDescent="0.25">
      <c r="A1876" s="617" t="s">
        <v>1027</v>
      </c>
      <c r="B1876" s="618"/>
      <c r="C1876" s="619"/>
      <c r="D1876" s="426"/>
      <c r="E1876" s="427"/>
      <c r="F1876" s="428"/>
    </row>
    <row r="1877" spans="1:6" ht="15.75" x14ac:dyDescent="0.25">
      <c r="A1877" s="79"/>
      <c r="B1877" s="15" t="s">
        <v>1028</v>
      </c>
      <c r="C1877" s="316">
        <v>80</v>
      </c>
      <c r="D1877" s="15" t="s">
        <v>33</v>
      </c>
      <c r="E1877" s="16">
        <v>130</v>
      </c>
      <c r="F1877" s="16">
        <f>C1877*E1877</f>
        <v>10400</v>
      </c>
    </row>
    <row r="1878" spans="1:6" ht="30" x14ac:dyDescent="0.25">
      <c r="A1878" s="79"/>
      <c r="B1878" s="15" t="s">
        <v>1029</v>
      </c>
      <c r="C1878" s="316">
        <v>590</v>
      </c>
      <c r="D1878" s="15" t="s">
        <v>9</v>
      </c>
      <c r="E1878" s="16">
        <v>190</v>
      </c>
      <c r="F1878" s="16">
        <f>C1878*E1878</f>
        <v>112100</v>
      </c>
    </row>
    <row r="1879" spans="1:6" ht="15.75" x14ac:dyDescent="0.25">
      <c r="A1879" s="617" t="s">
        <v>1000</v>
      </c>
      <c r="B1879" s="618"/>
      <c r="C1879" s="619"/>
      <c r="D1879" s="426"/>
      <c r="E1879" s="427"/>
      <c r="F1879" s="428"/>
    </row>
    <row r="1880" spans="1:6" x14ac:dyDescent="0.25">
      <c r="A1880" s="13">
        <v>15</v>
      </c>
      <c r="B1880" s="14" t="s">
        <v>1006</v>
      </c>
      <c r="C1880" s="316">
        <v>56</v>
      </c>
      <c r="D1880" s="15" t="s">
        <v>9</v>
      </c>
      <c r="E1880" s="16">
        <v>145</v>
      </c>
      <c r="F1880" s="16">
        <f>E1880*C1880</f>
        <v>8120</v>
      </c>
    </row>
    <row r="1881" spans="1:6" ht="15.75" x14ac:dyDescent="0.25">
      <c r="A1881" s="617" t="s">
        <v>1001</v>
      </c>
      <c r="B1881" s="618"/>
      <c r="C1881" s="619"/>
      <c r="D1881" s="615"/>
      <c r="E1881" s="620"/>
      <c r="F1881" s="616"/>
    </row>
    <row r="1882" spans="1:6" x14ac:dyDescent="0.25">
      <c r="A1882" s="13">
        <v>16</v>
      </c>
      <c r="B1882" s="14" t="s">
        <v>1005</v>
      </c>
      <c r="C1882" s="316">
        <v>169</v>
      </c>
      <c r="D1882" s="15" t="s">
        <v>9</v>
      </c>
      <c r="E1882" s="16">
        <v>140</v>
      </c>
      <c r="F1882" s="16">
        <f>E1882*C1882</f>
        <v>23660</v>
      </c>
    </row>
    <row r="1883" spans="1:6" x14ac:dyDescent="0.25">
      <c r="A1883" s="13">
        <v>17</v>
      </c>
      <c r="B1883" s="14" t="s">
        <v>1025</v>
      </c>
      <c r="C1883" s="316">
        <v>52</v>
      </c>
      <c r="D1883" s="15" t="s">
        <v>9</v>
      </c>
      <c r="E1883" s="16">
        <v>145</v>
      </c>
      <c r="F1883" s="16">
        <f>E1883*C1883</f>
        <v>7540</v>
      </c>
    </row>
    <row r="1884" spans="1:6" ht="15.75" x14ac:dyDescent="0.25">
      <c r="A1884" s="617" t="s">
        <v>1002</v>
      </c>
      <c r="B1884" s="618"/>
      <c r="C1884" s="619"/>
      <c r="D1884" s="426"/>
      <c r="E1884" s="427"/>
      <c r="F1884" s="428"/>
    </row>
    <row r="1885" spans="1:6" ht="30" x14ac:dyDescent="0.25">
      <c r="A1885" s="13">
        <v>17</v>
      </c>
      <c r="B1885" s="14" t="s">
        <v>1004</v>
      </c>
      <c r="C1885" s="316">
        <v>1622</v>
      </c>
      <c r="D1885" s="15" t="s">
        <v>9</v>
      </c>
      <c r="E1885" s="16">
        <v>30</v>
      </c>
      <c r="F1885" s="16">
        <f>E1885*C1885</f>
        <v>48660</v>
      </c>
    </row>
    <row r="1886" spans="1:6" x14ac:dyDescent="0.25">
      <c r="A1886" s="13">
        <v>18</v>
      </c>
      <c r="B1886" s="14" t="s">
        <v>1003</v>
      </c>
      <c r="C1886" s="316">
        <v>1622</v>
      </c>
      <c r="D1886" s="15" t="s">
        <v>9</v>
      </c>
      <c r="E1886" s="16">
        <v>10</v>
      </c>
      <c r="F1886" s="16">
        <f>E1886*C1886</f>
        <v>16220</v>
      </c>
    </row>
    <row r="1887" spans="1:6" x14ac:dyDescent="0.25">
      <c r="A1887" s="13">
        <v>19</v>
      </c>
      <c r="B1887" s="14" t="s">
        <v>1014</v>
      </c>
      <c r="C1887" s="316">
        <v>1622</v>
      </c>
      <c r="D1887" s="15" t="s">
        <v>9</v>
      </c>
      <c r="E1887" s="16">
        <v>30</v>
      </c>
      <c r="F1887" s="16">
        <f>E1887*C1887</f>
        <v>48660</v>
      </c>
    </row>
    <row r="1888" spans="1:6" ht="15.75" x14ac:dyDescent="0.25">
      <c r="A1888" s="617" t="s">
        <v>1015</v>
      </c>
      <c r="B1888" s="618"/>
      <c r="C1888" s="619"/>
      <c r="D1888" s="426"/>
      <c r="E1888" s="427"/>
      <c r="F1888" s="428"/>
    </row>
    <row r="1889" spans="1:6" ht="45" x14ac:dyDescent="0.25">
      <c r="A1889" s="13">
        <v>20</v>
      </c>
      <c r="B1889" s="14" t="s">
        <v>1016</v>
      </c>
      <c r="C1889" s="316">
        <v>620</v>
      </c>
      <c r="D1889" s="15" t="s">
        <v>9</v>
      </c>
      <c r="E1889" s="16">
        <v>35</v>
      </c>
      <c r="F1889" s="16">
        <f>E1889*C1889</f>
        <v>21700</v>
      </c>
    </row>
    <row r="1890" spans="1:6" ht="15.75" x14ac:dyDescent="0.25">
      <c r="A1890" s="617" t="s">
        <v>1017</v>
      </c>
      <c r="B1890" s="618"/>
      <c r="C1890" s="619"/>
      <c r="D1890" s="426"/>
      <c r="E1890" s="427"/>
      <c r="F1890" s="428"/>
    </row>
    <row r="1891" spans="1:6" x14ac:dyDescent="0.25">
      <c r="A1891" s="13">
        <v>21</v>
      </c>
      <c r="B1891" s="14" t="s">
        <v>1026</v>
      </c>
      <c r="C1891" s="316">
        <v>580</v>
      </c>
      <c r="D1891" s="15" t="s">
        <v>9</v>
      </c>
      <c r="E1891" s="16">
        <v>35</v>
      </c>
      <c r="F1891" s="16">
        <f t="shared" ref="F1891:F1899" si="57">E1891*C1891</f>
        <v>20300</v>
      </c>
    </row>
    <row r="1892" spans="1:6" x14ac:dyDescent="0.25">
      <c r="A1892" s="13">
        <v>22</v>
      </c>
      <c r="B1892" s="14" t="s">
        <v>1003</v>
      </c>
      <c r="C1892" s="316">
        <v>580</v>
      </c>
      <c r="D1892" s="15" t="s">
        <v>9</v>
      </c>
      <c r="E1892" s="16">
        <v>15</v>
      </c>
      <c r="F1892" s="16">
        <f t="shared" si="57"/>
        <v>8700</v>
      </c>
    </row>
    <row r="1893" spans="1:6" x14ac:dyDescent="0.25">
      <c r="A1893" s="13">
        <v>23</v>
      </c>
      <c r="B1893" s="14" t="s">
        <v>1014</v>
      </c>
      <c r="C1893" s="316">
        <v>580</v>
      </c>
      <c r="D1893" s="15" t="s">
        <v>9</v>
      </c>
      <c r="E1893" s="16">
        <v>35</v>
      </c>
      <c r="F1893" s="16">
        <f t="shared" si="57"/>
        <v>20300</v>
      </c>
    </row>
    <row r="1894" spans="1:6" ht="45" x14ac:dyDescent="0.25">
      <c r="A1894" s="13">
        <v>24</v>
      </c>
      <c r="B1894" s="14" t="s">
        <v>1018</v>
      </c>
      <c r="C1894" s="316">
        <v>1</v>
      </c>
      <c r="D1894" s="15" t="s">
        <v>407</v>
      </c>
      <c r="E1894" s="16">
        <v>16500</v>
      </c>
      <c r="F1894" s="16">
        <f t="shared" si="57"/>
        <v>16500</v>
      </c>
    </row>
    <row r="1895" spans="1:6" ht="60" x14ac:dyDescent="0.25">
      <c r="A1895" s="13">
        <v>25</v>
      </c>
      <c r="B1895" s="14" t="s">
        <v>1019</v>
      </c>
      <c r="C1895" s="316">
        <v>1</v>
      </c>
      <c r="D1895" s="15" t="s">
        <v>407</v>
      </c>
      <c r="E1895" s="16">
        <v>12500</v>
      </c>
      <c r="F1895" s="16">
        <f t="shared" si="57"/>
        <v>12500</v>
      </c>
    </row>
    <row r="1896" spans="1:6" x14ac:dyDescent="0.25">
      <c r="A1896" s="13">
        <v>26</v>
      </c>
      <c r="B1896" s="14" t="s">
        <v>1020</v>
      </c>
      <c r="C1896" s="316">
        <v>1</v>
      </c>
      <c r="D1896" s="15" t="s">
        <v>407</v>
      </c>
      <c r="E1896" s="16">
        <v>5500</v>
      </c>
      <c r="F1896" s="16">
        <f t="shared" si="57"/>
        <v>5500</v>
      </c>
    </row>
    <row r="1897" spans="1:6" ht="30" x14ac:dyDescent="0.25">
      <c r="A1897" s="13">
        <v>27</v>
      </c>
      <c r="B1897" s="14" t="s">
        <v>1021</v>
      </c>
      <c r="C1897" s="316">
        <v>1</v>
      </c>
      <c r="D1897" s="15" t="s">
        <v>407</v>
      </c>
      <c r="E1897" s="16">
        <v>8500</v>
      </c>
      <c r="F1897" s="16">
        <f t="shared" si="57"/>
        <v>8500</v>
      </c>
    </row>
    <row r="1898" spans="1:6" x14ac:dyDescent="0.25">
      <c r="A1898" s="13">
        <v>28</v>
      </c>
      <c r="B1898" s="14" t="s">
        <v>1022</v>
      </c>
      <c r="C1898" s="316">
        <v>2</v>
      </c>
      <c r="D1898" s="15" t="s">
        <v>1023</v>
      </c>
      <c r="E1898" s="16">
        <v>3500</v>
      </c>
      <c r="F1898" s="16">
        <f t="shared" si="57"/>
        <v>7000</v>
      </c>
    </row>
    <row r="1899" spans="1:6" ht="30" x14ac:dyDescent="0.25">
      <c r="A1899" s="13">
        <v>29</v>
      </c>
      <c r="B1899" s="14" t="s">
        <v>1030</v>
      </c>
      <c r="C1899" s="316">
        <v>140</v>
      </c>
      <c r="D1899" s="15" t="s">
        <v>9</v>
      </c>
      <c r="E1899" s="16">
        <v>225</v>
      </c>
      <c r="F1899" s="16">
        <f t="shared" si="57"/>
        <v>31500</v>
      </c>
    </row>
    <row r="1901" spans="1:6" ht="15.75" x14ac:dyDescent="0.25">
      <c r="B1901" s="35" t="s">
        <v>224</v>
      </c>
      <c r="C1901" s="317"/>
      <c r="D1901" s="36"/>
      <c r="E1901" s="240"/>
      <c r="F1901" s="240">
        <f>SUM(F1859:F1899)</f>
        <v>715055</v>
      </c>
    </row>
    <row r="1903" spans="1:6" x14ac:dyDescent="0.25">
      <c r="A1903" s="30" t="s">
        <v>0</v>
      </c>
      <c r="B1903" s="18" t="s">
        <v>1</v>
      </c>
      <c r="C1903" s="31" t="s">
        <v>2</v>
      </c>
      <c r="D1903" s="31" t="s">
        <v>3</v>
      </c>
      <c r="E1903" s="239" t="s">
        <v>4</v>
      </c>
      <c r="F1903" s="239" t="s">
        <v>5</v>
      </c>
    </row>
    <row r="1904" spans="1:6" x14ac:dyDescent="0.25">
      <c r="A1904" s="423" t="s">
        <v>330</v>
      </c>
      <c r="B1904" s="424"/>
      <c r="C1904" s="425"/>
      <c r="D1904" s="31"/>
      <c r="E1904" s="239"/>
      <c r="F1904" s="239"/>
    </row>
    <row r="1905" spans="1:9" ht="30" x14ac:dyDescent="0.25">
      <c r="A1905" s="13">
        <v>1</v>
      </c>
      <c r="B1905" s="14" t="s">
        <v>1038</v>
      </c>
      <c r="C1905" s="316">
        <v>1</v>
      </c>
      <c r="D1905" s="15" t="s">
        <v>407</v>
      </c>
      <c r="E1905" s="16">
        <v>26500</v>
      </c>
      <c r="F1905" s="16">
        <f t="shared" ref="F1905:F1919" si="58">E1905*C1905</f>
        <v>26500</v>
      </c>
    </row>
    <row r="1906" spans="1:9" ht="30" x14ac:dyDescent="0.25">
      <c r="A1906" s="13">
        <v>2</v>
      </c>
      <c r="B1906" s="14" t="s">
        <v>1031</v>
      </c>
      <c r="C1906" s="316">
        <v>1</v>
      </c>
      <c r="D1906" s="15" t="s">
        <v>407</v>
      </c>
      <c r="E1906" s="16">
        <v>3500</v>
      </c>
      <c r="F1906" s="16">
        <f t="shared" si="58"/>
        <v>3500</v>
      </c>
    </row>
    <row r="1907" spans="1:9" x14ac:dyDescent="0.25">
      <c r="A1907" s="13">
        <v>3</v>
      </c>
      <c r="B1907" s="14" t="s">
        <v>1032</v>
      </c>
      <c r="C1907" s="316">
        <v>1</v>
      </c>
      <c r="D1907" s="15" t="s">
        <v>407</v>
      </c>
      <c r="E1907" s="16">
        <v>8500</v>
      </c>
      <c r="F1907" s="16">
        <f t="shared" si="58"/>
        <v>8500</v>
      </c>
    </row>
    <row r="1908" spans="1:9" x14ac:dyDescent="0.25">
      <c r="A1908" s="13">
        <v>4</v>
      </c>
      <c r="B1908" s="14" t="s">
        <v>1033</v>
      </c>
      <c r="C1908" s="316">
        <v>48</v>
      </c>
      <c r="D1908" s="15" t="s">
        <v>9</v>
      </c>
      <c r="E1908" s="16">
        <v>125</v>
      </c>
      <c r="F1908" s="16">
        <f t="shared" si="58"/>
        <v>6000</v>
      </c>
    </row>
    <row r="1909" spans="1:9" x14ac:dyDescent="0.25">
      <c r="A1909" s="13">
        <v>5</v>
      </c>
      <c r="B1909" s="14" t="s">
        <v>998</v>
      </c>
      <c r="C1909" s="316">
        <v>345</v>
      </c>
      <c r="D1909" s="15" t="s">
        <v>9</v>
      </c>
      <c r="E1909" s="16">
        <v>75</v>
      </c>
      <c r="F1909" s="16">
        <f t="shared" si="58"/>
        <v>25875</v>
      </c>
    </row>
    <row r="1910" spans="1:9" x14ac:dyDescent="0.25">
      <c r="A1910" s="13">
        <v>6</v>
      </c>
      <c r="B1910" s="14" t="s">
        <v>1036</v>
      </c>
      <c r="C1910" s="316">
        <v>345</v>
      </c>
      <c r="D1910" s="15" t="s">
        <v>9</v>
      </c>
      <c r="E1910" s="16">
        <v>195</v>
      </c>
      <c r="F1910" s="16">
        <f t="shared" si="58"/>
        <v>67275</v>
      </c>
      <c r="I1910" s="67">
        <f>SUM(F1905:F1914)</f>
        <v>172400</v>
      </c>
    </row>
    <row r="1911" spans="1:9" x14ac:dyDescent="0.25">
      <c r="A1911" s="13">
        <v>7</v>
      </c>
      <c r="B1911" s="14" t="s">
        <v>1034</v>
      </c>
      <c r="C1911" s="316">
        <v>75</v>
      </c>
      <c r="D1911" s="15" t="s">
        <v>9</v>
      </c>
      <c r="E1911" s="16">
        <v>90</v>
      </c>
      <c r="F1911" s="16">
        <f t="shared" si="58"/>
        <v>6750</v>
      </c>
    </row>
    <row r="1912" spans="1:9" x14ac:dyDescent="0.25">
      <c r="A1912" s="13">
        <v>8</v>
      </c>
      <c r="B1912" s="14" t="s">
        <v>1035</v>
      </c>
      <c r="C1912" s="316">
        <v>75</v>
      </c>
      <c r="D1912" s="15" t="s">
        <v>9</v>
      </c>
      <c r="E1912" s="16">
        <v>75</v>
      </c>
      <c r="F1912" s="16">
        <f t="shared" si="58"/>
        <v>5625</v>
      </c>
    </row>
    <row r="1913" spans="1:9" x14ac:dyDescent="0.25">
      <c r="A1913" s="13">
        <v>9</v>
      </c>
      <c r="B1913" s="14" t="s">
        <v>1037</v>
      </c>
      <c r="C1913" s="316">
        <v>75</v>
      </c>
      <c r="D1913" s="15" t="s">
        <v>9</v>
      </c>
      <c r="E1913" s="16">
        <v>185</v>
      </c>
      <c r="F1913" s="16">
        <f t="shared" si="58"/>
        <v>13875</v>
      </c>
    </row>
    <row r="1914" spans="1:9" ht="30" x14ac:dyDescent="0.25">
      <c r="A1914" s="13">
        <v>10</v>
      </c>
      <c r="B1914" s="14" t="s">
        <v>1039</v>
      </c>
      <c r="C1914" s="316">
        <v>1</v>
      </c>
      <c r="D1914" s="15" t="s">
        <v>407</v>
      </c>
      <c r="E1914" s="16">
        <v>8500</v>
      </c>
      <c r="F1914" s="16">
        <f t="shared" si="58"/>
        <v>8500</v>
      </c>
    </row>
    <row r="1915" spans="1:9" x14ac:dyDescent="0.25">
      <c r="A1915" s="423" t="s">
        <v>1045</v>
      </c>
      <c r="B1915" s="424"/>
      <c r="C1915" s="425"/>
      <c r="I1915" s="660"/>
    </row>
    <row r="1916" spans="1:9" x14ac:dyDescent="0.25">
      <c r="A1916" s="13">
        <v>11</v>
      </c>
      <c r="B1916" s="14" t="s">
        <v>1040</v>
      </c>
      <c r="C1916" s="316">
        <v>1</v>
      </c>
      <c r="D1916" s="15" t="s">
        <v>407</v>
      </c>
      <c r="E1916" s="16">
        <v>14000</v>
      </c>
      <c r="F1916" s="16">
        <f t="shared" si="58"/>
        <v>14000</v>
      </c>
      <c r="I1916" s="660"/>
    </row>
    <row r="1917" spans="1:9" x14ac:dyDescent="0.25">
      <c r="A1917" s="13">
        <v>12</v>
      </c>
      <c r="B1917" s="14" t="s">
        <v>1041</v>
      </c>
      <c r="C1917" s="316">
        <v>87</v>
      </c>
      <c r="D1917" s="15" t="s">
        <v>32</v>
      </c>
      <c r="E1917" s="16">
        <v>120</v>
      </c>
      <c r="F1917" s="16">
        <f t="shared" si="58"/>
        <v>10440</v>
      </c>
      <c r="I1917" s="660"/>
    </row>
    <row r="1918" spans="1:9" ht="30" x14ac:dyDescent="0.25">
      <c r="A1918" s="13">
        <v>13</v>
      </c>
      <c r="B1918" s="80" t="s">
        <v>1044</v>
      </c>
      <c r="C1918" s="316">
        <v>1</v>
      </c>
      <c r="D1918" s="15" t="s">
        <v>772</v>
      </c>
      <c r="E1918" s="16">
        <v>7000</v>
      </c>
      <c r="F1918" s="16">
        <f t="shared" si="58"/>
        <v>7000</v>
      </c>
    </row>
    <row r="1919" spans="1:9" ht="30" x14ac:dyDescent="0.25">
      <c r="A1919" s="13">
        <v>14</v>
      </c>
      <c r="B1919" s="14" t="s">
        <v>1046</v>
      </c>
      <c r="C1919" s="316">
        <v>1</v>
      </c>
      <c r="D1919" s="15" t="s">
        <v>772</v>
      </c>
      <c r="E1919" s="16">
        <v>8000</v>
      </c>
      <c r="F1919" s="16">
        <f t="shared" si="58"/>
        <v>8000</v>
      </c>
    </row>
    <row r="1920" spans="1:9" x14ac:dyDescent="0.25">
      <c r="A1920" s="13">
        <v>15</v>
      </c>
      <c r="B1920" s="14" t="s">
        <v>1047</v>
      </c>
      <c r="C1920" s="316">
        <v>272</v>
      </c>
      <c r="D1920" s="15" t="s">
        <v>32</v>
      </c>
      <c r="E1920" s="16">
        <v>120</v>
      </c>
      <c r="F1920" s="16">
        <f t="shared" ref="F1920:F1983" si="59">E1920*C1920</f>
        <v>32640</v>
      </c>
    </row>
    <row r="1921" spans="1:6" x14ac:dyDescent="0.25">
      <c r="A1921" s="13">
        <v>16</v>
      </c>
      <c r="B1921" s="14" t="s">
        <v>1042</v>
      </c>
      <c r="C1921" s="316">
        <v>78</v>
      </c>
      <c r="D1921" s="15" t="s">
        <v>9</v>
      </c>
      <c r="E1921" s="16">
        <v>55</v>
      </c>
      <c r="F1921" s="16">
        <f t="shared" si="59"/>
        <v>4290</v>
      </c>
    </row>
    <row r="1922" spans="1:6" x14ac:dyDescent="0.25">
      <c r="A1922" s="13">
        <v>17</v>
      </c>
      <c r="B1922" s="14" t="s">
        <v>1048</v>
      </c>
      <c r="C1922" s="316">
        <v>1</v>
      </c>
      <c r="D1922" s="15" t="s">
        <v>407</v>
      </c>
      <c r="E1922" s="16">
        <v>4500</v>
      </c>
      <c r="F1922" s="16">
        <f t="shared" si="59"/>
        <v>4500</v>
      </c>
    </row>
    <row r="1923" spans="1:6" ht="30" x14ac:dyDescent="0.25">
      <c r="A1923" s="13">
        <v>18</v>
      </c>
      <c r="B1923" s="14" t="s">
        <v>1049</v>
      </c>
      <c r="C1923" s="316">
        <v>1</v>
      </c>
      <c r="D1923" s="15" t="s">
        <v>407</v>
      </c>
      <c r="E1923" s="16">
        <v>10500</v>
      </c>
      <c r="F1923" s="16">
        <f t="shared" si="59"/>
        <v>10500</v>
      </c>
    </row>
    <row r="1924" spans="1:6" x14ac:dyDescent="0.25">
      <c r="A1924" s="13">
        <v>19</v>
      </c>
      <c r="B1924" s="14" t="s">
        <v>1050</v>
      </c>
      <c r="C1924" s="316">
        <v>400</v>
      </c>
      <c r="D1924" s="15" t="s">
        <v>9</v>
      </c>
      <c r="E1924" s="16">
        <v>130</v>
      </c>
      <c r="F1924" s="16">
        <f t="shared" si="59"/>
        <v>52000</v>
      </c>
    </row>
    <row r="1925" spans="1:6" x14ac:dyDescent="0.25">
      <c r="A1925" s="13">
        <v>20</v>
      </c>
      <c r="B1925" s="14" t="s">
        <v>1051</v>
      </c>
      <c r="C1925" s="316">
        <v>43.5</v>
      </c>
      <c r="D1925" s="15" t="s">
        <v>33</v>
      </c>
      <c r="E1925" s="16">
        <v>95</v>
      </c>
      <c r="F1925" s="16">
        <f t="shared" si="59"/>
        <v>4132.5</v>
      </c>
    </row>
    <row r="1926" spans="1:6" x14ac:dyDescent="0.25">
      <c r="A1926" s="13">
        <v>22</v>
      </c>
      <c r="B1926" s="80" t="s">
        <v>1043</v>
      </c>
      <c r="C1926" s="316">
        <v>1</v>
      </c>
      <c r="D1926" s="15" t="s">
        <v>772</v>
      </c>
      <c r="E1926" s="16">
        <v>13500</v>
      </c>
      <c r="F1926" s="16">
        <f t="shared" si="59"/>
        <v>13500</v>
      </c>
    </row>
    <row r="1928" spans="1:6" x14ac:dyDescent="0.25">
      <c r="B1928" s="81" t="s">
        <v>224</v>
      </c>
      <c r="C1928" s="31"/>
      <c r="D1928" s="18"/>
      <c r="E1928" s="239"/>
      <c r="F1928" s="239">
        <f>SUM(F1905:F1926)</f>
        <v>333402.5</v>
      </c>
    </row>
    <row r="1929" spans="1:6" x14ac:dyDescent="0.25">
      <c r="A1929" s="19"/>
      <c r="B1929" s="20"/>
      <c r="C1929" s="320"/>
      <c r="D1929" s="21"/>
      <c r="E1929" s="243"/>
      <c r="F1929" s="243"/>
    </row>
    <row r="1930" spans="1:6" x14ac:dyDescent="0.25">
      <c r="A1930" s="46" t="s">
        <v>0</v>
      </c>
      <c r="B1930" s="28" t="s">
        <v>1</v>
      </c>
      <c r="C1930" s="329" t="s">
        <v>2</v>
      </c>
      <c r="D1930" s="28" t="s">
        <v>3</v>
      </c>
      <c r="E1930" s="262" t="s">
        <v>4</v>
      </c>
      <c r="F1930" s="262" t="s">
        <v>5</v>
      </c>
    </row>
    <row r="1931" spans="1:6" ht="30" x14ac:dyDescent="0.25">
      <c r="A1931" s="64">
        <v>1</v>
      </c>
      <c r="B1931" s="24" t="s">
        <v>935</v>
      </c>
      <c r="C1931" s="326">
        <v>1</v>
      </c>
      <c r="D1931" s="25" t="s">
        <v>11</v>
      </c>
      <c r="E1931" s="259">
        <v>48000</v>
      </c>
      <c r="F1931" s="259">
        <f>E1931*C1931</f>
        <v>48000</v>
      </c>
    </row>
    <row r="1932" spans="1:6" ht="30" x14ac:dyDescent="0.25">
      <c r="A1932" s="64">
        <v>2</v>
      </c>
      <c r="B1932" s="24" t="s">
        <v>1052</v>
      </c>
      <c r="C1932" s="326">
        <v>1.5</v>
      </c>
      <c r="D1932" s="25" t="s">
        <v>30</v>
      </c>
      <c r="E1932" s="259">
        <v>8500</v>
      </c>
      <c r="F1932" s="259">
        <f t="shared" ref="F1932:F1944" si="60">E1932*C1932</f>
        <v>12750</v>
      </c>
    </row>
    <row r="1933" spans="1:6" ht="45" x14ac:dyDescent="0.25">
      <c r="A1933" s="64">
        <v>3</v>
      </c>
      <c r="B1933" s="24" t="s">
        <v>937</v>
      </c>
      <c r="C1933" s="326">
        <v>2</v>
      </c>
      <c r="D1933" s="25" t="s">
        <v>11</v>
      </c>
      <c r="E1933" s="259">
        <v>18000</v>
      </c>
      <c r="F1933" s="259">
        <f t="shared" si="60"/>
        <v>36000</v>
      </c>
    </row>
    <row r="1934" spans="1:6" ht="60" x14ac:dyDescent="0.25">
      <c r="A1934" s="64">
        <v>4</v>
      </c>
      <c r="B1934" s="24" t="s">
        <v>686</v>
      </c>
      <c r="C1934" s="326">
        <v>26</v>
      </c>
      <c r="D1934" s="25" t="s">
        <v>33</v>
      </c>
      <c r="E1934" s="259">
        <v>1750</v>
      </c>
      <c r="F1934" s="259">
        <f t="shared" si="60"/>
        <v>45500</v>
      </c>
    </row>
    <row r="1935" spans="1:6" ht="60" x14ac:dyDescent="0.25">
      <c r="A1935" s="64">
        <v>5</v>
      </c>
      <c r="B1935" s="24" t="s">
        <v>938</v>
      </c>
      <c r="C1935" s="326">
        <v>26</v>
      </c>
      <c r="D1935" s="25" t="s">
        <v>33</v>
      </c>
      <c r="E1935" s="259">
        <v>1750</v>
      </c>
      <c r="F1935" s="259">
        <f t="shared" si="60"/>
        <v>45500</v>
      </c>
    </row>
    <row r="1936" spans="1:6" ht="45" x14ac:dyDescent="0.25">
      <c r="A1936" s="64">
        <v>6</v>
      </c>
      <c r="B1936" s="24" t="s">
        <v>1053</v>
      </c>
      <c r="C1936" s="326">
        <v>240</v>
      </c>
      <c r="D1936" s="25" t="s">
        <v>9</v>
      </c>
      <c r="E1936" s="259">
        <v>430</v>
      </c>
      <c r="F1936" s="259">
        <f t="shared" si="60"/>
        <v>103200</v>
      </c>
    </row>
    <row r="1937" spans="1:6" ht="60" x14ac:dyDescent="0.25">
      <c r="A1937" s="64">
        <v>7</v>
      </c>
      <c r="B1937" s="24" t="s">
        <v>940</v>
      </c>
      <c r="C1937" s="326">
        <v>140</v>
      </c>
      <c r="D1937" s="25" t="s">
        <v>9</v>
      </c>
      <c r="E1937" s="259">
        <v>480</v>
      </c>
      <c r="F1937" s="259">
        <f t="shared" si="60"/>
        <v>67200</v>
      </c>
    </row>
    <row r="1938" spans="1:6" ht="45" x14ac:dyDescent="0.25">
      <c r="A1938" s="64">
        <v>8</v>
      </c>
      <c r="B1938" s="24" t="s">
        <v>1054</v>
      </c>
      <c r="C1938" s="326">
        <v>460</v>
      </c>
      <c r="D1938" s="25" t="s">
        <v>9</v>
      </c>
      <c r="E1938" s="259">
        <v>145</v>
      </c>
      <c r="F1938" s="259">
        <f t="shared" si="60"/>
        <v>66700</v>
      </c>
    </row>
    <row r="1939" spans="1:6" ht="45" x14ac:dyDescent="0.25">
      <c r="A1939" s="64">
        <v>9</v>
      </c>
      <c r="B1939" s="24" t="s">
        <v>941</v>
      </c>
      <c r="C1939" s="326">
        <v>140</v>
      </c>
      <c r="D1939" s="25" t="s">
        <v>9</v>
      </c>
      <c r="E1939" s="259">
        <v>135</v>
      </c>
      <c r="F1939" s="259">
        <f t="shared" si="60"/>
        <v>18900</v>
      </c>
    </row>
    <row r="1940" spans="1:6" ht="45" x14ac:dyDescent="0.25">
      <c r="A1940" s="64">
        <v>10</v>
      </c>
      <c r="B1940" s="24" t="s">
        <v>1055</v>
      </c>
      <c r="C1940" s="326">
        <v>1</v>
      </c>
      <c r="D1940" s="25" t="s">
        <v>11</v>
      </c>
      <c r="E1940" s="259">
        <v>85000</v>
      </c>
      <c r="F1940" s="259">
        <f t="shared" si="60"/>
        <v>85000</v>
      </c>
    </row>
    <row r="1941" spans="1:6" ht="60" x14ac:dyDescent="0.25">
      <c r="A1941" s="64">
        <v>11</v>
      </c>
      <c r="B1941" s="24" t="s">
        <v>943</v>
      </c>
      <c r="C1941" s="326">
        <v>1</v>
      </c>
      <c r="D1941" s="25" t="s">
        <v>11</v>
      </c>
      <c r="E1941" s="259">
        <v>38000</v>
      </c>
      <c r="F1941" s="259">
        <f t="shared" si="60"/>
        <v>38000</v>
      </c>
    </row>
    <row r="1942" spans="1:6" ht="60" x14ac:dyDescent="0.25">
      <c r="A1942" s="64">
        <v>12</v>
      </c>
      <c r="B1942" s="24" t="s">
        <v>1056</v>
      </c>
      <c r="C1942" s="326">
        <v>91</v>
      </c>
      <c r="D1942" s="25" t="s">
        <v>9</v>
      </c>
      <c r="E1942" s="259">
        <v>1550</v>
      </c>
      <c r="F1942" s="259">
        <f t="shared" si="60"/>
        <v>141050</v>
      </c>
    </row>
    <row r="1943" spans="1:6" ht="45" x14ac:dyDescent="0.25">
      <c r="A1943" s="64">
        <v>13</v>
      </c>
      <c r="B1943" s="14" t="s">
        <v>1057</v>
      </c>
      <c r="C1943" s="316">
        <v>24</v>
      </c>
      <c r="D1943" s="15" t="s">
        <v>33</v>
      </c>
      <c r="E1943" s="16">
        <v>1650</v>
      </c>
      <c r="F1943" s="259">
        <f t="shared" si="60"/>
        <v>39600</v>
      </c>
    </row>
    <row r="1944" spans="1:6" ht="60" x14ac:dyDescent="0.25">
      <c r="A1944" s="64">
        <v>14</v>
      </c>
      <c r="B1944" s="24" t="s">
        <v>1058</v>
      </c>
      <c r="C1944" s="326">
        <v>91</v>
      </c>
      <c r="D1944" s="25" t="s">
        <v>9</v>
      </c>
      <c r="E1944" s="259">
        <v>180</v>
      </c>
      <c r="F1944" s="259">
        <f t="shared" si="60"/>
        <v>16380</v>
      </c>
    </row>
    <row r="1945" spans="1:6" x14ac:dyDescent="0.25">
      <c r="A1945" s="26"/>
      <c r="B1945" s="52"/>
      <c r="C1945" s="322"/>
      <c r="D1945" s="53"/>
      <c r="E1945" s="248"/>
      <c r="F1945" s="248"/>
    </row>
    <row r="1946" spans="1:6" x14ac:dyDescent="0.25">
      <c r="B1946" s="17" t="s">
        <v>10</v>
      </c>
      <c r="C1946" s="31"/>
      <c r="D1946" s="18"/>
      <c r="E1946" s="239"/>
      <c r="F1946" s="239">
        <f>SUM(F1931:F1944)</f>
        <v>763780</v>
      </c>
    </row>
    <row r="1948" spans="1:6" x14ac:dyDescent="0.25">
      <c r="A1948" s="46" t="s">
        <v>0</v>
      </c>
      <c r="B1948" s="28" t="s">
        <v>1</v>
      </c>
      <c r="C1948" s="329" t="s">
        <v>2</v>
      </c>
      <c r="D1948" s="28" t="s">
        <v>3</v>
      </c>
      <c r="E1948" s="262" t="s">
        <v>4</v>
      </c>
      <c r="F1948" s="262" t="s">
        <v>5</v>
      </c>
    </row>
    <row r="1949" spans="1:6" ht="30" x14ac:dyDescent="0.25">
      <c r="A1949" s="13">
        <v>1</v>
      </c>
      <c r="B1949" s="14" t="s">
        <v>1059</v>
      </c>
      <c r="C1949" s="316">
        <v>5</v>
      </c>
      <c r="D1949" s="15" t="s">
        <v>30</v>
      </c>
      <c r="E1949" s="16">
        <v>6500</v>
      </c>
      <c r="F1949" s="16">
        <f t="shared" si="59"/>
        <v>32500</v>
      </c>
    </row>
    <row r="1950" spans="1:6" x14ac:dyDescent="0.25">
      <c r="A1950" s="13">
        <v>2</v>
      </c>
      <c r="B1950" s="14" t="s">
        <v>1060</v>
      </c>
      <c r="C1950" s="316">
        <v>6</v>
      </c>
      <c r="D1950" s="15" t="s">
        <v>30</v>
      </c>
      <c r="E1950" s="16">
        <v>12000</v>
      </c>
      <c r="F1950" s="16">
        <f t="shared" si="59"/>
        <v>72000</v>
      </c>
    </row>
    <row r="1951" spans="1:6" ht="45" x14ac:dyDescent="0.25">
      <c r="A1951" s="13">
        <v>3</v>
      </c>
      <c r="B1951" s="14" t="s">
        <v>1061</v>
      </c>
      <c r="C1951" s="316">
        <v>11</v>
      </c>
      <c r="D1951" s="15" t="s">
        <v>668</v>
      </c>
      <c r="E1951" s="16">
        <v>14000</v>
      </c>
      <c r="F1951" s="16">
        <f t="shared" si="59"/>
        <v>154000</v>
      </c>
    </row>
    <row r="1952" spans="1:6" ht="60" x14ac:dyDescent="0.25">
      <c r="A1952" s="13">
        <v>4</v>
      </c>
      <c r="B1952" s="14" t="s">
        <v>1062</v>
      </c>
      <c r="C1952" s="316">
        <v>151</v>
      </c>
      <c r="D1952" s="15" t="s">
        <v>33</v>
      </c>
      <c r="E1952" s="16">
        <v>1750</v>
      </c>
      <c r="F1952" s="16">
        <f t="shared" si="59"/>
        <v>264250</v>
      </c>
    </row>
    <row r="1953" spans="1:6" ht="45" x14ac:dyDescent="0.25">
      <c r="A1953" s="13">
        <v>5</v>
      </c>
      <c r="B1953" s="14" t="s">
        <v>1063</v>
      </c>
      <c r="C1953" s="316">
        <v>132</v>
      </c>
      <c r="D1953" s="15" t="s">
        <v>33</v>
      </c>
      <c r="E1953" s="16">
        <v>1450</v>
      </c>
      <c r="F1953" s="16">
        <f t="shared" si="59"/>
        <v>191400</v>
      </c>
    </row>
    <row r="1954" spans="1:6" ht="30" x14ac:dyDescent="0.25">
      <c r="A1954" s="13">
        <v>6</v>
      </c>
      <c r="B1954" s="14" t="s">
        <v>1064</v>
      </c>
      <c r="C1954" s="316">
        <v>1280</v>
      </c>
      <c r="D1954" s="15" t="s">
        <v>9</v>
      </c>
      <c r="E1954" s="16">
        <v>370</v>
      </c>
      <c r="F1954" s="16">
        <f t="shared" si="59"/>
        <v>473600</v>
      </c>
    </row>
    <row r="1955" spans="1:6" ht="60" x14ac:dyDescent="0.25">
      <c r="A1955" s="13">
        <v>7</v>
      </c>
      <c r="B1955" s="14" t="s">
        <v>1065</v>
      </c>
      <c r="C1955" s="316">
        <v>1760</v>
      </c>
      <c r="D1955" s="15" t="s">
        <v>9</v>
      </c>
      <c r="E1955" s="16">
        <v>280</v>
      </c>
      <c r="F1955" s="16">
        <f t="shared" si="59"/>
        <v>492800</v>
      </c>
    </row>
    <row r="1956" spans="1:6" ht="60" x14ac:dyDescent="0.25">
      <c r="A1956" s="13">
        <v>8</v>
      </c>
      <c r="B1956" s="14" t="s">
        <v>1066</v>
      </c>
      <c r="C1956" s="316">
        <v>965</v>
      </c>
      <c r="D1956" s="15" t="s">
        <v>9</v>
      </c>
      <c r="E1956" s="16">
        <v>240</v>
      </c>
      <c r="F1956" s="16">
        <f t="shared" si="59"/>
        <v>231600</v>
      </c>
    </row>
    <row r="1957" spans="1:6" ht="105" x14ac:dyDescent="0.25">
      <c r="A1957" s="13">
        <v>9</v>
      </c>
      <c r="B1957" s="14" t="s">
        <v>1067</v>
      </c>
      <c r="C1957" s="316">
        <v>979</v>
      </c>
      <c r="D1957" s="15" t="s">
        <v>9</v>
      </c>
      <c r="E1957" s="16">
        <v>1300</v>
      </c>
      <c r="F1957" s="16">
        <f t="shared" si="59"/>
        <v>1272700</v>
      </c>
    </row>
    <row r="1958" spans="1:6" ht="90" x14ac:dyDescent="0.25">
      <c r="A1958" s="13">
        <v>10</v>
      </c>
      <c r="B1958" s="14" t="s">
        <v>1068</v>
      </c>
      <c r="C1958" s="316">
        <v>1</v>
      </c>
      <c r="D1958" s="15" t="s">
        <v>407</v>
      </c>
      <c r="E1958" s="16">
        <v>623000</v>
      </c>
      <c r="F1958" s="16">
        <f t="shared" si="59"/>
        <v>623000</v>
      </c>
    </row>
    <row r="1959" spans="1:6" ht="60" x14ac:dyDescent="0.25">
      <c r="A1959" s="13">
        <v>11</v>
      </c>
      <c r="B1959" s="14" t="s">
        <v>1069</v>
      </c>
      <c r="C1959" s="316">
        <v>1</v>
      </c>
      <c r="D1959" s="15" t="s">
        <v>407</v>
      </c>
      <c r="E1959" s="16">
        <v>75000</v>
      </c>
      <c r="F1959" s="16">
        <f t="shared" si="59"/>
        <v>75000</v>
      </c>
    </row>
    <row r="1960" spans="1:6" ht="30" x14ac:dyDescent="0.25">
      <c r="A1960" s="13">
        <v>12</v>
      </c>
      <c r="B1960" s="14" t="s">
        <v>1070</v>
      </c>
      <c r="C1960" s="316">
        <v>638</v>
      </c>
      <c r="D1960" s="15" t="s">
        <v>9</v>
      </c>
      <c r="E1960" s="16">
        <v>550</v>
      </c>
      <c r="F1960" s="16">
        <f t="shared" si="59"/>
        <v>350900</v>
      </c>
    </row>
    <row r="1962" spans="1:6" x14ac:dyDescent="0.25">
      <c r="B1962" s="17" t="s">
        <v>10</v>
      </c>
      <c r="C1962" s="31"/>
      <c r="D1962" s="18"/>
      <c r="E1962" s="239"/>
      <c r="F1962" s="239">
        <f>SUM(F1949:F1960)</f>
        <v>4233750</v>
      </c>
    </row>
    <row r="1964" spans="1:6" x14ac:dyDescent="0.25">
      <c r="A1964" s="46" t="s">
        <v>0</v>
      </c>
      <c r="B1964" s="28" t="s">
        <v>1</v>
      </c>
      <c r="C1964" s="329" t="s">
        <v>2</v>
      </c>
      <c r="D1964" s="28" t="s">
        <v>3</v>
      </c>
      <c r="E1964" s="262" t="s">
        <v>4</v>
      </c>
      <c r="F1964" s="262" t="s">
        <v>5</v>
      </c>
    </row>
    <row r="1965" spans="1:6" ht="30" x14ac:dyDescent="0.25">
      <c r="A1965" s="13">
        <v>1</v>
      </c>
      <c r="B1965" s="14" t="s">
        <v>1038</v>
      </c>
      <c r="C1965" s="316">
        <v>1</v>
      </c>
      <c r="D1965" s="15" t="s">
        <v>407</v>
      </c>
      <c r="E1965" s="16">
        <v>32500</v>
      </c>
      <c r="F1965" s="16">
        <f t="shared" si="59"/>
        <v>32500</v>
      </c>
    </row>
    <row r="1966" spans="1:6" ht="30" x14ac:dyDescent="0.25">
      <c r="A1966" s="13">
        <v>2</v>
      </c>
      <c r="B1966" s="14" t="s">
        <v>1031</v>
      </c>
      <c r="C1966" s="316">
        <v>1</v>
      </c>
      <c r="D1966" s="15" t="s">
        <v>407</v>
      </c>
      <c r="E1966" s="16">
        <v>5500</v>
      </c>
      <c r="F1966" s="16">
        <f t="shared" si="59"/>
        <v>5500</v>
      </c>
    </row>
    <row r="1967" spans="1:6" x14ac:dyDescent="0.25">
      <c r="A1967" s="13">
        <v>3</v>
      </c>
      <c r="B1967" s="14" t="s">
        <v>1032</v>
      </c>
      <c r="C1967" s="316">
        <v>1</v>
      </c>
      <c r="D1967" s="15" t="s">
        <v>407</v>
      </c>
      <c r="E1967" s="16">
        <v>15000</v>
      </c>
      <c r="F1967" s="16">
        <f t="shared" si="59"/>
        <v>15000</v>
      </c>
    </row>
    <row r="1968" spans="1:6" x14ac:dyDescent="0.25">
      <c r="A1968" s="13">
        <v>4</v>
      </c>
      <c r="B1968" s="14" t="s">
        <v>1033</v>
      </c>
      <c r="C1968" s="316">
        <v>48</v>
      </c>
      <c r="D1968" s="15" t="s">
        <v>9</v>
      </c>
      <c r="E1968" s="16">
        <v>125</v>
      </c>
      <c r="F1968" s="16">
        <f t="shared" si="59"/>
        <v>6000</v>
      </c>
    </row>
    <row r="1969" spans="1:6" x14ac:dyDescent="0.25">
      <c r="A1969" s="13">
        <v>5</v>
      </c>
      <c r="B1969" s="14" t="s">
        <v>998</v>
      </c>
      <c r="C1969" s="316">
        <v>685</v>
      </c>
      <c r="D1969" s="15" t="s">
        <v>9</v>
      </c>
      <c r="E1969" s="16">
        <v>75</v>
      </c>
      <c r="F1969" s="16">
        <f t="shared" si="59"/>
        <v>51375</v>
      </c>
    </row>
    <row r="1970" spans="1:6" x14ac:dyDescent="0.25">
      <c r="A1970" s="13">
        <v>6</v>
      </c>
      <c r="B1970" s="14" t="s">
        <v>1036</v>
      </c>
      <c r="C1970" s="316">
        <v>685</v>
      </c>
      <c r="D1970" s="15" t="s">
        <v>9</v>
      </c>
      <c r="E1970" s="16">
        <v>195</v>
      </c>
      <c r="F1970" s="16">
        <f t="shared" si="59"/>
        <v>133575</v>
      </c>
    </row>
    <row r="1971" spans="1:6" x14ac:dyDescent="0.25">
      <c r="A1971" s="13">
        <v>7</v>
      </c>
      <c r="B1971" s="14" t="s">
        <v>1034</v>
      </c>
      <c r="C1971" s="316">
        <v>125</v>
      </c>
      <c r="D1971" s="15" t="s">
        <v>9</v>
      </c>
      <c r="E1971" s="16">
        <v>90</v>
      </c>
      <c r="F1971" s="16">
        <f t="shared" si="59"/>
        <v>11250</v>
      </c>
    </row>
    <row r="1972" spans="1:6" x14ac:dyDescent="0.25">
      <c r="A1972" s="13">
        <v>8</v>
      </c>
      <c r="B1972" s="14" t="s">
        <v>1035</v>
      </c>
      <c r="C1972" s="316">
        <v>125</v>
      </c>
      <c r="D1972" s="15" t="s">
        <v>9</v>
      </c>
      <c r="E1972" s="16">
        <v>75</v>
      </c>
      <c r="F1972" s="16">
        <f t="shared" si="59"/>
        <v>9375</v>
      </c>
    </row>
    <row r="1973" spans="1:6" x14ac:dyDescent="0.25">
      <c r="A1973" s="13">
        <v>9</v>
      </c>
      <c r="B1973" s="14" t="s">
        <v>1037</v>
      </c>
      <c r="C1973" s="316">
        <v>125</v>
      </c>
      <c r="D1973" s="15" t="s">
        <v>9</v>
      </c>
      <c r="E1973" s="16">
        <v>185</v>
      </c>
      <c r="F1973" s="16">
        <f t="shared" si="59"/>
        <v>23125</v>
      </c>
    </row>
    <row r="1974" spans="1:6" ht="30" x14ac:dyDescent="0.25">
      <c r="A1974" s="13">
        <v>10</v>
      </c>
      <c r="B1974" s="14" t="s">
        <v>1039</v>
      </c>
      <c r="C1974" s="316">
        <v>1</v>
      </c>
      <c r="D1974" s="15" t="s">
        <v>407</v>
      </c>
      <c r="E1974" s="16">
        <v>158000</v>
      </c>
      <c r="F1974" s="16">
        <f t="shared" si="59"/>
        <v>158000</v>
      </c>
    </row>
    <row r="1976" spans="1:6" x14ac:dyDescent="0.25">
      <c r="B1976" s="17" t="s">
        <v>10</v>
      </c>
      <c r="C1976" s="31"/>
      <c r="D1976" s="18"/>
      <c r="E1976" s="239"/>
      <c r="F1976" s="239">
        <f>SUM(F1965:F1974)</f>
        <v>445700</v>
      </c>
    </row>
    <row r="1978" spans="1:6" x14ac:dyDescent="0.25">
      <c r="A1978" s="46" t="s">
        <v>0</v>
      </c>
      <c r="B1978" s="28" t="s">
        <v>1</v>
      </c>
      <c r="C1978" s="329" t="s">
        <v>2</v>
      </c>
      <c r="D1978" s="28" t="s">
        <v>3</v>
      </c>
      <c r="E1978" s="262" t="s">
        <v>4</v>
      </c>
      <c r="F1978" s="262" t="s">
        <v>5</v>
      </c>
    </row>
    <row r="1979" spans="1:6" ht="75" x14ac:dyDescent="0.25">
      <c r="A1979" s="13">
        <v>1</v>
      </c>
      <c r="B1979" s="14" t="s">
        <v>1071</v>
      </c>
      <c r="C1979" s="316">
        <v>1020</v>
      </c>
      <c r="D1979" s="15" t="s">
        <v>33</v>
      </c>
      <c r="E1979" s="16">
        <v>2100</v>
      </c>
      <c r="F1979" s="16">
        <f t="shared" si="59"/>
        <v>2142000</v>
      </c>
    </row>
    <row r="1980" spans="1:6" ht="60" x14ac:dyDescent="0.25">
      <c r="A1980" s="13">
        <v>2</v>
      </c>
      <c r="B1980" s="14" t="s">
        <v>1072</v>
      </c>
      <c r="C1980" s="316">
        <v>640</v>
      </c>
      <c r="D1980" s="15" t="s">
        <v>33</v>
      </c>
      <c r="E1980" s="16">
        <v>2350</v>
      </c>
      <c r="F1980" s="16">
        <f t="shared" si="59"/>
        <v>1504000</v>
      </c>
    </row>
    <row r="1981" spans="1:6" ht="60" x14ac:dyDescent="0.25">
      <c r="A1981" s="13">
        <v>3</v>
      </c>
      <c r="B1981" s="14" t="s">
        <v>1073</v>
      </c>
      <c r="C1981" s="316">
        <v>1020</v>
      </c>
      <c r="D1981" s="15" t="s">
        <v>33</v>
      </c>
      <c r="E1981" s="16">
        <v>2650</v>
      </c>
      <c r="F1981" s="16">
        <f t="shared" si="59"/>
        <v>2703000</v>
      </c>
    </row>
    <row r="1982" spans="1:6" ht="105" x14ac:dyDescent="0.25">
      <c r="A1982" s="13">
        <v>4</v>
      </c>
      <c r="B1982" s="14" t="s">
        <v>1074</v>
      </c>
      <c r="C1982" s="316">
        <v>1350</v>
      </c>
      <c r="D1982" s="15" t="s">
        <v>9</v>
      </c>
      <c r="E1982" s="16">
        <v>2900</v>
      </c>
      <c r="F1982" s="16">
        <f t="shared" si="59"/>
        <v>3915000</v>
      </c>
    </row>
    <row r="1983" spans="1:6" ht="75" x14ac:dyDescent="0.25">
      <c r="A1983" s="13">
        <v>5</v>
      </c>
      <c r="B1983" s="14" t="s">
        <v>1075</v>
      </c>
      <c r="C1983" s="316">
        <v>2700</v>
      </c>
      <c r="D1983" s="15" t="s">
        <v>9</v>
      </c>
      <c r="E1983" s="16">
        <v>1650</v>
      </c>
      <c r="F1983" s="16">
        <f t="shared" si="59"/>
        <v>4455000</v>
      </c>
    </row>
    <row r="1985" spans="1:6" x14ac:dyDescent="0.25">
      <c r="B1985" s="17" t="s">
        <v>10</v>
      </c>
      <c r="C1985" s="31"/>
      <c r="D1985" s="18"/>
      <c r="E1985" s="239"/>
      <c r="F1985" s="239">
        <f>SUM(F1979:F1983)</f>
        <v>14719000</v>
      </c>
    </row>
    <row r="1987" spans="1:6" x14ac:dyDescent="0.25">
      <c r="F1987" s="16">
        <f>E1987*C1987</f>
        <v>0</v>
      </c>
    </row>
    <row r="1988" spans="1:6" x14ac:dyDescent="0.25">
      <c r="A1988" s="46" t="s">
        <v>0</v>
      </c>
      <c r="B1988" s="28" t="s">
        <v>1</v>
      </c>
      <c r="C1988" s="329" t="s">
        <v>2</v>
      </c>
      <c r="D1988" s="28" t="s">
        <v>3</v>
      </c>
      <c r="E1988" s="262" t="s">
        <v>4</v>
      </c>
      <c r="F1988" s="262" t="s">
        <v>5</v>
      </c>
    </row>
    <row r="1989" spans="1:6" ht="75" x14ac:dyDescent="0.25">
      <c r="A1989" s="13">
        <v>1</v>
      </c>
      <c r="B1989" s="14" t="s">
        <v>1071</v>
      </c>
      <c r="C1989" s="316">
        <v>510</v>
      </c>
      <c r="D1989" s="15" t="s">
        <v>33</v>
      </c>
      <c r="E1989" s="16">
        <v>2100</v>
      </c>
      <c r="F1989" s="16">
        <f>E1989*C1989</f>
        <v>1071000</v>
      </c>
    </row>
    <row r="1990" spans="1:6" ht="60" x14ac:dyDescent="0.25">
      <c r="A1990" s="13">
        <v>2</v>
      </c>
      <c r="B1990" s="14" t="s">
        <v>1072</v>
      </c>
      <c r="C1990" s="316">
        <v>320</v>
      </c>
      <c r="D1990" s="15" t="s">
        <v>33</v>
      </c>
      <c r="E1990" s="16">
        <v>2350</v>
      </c>
      <c r="F1990" s="16">
        <f>E1990*C1990</f>
        <v>752000</v>
      </c>
    </row>
    <row r="1991" spans="1:6" ht="60" x14ac:dyDescent="0.25">
      <c r="A1991" s="13">
        <v>3</v>
      </c>
      <c r="B1991" s="14" t="s">
        <v>1073</v>
      </c>
      <c r="C1991" s="316">
        <v>510</v>
      </c>
      <c r="D1991" s="15" t="s">
        <v>33</v>
      </c>
      <c r="E1991" s="16">
        <v>2650</v>
      </c>
      <c r="F1991" s="16">
        <f>E1991*C1991</f>
        <v>1351500</v>
      </c>
    </row>
    <row r="1992" spans="1:6" ht="105" x14ac:dyDescent="0.25">
      <c r="A1992" s="13">
        <v>4</v>
      </c>
      <c r="B1992" s="14" t="s">
        <v>1074</v>
      </c>
      <c r="C1992" s="316">
        <v>675</v>
      </c>
      <c r="D1992" s="15" t="s">
        <v>9</v>
      </c>
      <c r="E1992" s="16">
        <v>2900</v>
      </c>
      <c r="F1992" s="16">
        <f>E1992*C1992</f>
        <v>1957500</v>
      </c>
    </row>
    <row r="1993" spans="1:6" ht="75" x14ac:dyDescent="0.25">
      <c r="A1993" s="13">
        <v>5</v>
      </c>
      <c r="B1993" s="14" t="s">
        <v>1075</v>
      </c>
      <c r="C1993" s="316">
        <v>1350</v>
      </c>
      <c r="D1993" s="15" t="s">
        <v>9</v>
      </c>
      <c r="E1993" s="16">
        <v>1650</v>
      </c>
      <c r="F1993" s="16">
        <f>E1993*C1993</f>
        <v>2227500</v>
      </c>
    </row>
    <row r="1995" spans="1:6" x14ac:dyDescent="0.25">
      <c r="B1995" s="17" t="s">
        <v>10</v>
      </c>
      <c r="C1995" s="31"/>
      <c r="D1995" s="18"/>
      <c r="E1995" s="239"/>
      <c r="F1995" s="239">
        <f>SUM(F1989:F1993)</f>
        <v>7359500</v>
      </c>
    </row>
    <row r="1997" spans="1:6" ht="15.75" thickBot="1" x14ac:dyDescent="0.3">
      <c r="F1997" s="16">
        <f>E1997*C1997</f>
        <v>0</v>
      </c>
    </row>
    <row r="1998" spans="1:6" ht="15.75" thickBot="1" x14ac:dyDescent="0.3">
      <c r="A1998" s="56" t="s">
        <v>0</v>
      </c>
      <c r="B1998" s="6" t="s">
        <v>1</v>
      </c>
      <c r="C1998" s="332" t="s">
        <v>2</v>
      </c>
      <c r="D1998" s="6" t="s">
        <v>3</v>
      </c>
      <c r="E1998" s="264" t="s">
        <v>4</v>
      </c>
      <c r="F1998" s="264" t="s">
        <v>5</v>
      </c>
    </row>
    <row r="1999" spans="1:6" ht="75.75" thickBot="1" x14ac:dyDescent="0.3">
      <c r="A1999" s="62">
        <v>1</v>
      </c>
      <c r="B1999" s="8" t="s">
        <v>1869</v>
      </c>
      <c r="C1999" s="324">
        <v>560</v>
      </c>
      <c r="D1999" s="9" t="s">
        <v>33</v>
      </c>
      <c r="E1999" s="237">
        <v>2100</v>
      </c>
      <c r="F1999" s="237">
        <f t="shared" ref="F1999:F2004" si="61">E1999*C1999</f>
        <v>1176000</v>
      </c>
    </row>
    <row r="2000" spans="1:6" ht="60.75" thickBot="1" x14ac:dyDescent="0.3">
      <c r="A2000" s="62">
        <v>2</v>
      </c>
      <c r="B2000" s="8" t="s">
        <v>1072</v>
      </c>
      <c r="C2000" s="324">
        <v>640</v>
      </c>
      <c r="D2000" s="9" t="s">
        <v>33</v>
      </c>
      <c r="E2000" s="237">
        <v>2350</v>
      </c>
      <c r="F2000" s="237">
        <f t="shared" si="61"/>
        <v>1504000</v>
      </c>
    </row>
    <row r="2001" spans="1:6" ht="60.75" thickBot="1" x14ac:dyDescent="0.3">
      <c r="A2001" s="62">
        <v>3</v>
      </c>
      <c r="B2001" s="8" t="s">
        <v>1073</v>
      </c>
      <c r="C2001" s="324">
        <v>1020</v>
      </c>
      <c r="D2001" s="9" t="s">
        <v>33</v>
      </c>
      <c r="E2001" s="237">
        <v>2650</v>
      </c>
      <c r="F2001" s="237">
        <f t="shared" si="61"/>
        <v>2703000</v>
      </c>
    </row>
    <row r="2002" spans="1:6" ht="105.75" thickBot="1" x14ac:dyDescent="0.3">
      <c r="A2002" s="62">
        <v>4</v>
      </c>
      <c r="B2002" s="8" t="s">
        <v>1076</v>
      </c>
      <c r="C2002" s="324">
        <v>1350</v>
      </c>
      <c r="D2002" s="9" t="s">
        <v>9</v>
      </c>
      <c r="E2002" s="237">
        <v>2900</v>
      </c>
      <c r="F2002" s="237">
        <f t="shared" si="61"/>
        <v>3915000</v>
      </c>
    </row>
    <row r="2003" spans="1:6" ht="45.75" thickBot="1" x14ac:dyDescent="0.3">
      <c r="A2003" s="62">
        <v>5</v>
      </c>
      <c r="B2003" s="8" t="s">
        <v>1077</v>
      </c>
      <c r="C2003" s="324">
        <v>1</v>
      </c>
      <c r="D2003" s="9" t="s">
        <v>33</v>
      </c>
      <c r="E2003" s="237">
        <v>1350</v>
      </c>
      <c r="F2003" s="237">
        <f t="shared" si="61"/>
        <v>1350</v>
      </c>
    </row>
    <row r="2004" spans="1:6" ht="75.75" thickBot="1" x14ac:dyDescent="0.3">
      <c r="A2004" s="62">
        <v>5</v>
      </c>
      <c r="B2004" s="8" t="s">
        <v>1075</v>
      </c>
      <c r="C2004" s="324">
        <v>2700</v>
      </c>
      <c r="D2004" s="9" t="s">
        <v>9</v>
      </c>
      <c r="E2004" s="237">
        <v>1650</v>
      </c>
      <c r="F2004" s="237">
        <f t="shared" si="61"/>
        <v>4455000</v>
      </c>
    </row>
    <row r="2005" spans="1:6" ht="15.75" thickBot="1" x14ac:dyDescent="0.3">
      <c r="A2005" s="62"/>
      <c r="B2005" s="8"/>
      <c r="C2005" s="324"/>
      <c r="D2005" s="9"/>
      <c r="E2005" s="237"/>
      <c r="F2005" s="237"/>
    </row>
    <row r="2006" spans="1:6" ht="15.75" thickBot="1" x14ac:dyDescent="0.3">
      <c r="A2006" s="62"/>
      <c r="B2006" s="11" t="s">
        <v>10</v>
      </c>
      <c r="C2006" s="325"/>
      <c r="D2006" s="12"/>
      <c r="E2006" s="238"/>
      <c r="F2006" s="238">
        <f>SUM(F1999:F2004)</f>
        <v>13754350</v>
      </c>
    </row>
    <row r="2007" spans="1:6" ht="15.75" thickBot="1" x14ac:dyDescent="0.3">
      <c r="A2007" s="62"/>
      <c r="B2007" s="8"/>
      <c r="C2007" s="324"/>
      <c r="D2007" s="9"/>
      <c r="E2007" s="237"/>
      <c r="F2007" s="237"/>
    </row>
    <row r="2008" spans="1:6" ht="15.75" thickBot="1" x14ac:dyDescent="0.3">
      <c r="F2008" s="16">
        <f>E2008*C2008</f>
        <v>0</v>
      </c>
    </row>
    <row r="2009" spans="1:6" ht="15.75" thickBot="1" x14ac:dyDescent="0.3">
      <c r="A2009" s="56" t="s">
        <v>0</v>
      </c>
      <c r="B2009" s="6" t="s">
        <v>1</v>
      </c>
      <c r="C2009" s="332" t="s">
        <v>2</v>
      </c>
      <c r="D2009" s="6" t="s">
        <v>3</v>
      </c>
      <c r="E2009" s="264" t="s">
        <v>4</v>
      </c>
      <c r="F2009" s="264" t="s">
        <v>5</v>
      </c>
    </row>
    <row r="2010" spans="1:6" ht="75.75" thickBot="1" x14ac:dyDescent="0.3">
      <c r="A2010" s="62">
        <v>1</v>
      </c>
      <c r="B2010" s="8" t="s">
        <v>1071</v>
      </c>
      <c r="C2010" s="324">
        <v>280</v>
      </c>
      <c r="D2010" s="9" t="s">
        <v>33</v>
      </c>
      <c r="E2010" s="237">
        <v>2100</v>
      </c>
      <c r="F2010" s="237">
        <f t="shared" ref="F2010:F2015" si="62">E2010*C2010</f>
        <v>588000</v>
      </c>
    </row>
    <row r="2011" spans="1:6" ht="60.75" thickBot="1" x14ac:dyDescent="0.3">
      <c r="A2011" s="62">
        <v>2</v>
      </c>
      <c r="B2011" s="8" t="s">
        <v>1072</v>
      </c>
      <c r="C2011" s="324">
        <v>320</v>
      </c>
      <c r="D2011" s="9" t="s">
        <v>33</v>
      </c>
      <c r="E2011" s="237">
        <v>2350</v>
      </c>
      <c r="F2011" s="237">
        <f t="shared" si="62"/>
        <v>752000</v>
      </c>
    </row>
    <row r="2012" spans="1:6" ht="60.75" thickBot="1" x14ac:dyDescent="0.3">
      <c r="A2012" s="62">
        <v>3</v>
      </c>
      <c r="B2012" s="8" t="s">
        <v>1073</v>
      </c>
      <c r="C2012" s="324">
        <v>510</v>
      </c>
      <c r="D2012" s="9" t="s">
        <v>33</v>
      </c>
      <c r="E2012" s="237">
        <v>2650</v>
      </c>
      <c r="F2012" s="237">
        <f t="shared" si="62"/>
        <v>1351500</v>
      </c>
    </row>
    <row r="2013" spans="1:6" ht="105.75" thickBot="1" x14ac:dyDescent="0.3">
      <c r="A2013" s="62">
        <v>4</v>
      </c>
      <c r="B2013" s="8" t="s">
        <v>1074</v>
      </c>
      <c r="C2013" s="324">
        <v>675</v>
      </c>
      <c r="D2013" s="9" t="s">
        <v>1078</v>
      </c>
      <c r="E2013" s="237">
        <v>2900</v>
      </c>
      <c r="F2013" s="237">
        <f t="shared" si="62"/>
        <v>1957500</v>
      </c>
    </row>
    <row r="2014" spans="1:6" ht="45.75" thickBot="1" x14ac:dyDescent="0.3">
      <c r="A2014" s="62">
        <v>5</v>
      </c>
      <c r="B2014" s="8" t="s">
        <v>1077</v>
      </c>
      <c r="C2014" s="324">
        <v>1</v>
      </c>
      <c r="D2014" s="9" t="s">
        <v>33</v>
      </c>
      <c r="E2014" s="237">
        <v>1350</v>
      </c>
      <c r="F2014" s="237">
        <f t="shared" si="62"/>
        <v>1350</v>
      </c>
    </row>
    <row r="2015" spans="1:6" ht="75.75" thickBot="1" x14ac:dyDescent="0.3">
      <c r="A2015" s="62">
        <v>6</v>
      </c>
      <c r="B2015" s="8" t="s">
        <v>1075</v>
      </c>
      <c r="C2015" s="324">
        <v>1350</v>
      </c>
      <c r="D2015" s="9" t="s">
        <v>9</v>
      </c>
      <c r="E2015" s="237">
        <v>1650</v>
      </c>
      <c r="F2015" s="237">
        <f t="shared" si="62"/>
        <v>2227500</v>
      </c>
    </row>
    <row r="2016" spans="1:6" ht="15.75" thickBot="1" x14ac:dyDescent="0.3">
      <c r="A2016" s="62"/>
      <c r="B2016" s="8"/>
      <c r="C2016" s="324"/>
      <c r="D2016" s="9"/>
      <c r="E2016" s="237"/>
      <c r="F2016" s="237"/>
    </row>
    <row r="2017" spans="1:6" ht="15.75" thickBot="1" x14ac:dyDescent="0.3">
      <c r="A2017" s="62"/>
      <c r="B2017" s="11" t="s">
        <v>10</v>
      </c>
      <c r="C2017" s="325"/>
      <c r="D2017" s="12"/>
      <c r="E2017" s="238"/>
      <c r="F2017" s="238">
        <f>SUM(F2010:F2015)</f>
        <v>6877850</v>
      </c>
    </row>
    <row r="2018" spans="1:6" ht="15.75" thickBot="1" x14ac:dyDescent="0.3">
      <c r="A2018" s="62"/>
      <c r="B2018" s="8"/>
      <c r="C2018" s="324"/>
      <c r="D2018" s="9"/>
      <c r="E2018" s="237"/>
      <c r="F2018" s="237"/>
    </row>
    <row r="2019" spans="1:6" ht="15.75" thickBot="1" x14ac:dyDescent="0.3">
      <c r="F2019" s="16">
        <f>E2019*C2019</f>
        <v>0</v>
      </c>
    </row>
    <row r="2020" spans="1:6" ht="15.75" thickBot="1" x14ac:dyDescent="0.3">
      <c r="A2020" s="56" t="s">
        <v>0</v>
      </c>
      <c r="B2020" s="6" t="s">
        <v>1</v>
      </c>
      <c r="C2020" s="332" t="s">
        <v>2</v>
      </c>
      <c r="D2020" s="6" t="s">
        <v>3</v>
      </c>
      <c r="E2020" s="264" t="s">
        <v>4</v>
      </c>
      <c r="F2020" s="264" t="s">
        <v>5</v>
      </c>
    </row>
    <row r="2021" spans="1:6" x14ac:dyDescent="0.25">
      <c r="A2021" s="13">
        <v>1</v>
      </c>
      <c r="B2021" s="14" t="s">
        <v>993</v>
      </c>
      <c r="C2021" s="316">
        <v>5.4</v>
      </c>
      <c r="D2021" s="15" t="s">
        <v>30</v>
      </c>
      <c r="E2021" s="16">
        <v>8500</v>
      </c>
      <c r="F2021" s="16">
        <f t="shared" ref="F2021:F2030" si="63">E2021*C2021</f>
        <v>45900</v>
      </c>
    </row>
    <row r="2022" spans="1:6" x14ac:dyDescent="0.25">
      <c r="A2022" s="13">
        <v>2</v>
      </c>
      <c r="B2022" s="14" t="s">
        <v>1079</v>
      </c>
      <c r="C2022" s="316">
        <v>8</v>
      </c>
      <c r="D2022" s="15" t="s">
        <v>30</v>
      </c>
      <c r="E2022" s="16">
        <v>7000</v>
      </c>
      <c r="F2022" s="16">
        <f t="shared" si="63"/>
        <v>56000</v>
      </c>
    </row>
    <row r="2023" spans="1:6" ht="60" x14ac:dyDescent="0.25">
      <c r="A2023" s="13">
        <v>3</v>
      </c>
      <c r="B2023" s="14" t="s">
        <v>1080</v>
      </c>
      <c r="C2023" s="316">
        <v>20</v>
      </c>
      <c r="D2023" s="15" t="s">
        <v>180</v>
      </c>
      <c r="E2023" s="16">
        <v>14000</v>
      </c>
      <c r="F2023" s="16">
        <f t="shared" si="63"/>
        <v>280000</v>
      </c>
    </row>
    <row r="2024" spans="1:6" ht="60" x14ac:dyDescent="0.25">
      <c r="A2024" s="13">
        <v>4</v>
      </c>
      <c r="B2024" s="14" t="s">
        <v>1081</v>
      </c>
      <c r="C2024" s="316">
        <v>280</v>
      </c>
      <c r="D2024" s="15" t="s">
        <v>33</v>
      </c>
      <c r="E2024" s="16">
        <v>1750</v>
      </c>
      <c r="F2024" s="16">
        <f t="shared" si="63"/>
        <v>490000</v>
      </c>
    </row>
    <row r="2025" spans="1:6" ht="30" x14ac:dyDescent="0.25">
      <c r="A2025" s="13">
        <v>5</v>
      </c>
      <c r="B2025" s="14" t="s">
        <v>387</v>
      </c>
      <c r="C2025" s="316">
        <v>282</v>
      </c>
      <c r="D2025" s="15" t="s">
        <v>33</v>
      </c>
      <c r="E2025" s="16">
        <v>1700</v>
      </c>
      <c r="F2025" s="16">
        <f t="shared" si="63"/>
        <v>479400</v>
      </c>
    </row>
    <row r="2026" spans="1:6" ht="75" x14ac:dyDescent="0.25">
      <c r="A2026" s="13">
        <v>6</v>
      </c>
      <c r="B2026" s="14" t="s">
        <v>687</v>
      </c>
      <c r="C2026" s="316">
        <v>243</v>
      </c>
      <c r="D2026" s="15" t="s">
        <v>33</v>
      </c>
      <c r="E2026" s="16">
        <v>1850</v>
      </c>
      <c r="F2026" s="16">
        <f t="shared" si="63"/>
        <v>449550</v>
      </c>
    </row>
    <row r="2027" spans="1:6" ht="60" x14ac:dyDescent="0.25">
      <c r="A2027" s="13">
        <v>7</v>
      </c>
      <c r="B2027" s="14" t="s">
        <v>38</v>
      </c>
      <c r="C2027" s="316">
        <v>1558</v>
      </c>
      <c r="D2027" s="15" t="s">
        <v>9</v>
      </c>
      <c r="E2027" s="16">
        <v>1400</v>
      </c>
      <c r="F2027" s="16">
        <f t="shared" si="63"/>
        <v>2181200</v>
      </c>
    </row>
    <row r="2028" spans="1:6" ht="30" x14ac:dyDescent="0.25">
      <c r="A2028" s="13">
        <v>8</v>
      </c>
      <c r="B2028" s="14" t="s">
        <v>1082</v>
      </c>
      <c r="C2028" s="316">
        <v>1</v>
      </c>
      <c r="D2028" s="15" t="s">
        <v>11</v>
      </c>
      <c r="E2028" s="16">
        <v>250000</v>
      </c>
      <c r="F2028" s="16">
        <f t="shared" si="63"/>
        <v>250000</v>
      </c>
    </row>
    <row r="2029" spans="1:6" ht="60" x14ac:dyDescent="0.25">
      <c r="A2029" s="13">
        <v>9</v>
      </c>
      <c r="B2029" s="14" t="s">
        <v>1083</v>
      </c>
      <c r="C2029" s="316">
        <v>760</v>
      </c>
      <c r="D2029" s="15" t="s">
        <v>9</v>
      </c>
      <c r="E2029" s="16">
        <v>420</v>
      </c>
      <c r="F2029" s="16">
        <f t="shared" si="63"/>
        <v>319200</v>
      </c>
    </row>
    <row r="2030" spans="1:6" ht="60" x14ac:dyDescent="0.25">
      <c r="A2030" s="13">
        <v>10</v>
      </c>
      <c r="B2030" s="14" t="s">
        <v>1084</v>
      </c>
      <c r="C2030" s="316">
        <v>1650</v>
      </c>
      <c r="D2030" s="15" t="s">
        <v>9</v>
      </c>
      <c r="E2030" s="16">
        <v>230</v>
      </c>
      <c r="F2030" s="16">
        <f t="shared" si="63"/>
        <v>379500</v>
      </c>
    </row>
    <row r="2032" spans="1:6" x14ac:dyDescent="0.25">
      <c r="B2032" s="17" t="s">
        <v>10</v>
      </c>
      <c r="C2032" s="31"/>
      <c r="D2032" s="18"/>
      <c r="E2032" s="239"/>
      <c r="F2032" s="239">
        <f>SUM(F2022:F2030,F2021)</f>
        <v>4930750</v>
      </c>
    </row>
    <row r="2033" spans="1:6" ht="15.75" thickBot="1" x14ac:dyDescent="0.3"/>
    <row r="2034" spans="1:6" ht="15.75" thickBot="1" x14ac:dyDescent="0.3">
      <c r="A2034" s="56" t="s">
        <v>0</v>
      </c>
      <c r="B2034" s="6" t="s">
        <v>1</v>
      </c>
      <c r="C2034" s="332" t="s">
        <v>2</v>
      </c>
      <c r="D2034" s="6" t="s">
        <v>3</v>
      </c>
      <c r="E2034" s="264" t="s">
        <v>4</v>
      </c>
      <c r="F2034" s="264" t="s">
        <v>5</v>
      </c>
    </row>
    <row r="2035" spans="1:6" x14ac:dyDescent="0.25">
      <c r="A2035" s="13">
        <v>1</v>
      </c>
      <c r="B2035" s="14" t="s">
        <v>993</v>
      </c>
      <c r="C2035" s="316">
        <v>3.96</v>
      </c>
      <c r="D2035" s="15" t="s">
        <v>30</v>
      </c>
      <c r="E2035" s="16">
        <v>5750</v>
      </c>
      <c r="F2035" s="16">
        <f>E2035*C2035</f>
        <v>22770</v>
      </c>
    </row>
    <row r="2036" spans="1:6" ht="45" x14ac:dyDescent="0.25">
      <c r="A2036" s="13">
        <v>2</v>
      </c>
      <c r="B2036" s="14" t="s">
        <v>1085</v>
      </c>
      <c r="C2036" s="316">
        <v>129</v>
      </c>
      <c r="D2036" s="15" t="s">
        <v>9</v>
      </c>
      <c r="E2036" s="16">
        <v>1320</v>
      </c>
      <c r="F2036" s="16">
        <f>E2036*C2036</f>
        <v>170280</v>
      </c>
    </row>
    <row r="2037" spans="1:6" ht="120" x14ac:dyDescent="0.25">
      <c r="A2037" s="13">
        <v>3</v>
      </c>
      <c r="B2037" s="14" t="s">
        <v>1086</v>
      </c>
      <c r="C2037" s="316">
        <v>1450</v>
      </c>
      <c r="D2037" s="15" t="s">
        <v>9</v>
      </c>
      <c r="E2037" s="16">
        <v>418</v>
      </c>
      <c r="F2037" s="16">
        <f>E2037*C2037</f>
        <v>606100</v>
      </c>
    </row>
    <row r="2039" spans="1:6" x14ac:dyDescent="0.25">
      <c r="B2039" s="17" t="s">
        <v>224</v>
      </c>
      <c r="C2039" s="31"/>
      <c r="D2039" s="18"/>
      <c r="E2039" s="239"/>
      <c r="F2039" s="239">
        <f>SUM(F2035:F2037)</f>
        <v>799150</v>
      </c>
    </row>
    <row r="2040" spans="1:6" ht="15.75" thickBot="1" x14ac:dyDescent="0.3"/>
    <row r="2041" spans="1:6" ht="29.25" thickBot="1" x14ac:dyDescent="0.3">
      <c r="A2041" s="82" t="s">
        <v>1087</v>
      </c>
      <c r="B2041" s="600" t="s">
        <v>1</v>
      </c>
      <c r="C2041" s="601"/>
      <c r="D2041" s="83" t="s">
        <v>3</v>
      </c>
      <c r="E2041" s="265" t="s">
        <v>4</v>
      </c>
      <c r="F2041" s="264" t="s">
        <v>5</v>
      </c>
    </row>
    <row r="2042" spans="1:6" x14ac:dyDescent="0.25">
      <c r="A2042" s="13" t="s">
        <v>1294</v>
      </c>
      <c r="B2042" s="599" t="s">
        <v>991</v>
      </c>
      <c r="C2042" s="599"/>
      <c r="F2042" s="231">
        <f>E2042*C2042</f>
        <v>0</v>
      </c>
    </row>
    <row r="2043" spans="1:6" x14ac:dyDescent="0.25">
      <c r="A2043" s="13" t="s">
        <v>1295</v>
      </c>
      <c r="B2043" s="598" t="s">
        <v>1088</v>
      </c>
      <c r="C2043" s="598"/>
      <c r="D2043" s="15" t="s">
        <v>9</v>
      </c>
      <c r="F2043" s="231">
        <f>E2043*C2043</f>
        <v>0</v>
      </c>
    </row>
    <row r="2044" spans="1:6" x14ac:dyDescent="0.25">
      <c r="A2044" s="13" t="s">
        <v>1296</v>
      </c>
      <c r="B2044" s="587" t="s">
        <v>1282</v>
      </c>
      <c r="C2044" s="588"/>
      <c r="D2044" s="15" t="s">
        <v>9</v>
      </c>
      <c r="F2044" s="231"/>
    </row>
    <row r="2045" spans="1:6" x14ac:dyDescent="0.25">
      <c r="A2045" s="13" t="s">
        <v>1297</v>
      </c>
      <c r="B2045" s="598" t="s">
        <v>1089</v>
      </c>
      <c r="C2045" s="598"/>
      <c r="D2045" s="15" t="s">
        <v>9</v>
      </c>
      <c r="F2045" s="231">
        <f>E2045*C2045</f>
        <v>0</v>
      </c>
    </row>
    <row r="2046" spans="1:6" x14ac:dyDescent="0.25">
      <c r="A2046" s="13" t="s">
        <v>1298</v>
      </c>
      <c r="B2046" s="598" t="s">
        <v>1090</v>
      </c>
      <c r="C2046" s="598"/>
      <c r="D2046" s="15" t="s">
        <v>180</v>
      </c>
      <c r="E2046" s="16">
        <v>500</v>
      </c>
      <c r="F2046" s="231">
        <f>E2046*C2046</f>
        <v>0</v>
      </c>
    </row>
    <row r="2047" spans="1:6" x14ac:dyDescent="0.25">
      <c r="A2047" s="13" t="s">
        <v>1299</v>
      </c>
      <c r="B2047" s="598" t="s">
        <v>1091</v>
      </c>
      <c r="C2047" s="598"/>
      <c r="D2047" s="15" t="s">
        <v>180</v>
      </c>
      <c r="F2047" s="231">
        <f>E2047*C2047</f>
        <v>0</v>
      </c>
    </row>
    <row r="2048" spans="1:6" x14ac:dyDescent="0.25">
      <c r="A2048" s="13" t="s">
        <v>1300</v>
      </c>
      <c r="B2048" s="598" t="s">
        <v>1092</v>
      </c>
      <c r="C2048" s="598"/>
      <c r="D2048" s="15" t="s">
        <v>9</v>
      </c>
      <c r="F2048" s="231">
        <f t="shared" ref="F2048:F2116" si="64">E2048*C2048</f>
        <v>0</v>
      </c>
    </row>
    <row r="2049" spans="1:6" x14ac:dyDescent="0.25">
      <c r="A2049" s="13" t="s">
        <v>1301</v>
      </c>
      <c r="B2049" s="598" t="s">
        <v>1093</v>
      </c>
      <c r="C2049" s="598"/>
      <c r="D2049" s="15" t="s">
        <v>9</v>
      </c>
      <c r="E2049" s="16">
        <v>25</v>
      </c>
      <c r="F2049" s="231">
        <f t="shared" si="64"/>
        <v>0</v>
      </c>
    </row>
    <row r="2050" spans="1:6" x14ac:dyDescent="0.25">
      <c r="A2050" s="13" t="s">
        <v>1302</v>
      </c>
      <c r="B2050" s="598" t="s">
        <v>1094</v>
      </c>
      <c r="C2050" s="598"/>
      <c r="D2050" s="15" t="s">
        <v>9</v>
      </c>
      <c r="F2050" s="231">
        <f t="shared" si="64"/>
        <v>0</v>
      </c>
    </row>
    <row r="2051" spans="1:6" x14ac:dyDescent="0.25">
      <c r="A2051" s="13" t="s">
        <v>1303</v>
      </c>
      <c r="B2051" s="598" t="s">
        <v>1095</v>
      </c>
      <c r="C2051" s="598"/>
      <c r="D2051" s="15" t="s">
        <v>9</v>
      </c>
      <c r="E2051" s="16">
        <v>20</v>
      </c>
      <c r="F2051" s="231">
        <f t="shared" si="64"/>
        <v>0</v>
      </c>
    </row>
    <row r="2052" spans="1:6" x14ac:dyDescent="0.25">
      <c r="A2052" s="13" t="s">
        <v>1304</v>
      </c>
      <c r="B2052" s="598" t="s">
        <v>1096</v>
      </c>
      <c r="C2052" s="598"/>
      <c r="D2052" s="15" t="s">
        <v>9</v>
      </c>
      <c r="F2052" s="231">
        <f t="shared" si="64"/>
        <v>0</v>
      </c>
    </row>
    <row r="2053" spans="1:6" x14ac:dyDescent="0.25">
      <c r="A2053" s="13" t="s">
        <v>1305</v>
      </c>
      <c r="B2053" s="598" t="s">
        <v>1097</v>
      </c>
      <c r="C2053" s="598"/>
      <c r="D2053" s="15" t="s">
        <v>9</v>
      </c>
      <c r="F2053" s="231">
        <f t="shared" si="64"/>
        <v>0</v>
      </c>
    </row>
    <row r="2054" spans="1:6" x14ac:dyDescent="0.25">
      <c r="A2054" s="13" t="s">
        <v>1306</v>
      </c>
      <c r="B2054" s="598" t="s">
        <v>1098</v>
      </c>
      <c r="C2054" s="598"/>
      <c r="D2054" s="15" t="s">
        <v>32</v>
      </c>
      <c r="F2054" s="231">
        <f t="shared" si="64"/>
        <v>0</v>
      </c>
    </row>
    <row r="2055" spans="1:6" x14ac:dyDescent="0.25">
      <c r="A2055" s="13" t="s">
        <v>1307</v>
      </c>
      <c r="B2055" s="603" t="s">
        <v>1283</v>
      </c>
      <c r="C2055" s="604"/>
      <c r="F2055" s="231"/>
    </row>
    <row r="2056" spans="1:6" x14ac:dyDescent="0.25">
      <c r="A2056" s="13" t="s">
        <v>1308</v>
      </c>
      <c r="B2056" s="587" t="s">
        <v>1284</v>
      </c>
      <c r="C2056" s="588"/>
      <c r="D2056" s="15" t="s">
        <v>9</v>
      </c>
      <c r="F2056" s="231"/>
    </row>
    <row r="2057" spans="1:6" x14ac:dyDescent="0.25">
      <c r="A2057" s="13" t="s">
        <v>1309</v>
      </c>
      <c r="B2057" s="587" t="s">
        <v>1285</v>
      </c>
      <c r="C2057" s="588"/>
      <c r="D2057" s="15" t="s">
        <v>9</v>
      </c>
      <c r="F2057" s="231"/>
    </row>
    <row r="2058" spans="1:6" x14ac:dyDescent="0.25">
      <c r="A2058" s="13" t="s">
        <v>1310</v>
      </c>
      <c r="B2058" s="587" t="s">
        <v>1286</v>
      </c>
      <c r="C2058" s="588"/>
      <c r="D2058" s="15" t="s">
        <v>32</v>
      </c>
      <c r="F2058" s="231"/>
    </row>
    <row r="2059" spans="1:6" x14ac:dyDescent="0.25">
      <c r="A2059" s="13" t="s">
        <v>1311</v>
      </c>
      <c r="B2059" s="599" t="s">
        <v>1099</v>
      </c>
      <c r="C2059" s="599"/>
      <c r="F2059" s="231">
        <f t="shared" si="64"/>
        <v>0</v>
      </c>
    </row>
    <row r="2060" spans="1:6" x14ac:dyDescent="0.25">
      <c r="A2060" s="13" t="s">
        <v>1312</v>
      </c>
      <c r="B2060" s="587" t="s">
        <v>1314</v>
      </c>
      <c r="C2060" s="588"/>
      <c r="F2060" s="231"/>
    </row>
    <row r="2061" spans="1:6" x14ac:dyDescent="0.25">
      <c r="A2061" s="13" t="s">
        <v>1313</v>
      </c>
      <c r="B2061" s="598" t="s">
        <v>1100</v>
      </c>
      <c r="C2061" s="598"/>
      <c r="D2061" s="15" t="s">
        <v>32</v>
      </c>
      <c r="E2061" s="16">
        <v>35</v>
      </c>
      <c r="F2061" s="231">
        <f t="shared" si="64"/>
        <v>0</v>
      </c>
    </row>
    <row r="2062" spans="1:6" x14ac:dyDescent="0.25">
      <c r="A2062" s="13" t="s">
        <v>1315</v>
      </c>
      <c r="B2062" s="599" t="s">
        <v>1101</v>
      </c>
      <c r="C2062" s="599"/>
      <c r="F2062" s="231">
        <f t="shared" si="64"/>
        <v>0</v>
      </c>
    </row>
    <row r="2063" spans="1:6" x14ac:dyDescent="0.25">
      <c r="A2063" s="13" t="s">
        <v>1316</v>
      </c>
      <c r="B2063" s="598" t="s">
        <v>1102</v>
      </c>
      <c r="C2063" s="598"/>
      <c r="D2063" s="15" t="s">
        <v>32</v>
      </c>
      <c r="F2063" s="231">
        <f t="shared" si="64"/>
        <v>0</v>
      </c>
    </row>
    <row r="2064" spans="1:6" x14ac:dyDescent="0.25">
      <c r="A2064" s="13" t="s">
        <v>1317</v>
      </c>
      <c r="B2064" s="598" t="s">
        <v>1103</v>
      </c>
      <c r="C2064" s="598"/>
      <c r="D2064" s="15" t="s">
        <v>32</v>
      </c>
      <c r="F2064" s="231">
        <f t="shared" si="64"/>
        <v>0</v>
      </c>
    </row>
    <row r="2065" spans="1:6" x14ac:dyDescent="0.25">
      <c r="A2065" s="13" t="s">
        <v>1318</v>
      </c>
      <c r="B2065" s="598" t="s">
        <v>1104</v>
      </c>
      <c r="C2065" s="598"/>
      <c r="D2065" s="15" t="s">
        <v>9</v>
      </c>
      <c r="F2065" s="231">
        <f t="shared" si="64"/>
        <v>0</v>
      </c>
    </row>
    <row r="2066" spans="1:6" x14ac:dyDescent="0.25">
      <c r="A2066" s="13" t="s">
        <v>1319</v>
      </c>
      <c r="B2066" s="598" t="s">
        <v>1105</v>
      </c>
      <c r="C2066" s="598"/>
      <c r="D2066" s="15" t="s">
        <v>9</v>
      </c>
      <c r="F2066" s="231">
        <f t="shared" si="64"/>
        <v>0</v>
      </c>
    </row>
    <row r="2067" spans="1:6" x14ac:dyDescent="0.25">
      <c r="A2067" s="13" t="s">
        <v>1320</v>
      </c>
      <c r="B2067" s="599" t="s">
        <v>1106</v>
      </c>
      <c r="C2067" s="599"/>
      <c r="F2067" s="231">
        <f t="shared" si="64"/>
        <v>0</v>
      </c>
    </row>
    <row r="2068" spans="1:6" x14ac:dyDescent="0.25">
      <c r="A2068" s="13" t="s">
        <v>1321</v>
      </c>
      <c r="B2068" s="598" t="s">
        <v>1107</v>
      </c>
      <c r="C2068" s="598"/>
      <c r="F2068" s="231">
        <f t="shared" si="64"/>
        <v>0</v>
      </c>
    </row>
    <row r="2069" spans="1:6" x14ac:dyDescent="0.25">
      <c r="A2069" s="13" t="s">
        <v>1322</v>
      </c>
      <c r="B2069" s="598" t="s">
        <v>1108</v>
      </c>
      <c r="C2069" s="598"/>
      <c r="D2069" s="15" t="s">
        <v>9</v>
      </c>
      <c r="F2069" s="231">
        <f t="shared" si="64"/>
        <v>0</v>
      </c>
    </row>
    <row r="2070" spans="1:6" x14ac:dyDescent="0.25">
      <c r="A2070" s="13" t="s">
        <v>1323</v>
      </c>
      <c r="B2070" s="598" t="s">
        <v>1109</v>
      </c>
      <c r="C2070" s="598"/>
      <c r="D2070" s="15" t="s">
        <v>9</v>
      </c>
      <c r="F2070" s="231">
        <f t="shared" si="64"/>
        <v>0</v>
      </c>
    </row>
    <row r="2071" spans="1:6" x14ac:dyDescent="0.25">
      <c r="A2071" s="13" t="s">
        <v>1324</v>
      </c>
      <c r="B2071" s="598" t="s">
        <v>1110</v>
      </c>
      <c r="C2071" s="598"/>
      <c r="D2071" s="15" t="s">
        <v>32</v>
      </c>
      <c r="F2071" s="231">
        <f t="shared" si="64"/>
        <v>0</v>
      </c>
    </row>
    <row r="2072" spans="1:6" x14ac:dyDescent="0.25">
      <c r="A2072" s="13" t="s">
        <v>1325</v>
      </c>
      <c r="B2072" s="598" t="s">
        <v>1111</v>
      </c>
      <c r="C2072" s="598"/>
      <c r="F2072" s="231">
        <f t="shared" si="64"/>
        <v>0</v>
      </c>
    </row>
    <row r="2073" spans="1:6" x14ac:dyDescent="0.25">
      <c r="A2073" s="13" t="s">
        <v>1326</v>
      </c>
      <c r="B2073" s="602" t="s">
        <v>1112</v>
      </c>
      <c r="C2073" s="602"/>
      <c r="F2073" s="231">
        <f t="shared" si="64"/>
        <v>0</v>
      </c>
    </row>
    <row r="2074" spans="1:6" x14ac:dyDescent="0.25">
      <c r="A2074" s="13" t="s">
        <v>1327</v>
      </c>
      <c r="B2074" s="598" t="s">
        <v>1113</v>
      </c>
      <c r="C2074" s="598"/>
      <c r="D2074" s="15" t="s">
        <v>9</v>
      </c>
      <c r="E2074" s="16">
        <v>90</v>
      </c>
      <c r="F2074" s="231">
        <f t="shared" si="64"/>
        <v>0</v>
      </c>
    </row>
    <row r="2075" spans="1:6" x14ac:dyDescent="0.25">
      <c r="A2075" s="13" t="s">
        <v>1328</v>
      </c>
      <c r="B2075" s="598" t="s">
        <v>1114</v>
      </c>
      <c r="C2075" s="598"/>
      <c r="D2075" s="15" t="s">
        <v>9</v>
      </c>
      <c r="F2075" s="231">
        <f t="shared" si="64"/>
        <v>0</v>
      </c>
    </row>
    <row r="2076" spans="1:6" x14ac:dyDescent="0.25">
      <c r="A2076" s="13" t="s">
        <v>1329</v>
      </c>
      <c r="B2076" s="602" t="s">
        <v>1115</v>
      </c>
      <c r="C2076" s="602"/>
      <c r="F2076" s="231">
        <f t="shared" si="64"/>
        <v>0</v>
      </c>
    </row>
    <row r="2077" spans="1:6" x14ac:dyDescent="0.25">
      <c r="A2077" s="13" t="s">
        <v>1330</v>
      </c>
      <c r="B2077" s="598" t="s">
        <v>1116</v>
      </c>
      <c r="C2077" s="598"/>
      <c r="D2077" s="15" t="s">
        <v>33</v>
      </c>
      <c r="E2077" s="16">
        <v>120</v>
      </c>
      <c r="F2077" s="231">
        <f t="shared" si="64"/>
        <v>0</v>
      </c>
    </row>
    <row r="2078" spans="1:6" x14ac:dyDescent="0.25">
      <c r="A2078" s="13" t="s">
        <v>1331</v>
      </c>
      <c r="B2078" s="598" t="s">
        <v>1117</v>
      </c>
      <c r="C2078" s="598"/>
      <c r="D2078" s="15" t="s">
        <v>33</v>
      </c>
      <c r="F2078" s="231">
        <f t="shared" si="64"/>
        <v>0</v>
      </c>
    </row>
    <row r="2079" spans="1:6" x14ac:dyDescent="0.25">
      <c r="A2079" s="13" t="s">
        <v>1332</v>
      </c>
      <c r="B2079" s="602" t="s">
        <v>1118</v>
      </c>
      <c r="C2079" s="602"/>
      <c r="F2079" s="231">
        <f t="shared" si="64"/>
        <v>0</v>
      </c>
    </row>
    <row r="2080" spans="1:6" x14ac:dyDescent="0.25">
      <c r="A2080" s="13" t="s">
        <v>1333</v>
      </c>
      <c r="B2080" s="598" t="s">
        <v>1116</v>
      </c>
      <c r="C2080" s="598"/>
      <c r="D2080" s="15" t="s">
        <v>33</v>
      </c>
      <c r="F2080" s="231">
        <f t="shared" si="64"/>
        <v>0</v>
      </c>
    </row>
    <row r="2081" spans="1:6" x14ac:dyDescent="0.25">
      <c r="A2081" s="13" t="s">
        <v>1334</v>
      </c>
      <c r="B2081" s="598" t="s">
        <v>1119</v>
      </c>
      <c r="C2081" s="598"/>
      <c r="D2081" s="15" t="s">
        <v>33</v>
      </c>
      <c r="F2081" s="231">
        <f t="shared" si="64"/>
        <v>0</v>
      </c>
    </row>
    <row r="2082" spans="1:6" x14ac:dyDescent="0.25">
      <c r="A2082" s="13" t="s">
        <v>1335</v>
      </c>
      <c r="B2082" s="598" t="s">
        <v>1117</v>
      </c>
      <c r="C2082" s="598"/>
      <c r="D2082" s="15" t="s">
        <v>33</v>
      </c>
      <c r="F2082" s="231">
        <f t="shared" si="64"/>
        <v>0</v>
      </c>
    </row>
    <row r="2083" spans="1:6" x14ac:dyDescent="0.25">
      <c r="A2083" s="13" t="s">
        <v>1336</v>
      </c>
      <c r="B2083" s="598" t="s">
        <v>1120</v>
      </c>
      <c r="C2083" s="598"/>
      <c r="D2083" s="15" t="s">
        <v>33</v>
      </c>
      <c r="F2083" s="231">
        <f t="shared" si="64"/>
        <v>0</v>
      </c>
    </row>
    <row r="2084" spans="1:6" x14ac:dyDescent="0.25">
      <c r="A2084" s="13" t="s">
        <v>1337</v>
      </c>
      <c r="B2084" s="602" t="s">
        <v>1121</v>
      </c>
      <c r="C2084" s="602"/>
      <c r="F2084" s="231">
        <f t="shared" si="64"/>
        <v>0</v>
      </c>
    </row>
    <row r="2085" spans="1:6" x14ac:dyDescent="0.25">
      <c r="A2085" s="13" t="s">
        <v>1338</v>
      </c>
      <c r="B2085" s="598" t="s">
        <v>1122</v>
      </c>
      <c r="C2085" s="598"/>
      <c r="D2085" s="15" t="s">
        <v>33</v>
      </c>
      <c r="F2085" s="231">
        <f t="shared" si="64"/>
        <v>0</v>
      </c>
    </row>
    <row r="2086" spans="1:6" x14ac:dyDescent="0.25">
      <c r="A2086" s="13" t="s">
        <v>1339</v>
      </c>
      <c r="B2086" s="598" t="s">
        <v>1116</v>
      </c>
      <c r="C2086" s="598"/>
      <c r="D2086" s="15" t="s">
        <v>33</v>
      </c>
      <c r="F2086" s="231">
        <f t="shared" si="64"/>
        <v>0</v>
      </c>
    </row>
    <row r="2087" spans="1:6" x14ac:dyDescent="0.25">
      <c r="A2087" s="13" t="s">
        <v>1340</v>
      </c>
      <c r="B2087" s="598" t="s">
        <v>1117</v>
      </c>
      <c r="C2087" s="598"/>
      <c r="D2087" s="15" t="s">
        <v>33</v>
      </c>
      <c r="F2087" s="231">
        <f t="shared" si="64"/>
        <v>0</v>
      </c>
    </row>
    <row r="2088" spans="1:6" x14ac:dyDescent="0.25">
      <c r="A2088" s="13" t="s">
        <v>1341</v>
      </c>
      <c r="B2088" s="598" t="s">
        <v>1120</v>
      </c>
      <c r="C2088" s="598"/>
      <c r="D2088" s="15" t="s">
        <v>33</v>
      </c>
      <c r="F2088" s="231">
        <f t="shared" si="64"/>
        <v>0</v>
      </c>
    </row>
    <row r="2089" spans="1:6" x14ac:dyDescent="0.25">
      <c r="A2089" s="13" t="s">
        <v>1342</v>
      </c>
      <c r="B2089" s="598" t="s">
        <v>1123</v>
      </c>
      <c r="C2089" s="598"/>
      <c r="D2089" s="15" t="s">
        <v>33</v>
      </c>
      <c r="F2089" s="231">
        <f t="shared" si="64"/>
        <v>0</v>
      </c>
    </row>
    <row r="2090" spans="1:6" x14ac:dyDescent="0.25">
      <c r="A2090" s="13" t="s">
        <v>1343</v>
      </c>
      <c r="B2090" s="602" t="s">
        <v>1124</v>
      </c>
      <c r="C2090" s="602"/>
      <c r="F2090" s="231">
        <f t="shared" si="64"/>
        <v>0</v>
      </c>
    </row>
    <row r="2091" spans="1:6" x14ac:dyDescent="0.25">
      <c r="A2091" s="13" t="s">
        <v>1344</v>
      </c>
      <c r="B2091" s="598" t="s">
        <v>1125</v>
      </c>
      <c r="C2091" s="598"/>
      <c r="D2091" s="15" t="s">
        <v>32</v>
      </c>
      <c r="F2091" s="231">
        <f t="shared" si="64"/>
        <v>0</v>
      </c>
    </row>
    <row r="2092" spans="1:6" x14ac:dyDescent="0.25">
      <c r="A2092" s="13" t="s">
        <v>1345</v>
      </c>
      <c r="B2092" s="602" t="s">
        <v>1130</v>
      </c>
      <c r="C2092" s="602"/>
      <c r="F2092" s="231">
        <f t="shared" si="64"/>
        <v>0</v>
      </c>
    </row>
    <row r="2093" spans="1:6" x14ac:dyDescent="0.25">
      <c r="A2093" s="13" t="s">
        <v>1346</v>
      </c>
      <c r="B2093" s="598" t="s">
        <v>1129</v>
      </c>
      <c r="C2093" s="598"/>
      <c r="F2093" s="231">
        <f t="shared" si="64"/>
        <v>0</v>
      </c>
    </row>
    <row r="2094" spans="1:6" x14ac:dyDescent="0.25">
      <c r="A2094" s="13" t="s">
        <v>1347</v>
      </c>
      <c r="B2094" s="598" t="s">
        <v>1126</v>
      </c>
      <c r="C2094" s="598"/>
      <c r="D2094" s="15" t="s">
        <v>9</v>
      </c>
      <c r="F2094" s="231">
        <f t="shared" si="64"/>
        <v>0</v>
      </c>
    </row>
    <row r="2095" spans="1:6" x14ac:dyDescent="0.25">
      <c r="A2095" s="13" t="s">
        <v>1348</v>
      </c>
      <c r="B2095" s="598" t="s">
        <v>1127</v>
      </c>
      <c r="C2095" s="598"/>
      <c r="D2095" s="15" t="s">
        <v>9</v>
      </c>
      <c r="F2095" s="231">
        <f t="shared" si="64"/>
        <v>0</v>
      </c>
    </row>
    <row r="2096" spans="1:6" x14ac:dyDescent="0.25">
      <c r="A2096" s="13" t="s">
        <v>1349</v>
      </c>
      <c r="B2096" s="598" t="s">
        <v>1128</v>
      </c>
      <c r="C2096" s="598"/>
      <c r="F2096" s="231">
        <f t="shared" si="64"/>
        <v>0</v>
      </c>
    </row>
    <row r="2097" spans="1:6" x14ac:dyDescent="0.25">
      <c r="A2097" s="13" t="s">
        <v>1350</v>
      </c>
      <c r="B2097" s="598" t="s">
        <v>1131</v>
      </c>
      <c r="C2097" s="598"/>
      <c r="D2097" s="15" t="s">
        <v>9</v>
      </c>
      <c r="F2097" s="231">
        <f t="shared" si="64"/>
        <v>0</v>
      </c>
    </row>
    <row r="2098" spans="1:6" x14ac:dyDescent="0.25">
      <c r="A2098" s="13" t="s">
        <v>1351</v>
      </c>
      <c r="B2098" s="598" t="s">
        <v>1132</v>
      </c>
      <c r="C2098" s="598"/>
      <c r="D2098" s="15" t="s">
        <v>9</v>
      </c>
      <c r="F2098" s="231">
        <f t="shared" si="64"/>
        <v>0</v>
      </c>
    </row>
    <row r="2099" spans="1:6" x14ac:dyDescent="0.25">
      <c r="A2099" s="13" t="s">
        <v>1352</v>
      </c>
      <c r="B2099" s="602" t="s">
        <v>1133</v>
      </c>
      <c r="C2099" s="602"/>
      <c r="F2099" s="231">
        <f t="shared" si="64"/>
        <v>0</v>
      </c>
    </row>
    <row r="2100" spans="1:6" x14ac:dyDescent="0.25">
      <c r="A2100" s="13" t="s">
        <v>1353</v>
      </c>
      <c r="B2100" s="598" t="s">
        <v>1134</v>
      </c>
      <c r="C2100" s="598"/>
      <c r="D2100" s="15" t="s">
        <v>1276</v>
      </c>
      <c r="F2100" s="231">
        <f t="shared" si="64"/>
        <v>0</v>
      </c>
    </row>
    <row r="2101" spans="1:6" x14ac:dyDescent="0.25">
      <c r="A2101" s="13" t="s">
        <v>1354</v>
      </c>
      <c r="B2101" s="599" t="s">
        <v>1135</v>
      </c>
      <c r="C2101" s="599"/>
      <c r="F2101" s="231">
        <f t="shared" si="64"/>
        <v>0</v>
      </c>
    </row>
    <row r="2102" spans="1:6" x14ac:dyDescent="0.25">
      <c r="A2102" s="13" t="s">
        <v>1355</v>
      </c>
      <c r="B2102" s="602" t="s">
        <v>1137</v>
      </c>
      <c r="C2102" s="602"/>
      <c r="F2102" s="231">
        <f t="shared" si="64"/>
        <v>0</v>
      </c>
    </row>
    <row r="2103" spans="1:6" x14ac:dyDescent="0.25">
      <c r="A2103" s="13" t="s">
        <v>1356</v>
      </c>
      <c r="B2103" s="598" t="s">
        <v>1136</v>
      </c>
      <c r="C2103" s="598"/>
      <c r="D2103" s="15" t="s">
        <v>9</v>
      </c>
      <c r="F2103" s="231">
        <f t="shared" si="64"/>
        <v>0</v>
      </c>
    </row>
    <row r="2104" spans="1:6" x14ac:dyDescent="0.25">
      <c r="A2104" s="13" t="s">
        <v>1357</v>
      </c>
      <c r="B2104" s="598" t="s">
        <v>1138</v>
      </c>
      <c r="C2104" s="598"/>
      <c r="D2104" s="15" t="s">
        <v>9</v>
      </c>
      <c r="E2104" s="16">
        <v>165</v>
      </c>
      <c r="F2104" s="231">
        <f t="shared" si="64"/>
        <v>0</v>
      </c>
    </row>
    <row r="2105" spans="1:6" x14ac:dyDescent="0.25">
      <c r="A2105" s="13" t="s">
        <v>1358</v>
      </c>
      <c r="B2105" s="598" t="s">
        <v>1139</v>
      </c>
      <c r="C2105" s="598"/>
      <c r="D2105" s="15" t="s">
        <v>9</v>
      </c>
      <c r="F2105" s="231">
        <f t="shared" si="64"/>
        <v>0</v>
      </c>
    </row>
    <row r="2106" spans="1:6" x14ac:dyDescent="0.25">
      <c r="A2106" s="13" t="s">
        <v>1359</v>
      </c>
      <c r="B2106" s="602" t="s">
        <v>1140</v>
      </c>
      <c r="C2106" s="602"/>
      <c r="F2106" s="231">
        <f t="shared" si="64"/>
        <v>0</v>
      </c>
    </row>
    <row r="2107" spans="1:6" x14ac:dyDescent="0.25">
      <c r="A2107" s="13" t="s">
        <v>1360</v>
      </c>
      <c r="B2107" s="598" t="s">
        <v>1141</v>
      </c>
      <c r="C2107" s="598"/>
      <c r="D2107" s="15" t="s">
        <v>9</v>
      </c>
      <c r="F2107" s="231">
        <f t="shared" si="64"/>
        <v>0</v>
      </c>
    </row>
    <row r="2108" spans="1:6" x14ac:dyDescent="0.25">
      <c r="A2108" s="13" t="s">
        <v>1361</v>
      </c>
      <c r="B2108" s="598" t="s">
        <v>1142</v>
      </c>
      <c r="C2108" s="598"/>
      <c r="D2108" s="15" t="s">
        <v>9</v>
      </c>
      <c r="F2108" s="231">
        <f t="shared" si="64"/>
        <v>0</v>
      </c>
    </row>
    <row r="2109" spans="1:6" x14ac:dyDescent="0.25">
      <c r="A2109" s="13" t="s">
        <v>1362</v>
      </c>
      <c r="B2109" s="598" t="s">
        <v>1144</v>
      </c>
      <c r="C2109" s="598"/>
      <c r="D2109" s="15" t="s">
        <v>9</v>
      </c>
      <c r="F2109" s="231">
        <f t="shared" si="64"/>
        <v>0</v>
      </c>
    </row>
    <row r="2110" spans="1:6" x14ac:dyDescent="0.25">
      <c r="A2110" s="13" t="s">
        <v>1363</v>
      </c>
      <c r="B2110" s="602" t="s">
        <v>1143</v>
      </c>
      <c r="C2110" s="602"/>
      <c r="F2110" s="231">
        <f t="shared" si="64"/>
        <v>0</v>
      </c>
    </row>
    <row r="2111" spans="1:6" x14ac:dyDescent="0.25">
      <c r="A2111" s="13" t="s">
        <v>1364</v>
      </c>
      <c r="B2111" s="598" t="s">
        <v>1141</v>
      </c>
      <c r="C2111" s="598"/>
      <c r="D2111" s="15" t="s">
        <v>9</v>
      </c>
      <c r="F2111" s="231">
        <f t="shared" si="64"/>
        <v>0</v>
      </c>
    </row>
    <row r="2112" spans="1:6" x14ac:dyDescent="0.25">
      <c r="A2112" s="13" t="s">
        <v>1365</v>
      </c>
      <c r="B2112" s="598" t="s">
        <v>1142</v>
      </c>
      <c r="C2112" s="598"/>
      <c r="D2112" s="15" t="s">
        <v>9</v>
      </c>
      <c r="F2112" s="231">
        <f t="shared" si="64"/>
        <v>0</v>
      </c>
    </row>
    <row r="2113" spans="1:6" x14ac:dyDescent="0.25">
      <c r="A2113" s="13" t="s">
        <v>1366</v>
      </c>
      <c r="B2113" s="598" t="s">
        <v>1144</v>
      </c>
      <c r="C2113" s="598"/>
      <c r="D2113" s="15" t="s">
        <v>9</v>
      </c>
      <c r="F2113" s="231">
        <f t="shared" si="64"/>
        <v>0</v>
      </c>
    </row>
    <row r="2114" spans="1:6" x14ac:dyDescent="0.25">
      <c r="A2114" s="13" t="s">
        <v>1367</v>
      </c>
      <c r="B2114" s="599" t="s">
        <v>1145</v>
      </c>
      <c r="C2114" s="599"/>
      <c r="F2114" s="231">
        <f t="shared" si="64"/>
        <v>0</v>
      </c>
    </row>
    <row r="2115" spans="1:6" x14ac:dyDescent="0.25">
      <c r="A2115" s="13" t="s">
        <v>1368</v>
      </c>
      <c r="B2115" s="599" t="s">
        <v>1146</v>
      </c>
      <c r="C2115" s="599"/>
      <c r="F2115" s="231">
        <f t="shared" si="64"/>
        <v>0</v>
      </c>
    </row>
    <row r="2116" spans="1:6" x14ac:dyDescent="0.25">
      <c r="A2116" s="13" t="s">
        <v>1369</v>
      </c>
      <c r="B2116" s="602" t="s">
        <v>1147</v>
      </c>
      <c r="C2116" s="602"/>
      <c r="F2116" s="231">
        <f t="shared" si="64"/>
        <v>0</v>
      </c>
    </row>
    <row r="2117" spans="1:6" x14ac:dyDescent="0.25">
      <c r="A2117" s="13" t="s">
        <v>1370</v>
      </c>
      <c r="B2117" s="598" t="s">
        <v>1148</v>
      </c>
      <c r="C2117" s="598"/>
      <c r="D2117" s="15" t="s">
        <v>9</v>
      </c>
      <c r="F2117" s="231">
        <f t="shared" ref="F2117:F2183" si="65">E2117*C2117</f>
        <v>0</v>
      </c>
    </row>
    <row r="2118" spans="1:6" x14ac:dyDescent="0.25">
      <c r="A2118" s="13" t="s">
        <v>1371</v>
      </c>
      <c r="B2118" s="598" t="s">
        <v>1149</v>
      </c>
      <c r="C2118" s="598"/>
      <c r="D2118" s="15" t="s">
        <v>9</v>
      </c>
      <c r="E2118" s="16">
        <v>75</v>
      </c>
      <c r="F2118" s="231">
        <f t="shared" si="65"/>
        <v>0</v>
      </c>
    </row>
    <row r="2119" spans="1:6" x14ac:dyDescent="0.25">
      <c r="A2119" s="13" t="s">
        <v>1372</v>
      </c>
      <c r="B2119" s="598" t="s">
        <v>1150</v>
      </c>
      <c r="C2119" s="598"/>
      <c r="D2119" s="15" t="s">
        <v>9</v>
      </c>
      <c r="F2119" s="231">
        <f t="shared" si="65"/>
        <v>0</v>
      </c>
    </row>
    <row r="2120" spans="1:6" x14ac:dyDescent="0.25">
      <c r="A2120" s="13" t="s">
        <v>1373</v>
      </c>
      <c r="B2120" s="602" t="s">
        <v>1151</v>
      </c>
      <c r="C2120" s="602"/>
      <c r="F2120" s="231">
        <f t="shared" si="65"/>
        <v>0</v>
      </c>
    </row>
    <row r="2121" spans="1:6" x14ac:dyDescent="0.25">
      <c r="A2121" s="13" t="s">
        <v>1374</v>
      </c>
      <c r="B2121" s="598" t="s">
        <v>1152</v>
      </c>
      <c r="C2121" s="598"/>
      <c r="D2121" s="15" t="s">
        <v>9</v>
      </c>
      <c r="F2121" s="231">
        <f t="shared" si="65"/>
        <v>0</v>
      </c>
    </row>
    <row r="2122" spans="1:6" x14ac:dyDescent="0.25">
      <c r="A2122" s="13" t="s">
        <v>1375</v>
      </c>
      <c r="B2122" s="598" t="s">
        <v>1153</v>
      </c>
      <c r="C2122" s="598"/>
      <c r="D2122" s="15" t="s">
        <v>9</v>
      </c>
      <c r="F2122" s="231">
        <f t="shared" si="65"/>
        <v>0</v>
      </c>
    </row>
    <row r="2123" spans="1:6" x14ac:dyDescent="0.25">
      <c r="A2123" s="13" t="s">
        <v>1376</v>
      </c>
      <c r="B2123" s="602" t="s">
        <v>1154</v>
      </c>
      <c r="C2123" s="602"/>
      <c r="F2123" s="231">
        <f t="shared" si="65"/>
        <v>0</v>
      </c>
    </row>
    <row r="2124" spans="1:6" x14ac:dyDescent="0.25">
      <c r="A2124" s="13" t="s">
        <v>1377</v>
      </c>
      <c r="B2124" s="598" t="s">
        <v>1155</v>
      </c>
      <c r="C2124" s="598"/>
      <c r="D2124" s="15" t="s">
        <v>33</v>
      </c>
      <c r="F2124" s="231">
        <f t="shared" si="65"/>
        <v>0</v>
      </c>
    </row>
    <row r="2125" spans="1:6" x14ac:dyDescent="0.25">
      <c r="A2125" s="13" t="s">
        <v>1378</v>
      </c>
      <c r="B2125" s="598" t="s">
        <v>1156</v>
      </c>
      <c r="C2125" s="598"/>
      <c r="D2125" s="15" t="s">
        <v>33</v>
      </c>
      <c r="F2125" s="231">
        <f t="shared" si="65"/>
        <v>0</v>
      </c>
    </row>
    <row r="2126" spans="1:6" x14ac:dyDescent="0.25">
      <c r="A2126" s="13" t="s">
        <v>1379</v>
      </c>
      <c r="B2126" s="602" t="s">
        <v>1277</v>
      </c>
      <c r="C2126" s="602"/>
      <c r="F2126" s="231">
        <f t="shared" si="65"/>
        <v>0</v>
      </c>
    </row>
    <row r="2127" spans="1:6" x14ac:dyDescent="0.25">
      <c r="A2127" s="13" t="s">
        <v>1380</v>
      </c>
      <c r="B2127" s="598" t="s">
        <v>1278</v>
      </c>
      <c r="C2127" s="598"/>
      <c r="D2127" s="15" t="s">
        <v>9</v>
      </c>
      <c r="F2127" s="231">
        <f t="shared" si="65"/>
        <v>0</v>
      </c>
    </row>
    <row r="2128" spans="1:6" x14ac:dyDescent="0.25">
      <c r="A2128" s="13" t="s">
        <v>1381</v>
      </c>
      <c r="B2128" s="598" t="s">
        <v>1279</v>
      </c>
      <c r="C2128" s="598"/>
      <c r="D2128" s="15" t="s">
        <v>9</v>
      </c>
      <c r="E2128" s="16">
        <v>75</v>
      </c>
      <c r="F2128" s="231">
        <f t="shared" si="65"/>
        <v>0</v>
      </c>
    </row>
    <row r="2129" spans="1:6" x14ac:dyDescent="0.25">
      <c r="A2129" s="13" t="s">
        <v>1382</v>
      </c>
      <c r="B2129" s="598" t="s">
        <v>1280</v>
      </c>
      <c r="C2129" s="598"/>
      <c r="D2129" s="15" t="s">
        <v>9</v>
      </c>
      <c r="E2129" s="16">
        <v>55</v>
      </c>
      <c r="F2129" s="231">
        <f t="shared" si="65"/>
        <v>0</v>
      </c>
    </row>
    <row r="2130" spans="1:6" x14ac:dyDescent="0.25">
      <c r="A2130" s="13" t="s">
        <v>1383</v>
      </c>
      <c r="B2130" s="602" t="s">
        <v>1157</v>
      </c>
      <c r="C2130" s="602"/>
      <c r="F2130" s="231">
        <f t="shared" si="65"/>
        <v>0</v>
      </c>
    </row>
    <row r="2131" spans="1:6" x14ac:dyDescent="0.25">
      <c r="A2131" s="13" t="s">
        <v>1384</v>
      </c>
      <c r="B2131" s="598" t="s">
        <v>1158</v>
      </c>
      <c r="C2131" s="598"/>
      <c r="D2131" s="15" t="s">
        <v>33</v>
      </c>
      <c r="F2131" s="231">
        <f t="shared" si="65"/>
        <v>0</v>
      </c>
    </row>
    <row r="2132" spans="1:6" x14ac:dyDescent="0.25">
      <c r="A2132" s="13" t="s">
        <v>1385</v>
      </c>
      <c r="B2132" s="599" t="s">
        <v>1159</v>
      </c>
      <c r="C2132" s="599"/>
      <c r="F2132" s="231">
        <f t="shared" si="65"/>
        <v>0</v>
      </c>
    </row>
    <row r="2133" spans="1:6" x14ac:dyDescent="0.25">
      <c r="A2133" s="13" t="s">
        <v>1386</v>
      </c>
      <c r="B2133" s="602" t="s">
        <v>1000</v>
      </c>
      <c r="C2133" s="602"/>
      <c r="F2133" s="231">
        <f t="shared" si="65"/>
        <v>0</v>
      </c>
    </row>
    <row r="2134" spans="1:6" x14ac:dyDescent="0.25">
      <c r="A2134" s="13" t="s">
        <v>1387</v>
      </c>
      <c r="B2134" s="598" t="s">
        <v>1160</v>
      </c>
      <c r="C2134" s="598"/>
      <c r="D2134" s="15" t="s">
        <v>9</v>
      </c>
      <c r="F2134" s="231">
        <f t="shared" si="65"/>
        <v>0</v>
      </c>
    </row>
    <row r="2135" spans="1:6" x14ac:dyDescent="0.25">
      <c r="A2135" s="13" t="s">
        <v>1388</v>
      </c>
      <c r="B2135" s="598" t="s">
        <v>1161</v>
      </c>
      <c r="C2135" s="598"/>
      <c r="D2135" s="15" t="s">
        <v>9</v>
      </c>
      <c r="F2135" s="231">
        <f t="shared" si="65"/>
        <v>0</v>
      </c>
    </row>
    <row r="2136" spans="1:6" x14ac:dyDescent="0.25">
      <c r="A2136" s="13" t="s">
        <v>1389</v>
      </c>
      <c r="B2136" s="598" t="s">
        <v>1162</v>
      </c>
      <c r="C2136" s="598"/>
      <c r="D2136" s="15" t="s">
        <v>9</v>
      </c>
      <c r="F2136" s="231">
        <f t="shared" si="65"/>
        <v>0</v>
      </c>
    </row>
    <row r="2137" spans="1:6" x14ac:dyDescent="0.25">
      <c r="A2137" s="13" t="s">
        <v>1390</v>
      </c>
      <c r="B2137" s="598" t="s">
        <v>1163</v>
      </c>
      <c r="C2137" s="598"/>
      <c r="D2137" s="15" t="s">
        <v>9</v>
      </c>
      <c r="E2137" s="16">
        <v>145</v>
      </c>
      <c r="F2137" s="231">
        <f t="shared" si="65"/>
        <v>0</v>
      </c>
    </row>
    <row r="2138" spans="1:6" x14ac:dyDescent="0.25">
      <c r="A2138" s="13" t="s">
        <v>1391</v>
      </c>
      <c r="B2138" s="602" t="s">
        <v>1164</v>
      </c>
      <c r="C2138" s="602"/>
      <c r="F2138" s="231">
        <f t="shared" si="65"/>
        <v>0</v>
      </c>
    </row>
    <row r="2139" spans="1:6" x14ac:dyDescent="0.25">
      <c r="A2139" s="13" t="s">
        <v>1392</v>
      </c>
      <c r="B2139" s="598" t="s">
        <v>1165</v>
      </c>
      <c r="C2139" s="598"/>
      <c r="D2139" s="15" t="s">
        <v>33</v>
      </c>
      <c r="F2139" s="231">
        <f t="shared" si="65"/>
        <v>0</v>
      </c>
    </row>
    <row r="2140" spans="1:6" x14ac:dyDescent="0.25">
      <c r="A2140" s="13" t="s">
        <v>1393</v>
      </c>
      <c r="B2140" s="602" t="s">
        <v>1166</v>
      </c>
      <c r="C2140" s="602"/>
      <c r="F2140" s="231">
        <f t="shared" si="65"/>
        <v>0</v>
      </c>
    </row>
    <row r="2141" spans="1:6" x14ac:dyDescent="0.25">
      <c r="A2141" s="13" t="s">
        <v>1394</v>
      </c>
      <c r="B2141" s="598" t="s">
        <v>1167</v>
      </c>
      <c r="C2141" s="598"/>
      <c r="D2141" s="15" t="s">
        <v>9</v>
      </c>
      <c r="F2141" s="231">
        <f t="shared" si="65"/>
        <v>0</v>
      </c>
    </row>
    <row r="2142" spans="1:6" x14ac:dyDescent="0.25">
      <c r="A2142" s="13" t="s">
        <v>1395</v>
      </c>
      <c r="B2142" s="598" t="s">
        <v>1168</v>
      </c>
      <c r="C2142" s="598"/>
      <c r="D2142" s="15" t="s">
        <v>9</v>
      </c>
      <c r="E2142" s="16">
        <v>140</v>
      </c>
      <c r="F2142" s="231">
        <f t="shared" si="65"/>
        <v>0</v>
      </c>
    </row>
    <row r="2143" spans="1:6" x14ac:dyDescent="0.25">
      <c r="A2143" s="13" t="s">
        <v>1396</v>
      </c>
      <c r="B2143" s="603" t="s">
        <v>1287</v>
      </c>
      <c r="C2143" s="604"/>
      <c r="F2143" s="231"/>
    </row>
    <row r="2144" spans="1:6" x14ac:dyDescent="0.25">
      <c r="A2144" s="13" t="s">
        <v>1397</v>
      </c>
      <c r="B2144" s="587" t="s">
        <v>1288</v>
      </c>
      <c r="C2144" s="588"/>
      <c r="D2144" s="15" t="s">
        <v>9</v>
      </c>
      <c r="F2144" s="231"/>
    </row>
    <row r="2145" spans="1:6" x14ac:dyDescent="0.25">
      <c r="A2145" s="13" t="s">
        <v>1398</v>
      </c>
      <c r="B2145" s="599" t="s">
        <v>1169</v>
      </c>
      <c r="C2145" s="599"/>
      <c r="F2145" s="231">
        <f t="shared" si="65"/>
        <v>0</v>
      </c>
    </row>
    <row r="2146" spans="1:6" x14ac:dyDescent="0.25">
      <c r="A2146" s="13" t="s">
        <v>1399</v>
      </c>
      <c r="B2146" s="598" t="s">
        <v>1170</v>
      </c>
      <c r="C2146" s="598"/>
      <c r="D2146" s="15" t="s">
        <v>9</v>
      </c>
      <c r="F2146" s="231">
        <f t="shared" si="65"/>
        <v>0</v>
      </c>
    </row>
    <row r="2147" spans="1:6" x14ac:dyDescent="0.25">
      <c r="A2147" s="13" t="s">
        <v>1400</v>
      </c>
      <c r="B2147" s="598" t="s">
        <v>1171</v>
      </c>
      <c r="C2147" s="598"/>
      <c r="D2147" s="15" t="s">
        <v>9</v>
      </c>
      <c r="F2147" s="231">
        <f t="shared" si="65"/>
        <v>0</v>
      </c>
    </row>
    <row r="2148" spans="1:6" x14ac:dyDescent="0.25">
      <c r="A2148" s="13" t="s">
        <v>1289</v>
      </c>
      <c r="B2148" s="599" t="s">
        <v>1172</v>
      </c>
      <c r="C2148" s="599"/>
      <c r="F2148" s="231">
        <f t="shared" si="65"/>
        <v>0</v>
      </c>
    </row>
    <row r="2149" spans="1:6" x14ac:dyDescent="0.25">
      <c r="A2149" s="13" t="s">
        <v>1290</v>
      </c>
      <c r="B2149" s="598" t="s">
        <v>1173</v>
      </c>
      <c r="C2149" s="598"/>
      <c r="D2149" s="15" t="s">
        <v>180</v>
      </c>
      <c r="F2149" s="231">
        <f t="shared" si="65"/>
        <v>0</v>
      </c>
    </row>
    <row r="2150" spans="1:6" x14ac:dyDescent="0.25">
      <c r="A2150" s="13" t="s">
        <v>1291</v>
      </c>
      <c r="B2150" s="598" t="s">
        <v>1174</v>
      </c>
      <c r="C2150" s="598"/>
      <c r="D2150" s="15" t="s">
        <v>180</v>
      </c>
      <c r="F2150" s="231">
        <f t="shared" si="65"/>
        <v>0</v>
      </c>
    </row>
    <row r="2151" spans="1:6" x14ac:dyDescent="0.25">
      <c r="A2151" s="13" t="s">
        <v>1292</v>
      </c>
      <c r="B2151" s="598" t="s">
        <v>1175</v>
      </c>
      <c r="C2151" s="598"/>
      <c r="D2151" s="15" t="s">
        <v>180</v>
      </c>
      <c r="F2151" s="231">
        <f t="shared" si="65"/>
        <v>0</v>
      </c>
    </row>
    <row r="2152" spans="1:6" ht="15.75" thickBot="1" x14ac:dyDescent="0.3">
      <c r="A2152" s="13" t="s">
        <v>1293</v>
      </c>
      <c r="B2152" s="598" t="s">
        <v>1176</v>
      </c>
      <c r="C2152" s="598"/>
      <c r="D2152" s="15" t="s">
        <v>180</v>
      </c>
      <c r="F2152" s="231">
        <f t="shared" si="65"/>
        <v>0</v>
      </c>
    </row>
    <row r="2153" spans="1:6" ht="28.5" x14ac:dyDescent="0.25">
      <c r="A2153" s="82" t="s">
        <v>1087</v>
      </c>
      <c r="B2153" s="600" t="s">
        <v>1</v>
      </c>
      <c r="C2153" s="601"/>
      <c r="D2153" s="83" t="s">
        <v>3</v>
      </c>
      <c r="E2153" s="265" t="s">
        <v>4</v>
      </c>
      <c r="F2153" s="231"/>
    </row>
    <row r="2154" spans="1:6" x14ac:dyDescent="0.25">
      <c r="A2154" s="13" t="s">
        <v>1294</v>
      </c>
      <c r="B2154" s="599" t="s">
        <v>1177</v>
      </c>
      <c r="C2154" s="599"/>
      <c r="F2154" s="231">
        <f t="shared" si="65"/>
        <v>0</v>
      </c>
    </row>
    <row r="2155" spans="1:6" x14ac:dyDescent="0.25">
      <c r="A2155" s="13" t="s">
        <v>1295</v>
      </c>
      <c r="B2155" s="598" t="s">
        <v>1178</v>
      </c>
      <c r="C2155" s="598"/>
      <c r="D2155" s="15" t="s">
        <v>9</v>
      </c>
      <c r="F2155" s="231">
        <f t="shared" si="65"/>
        <v>0</v>
      </c>
    </row>
    <row r="2156" spans="1:6" x14ac:dyDescent="0.25">
      <c r="A2156" s="13" t="s">
        <v>1296</v>
      </c>
      <c r="B2156" s="598" t="s">
        <v>1179</v>
      </c>
      <c r="C2156" s="598"/>
      <c r="D2156" s="15" t="s">
        <v>9</v>
      </c>
      <c r="F2156" s="231">
        <f t="shared" si="65"/>
        <v>0</v>
      </c>
    </row>
    <row r="2157" spans="1:6" x14ac:dyDescent="0.25">
      <c r="A2157" s="13" t="s">
        <v>1297</v>
      </c>
      <c r="B2157" s="598" t="s">
        <v>1180</v>
      </c>
      <c r="C2157" s="598"/>
      <c r="D2157" s="15" t="s">
        <v>9</v>
      </c>
      <c r="F2157" s="231">
        <f t="shared" si="65"/>
        <v>0</v>
      </c>
    </row>
    <row r="2158" spans="1:6" x14ac:dyDescent="0.25">
      <c r="A2158" s="13" t="s">
        <v>1298</v>
      </c>
      <c r="B2158" s="598" t="s">
        <v>1181</v>
      </c>
      <c r="C2158" s="598"/>
      <c r="D2158" s="15" t="s">
        <v>9</v>
      </c>
      <c r="F2158" s="231">
        <f t="shared" si="65"/>
        <v>0</v>
      </c>
    </row>
    <row r="2159" spans="1:6" x14ac:dyDescent="0.25">
      <c r="A2159" s="13" t="s">
        <v>1299</v>
      </c>
      <c r="B2159" s="598" t="s">
        <v>1182</v>
      </c>
      <c r="C2159" s="598"/>
      <c r="D2159" s="15" t="s">
        <v>9</v>
      </c>
      <c r="F2159" s="231">
        <f t="shared" si="65"/>
        <v>0</v>
      </c>
    </row>
    <row r="2160" spans="1:6" x14ac:dyDescent="0.25">
      <c r="A2160" s="13" t="s">
        <v>1300</v>
      </c>
      <c r="B2160" s="598" t="s">
        <v>1183</v>
      </c>
      <c r="C2160" s="598"/>
      <c r="D2160" s="15" t="s">
        <v>9</v>
      </c>
      <c r="F2160" s="231">
        <f t="shared" si="65"/>
        <v>0</v>
      </c>
    </row>
    <row r="2161" spans="1:6" x14ac:dyDescent="0.25">
      <c r="A2161" s="13" t="s">
        <v>1301</v>
      </c>
      <c r="B2161" s="598" t="s">
        <v>1184</v>
      </c>
      <c r="C2161" s="598"/>
      <c r="D2161" s="15" t="s">
        <v>9</v>
      </c>
      <c r="F2161" s="231">
        <f t="shared" si="65"/>
        <v>0</v>
      </c>
    </row>
    <row r="2162" spans="1:6" x14ac:dyDescent="0.25">
      <c r="A2162" s="13" t="s">
        <v>1307</v>
      </c>
      <c r="B2162" s="599" t="s">
        <v>1185</v>
      </c>
      <c r="C2162" s="599"/>
      <c r="F2162" s="231">
        <f t="shared" si="65"/>
        <v>0</v>
      </c>
    </row>
    <row r="2163" spans="1:6" x14ac:dyDescent="0.25">
      <c r="A2163" s="13" t="s">
        <v>1308</v>
      </c>
      <c r="B2163" s="598" t="s">
        <v>1187</v>
      </c>
      <c r="C2163" s="598"/>
      <c r="D2163" s="15" t="s">
        <v>9</v>
      </c>
      <c r="F2163" s="231">
        <f t="shared" si="65"/>
        <v>0</v>
      </c>
    </row>
    <row r="2164" spans="1:6" x14ac:dyDescent="0.25">
      <c r="A2164" s="13" t="s">
        <v>1309</v>
      </c>
      <c r="B2164" s="598" t="s">
        <v>1186</v>
      </c>
      <c r="C2164" s="598"/>
      <c r="D2164" s="15" t="s">
        <v>9</v>
      </c>
      <c r="E2164" s="16">
        <v>30</v>
      </c>
      <c r="F2164" s="231">
        <f t="shared" si="65"/>
        <v>0</v>
      </c>
    </row>
    <row r="2165" spans="1:6" x14ac:dyDescent="0.25">
      <c r="A2165" s="13" t="s">
        <v>1310</v>
      </c>
      <c r="B2165" s="598" t="s">
        <v>1188</v>
      </c>
      <c r="C2165" s="598"/>
      <c r="D2165" s="15" t="s">
        <v>9</v>
      </c>
      <c r="E2165" s="16">
        <v>10</v>
      </c>
      <c r="F2165" s="231">
        <f t="shared" si="65"/>
        <v>0</v>
      </c>
    </row>
    <row r="2166" spans="1:6" x14ac:dyDescent="0.25">
      <c r="A2166" s="13" t="s">
        <v>1401</v>
      </c>
      <c r="B2166" s="598" t="s">
        <v>1189</v>
      </c>
      <c r="C2166" s="598"/>
      <c r="D2166" s="15" t="s">
        <v>9</v>
      </c>
      <c r="F2166" s="231">
        <f t="shared" si="65"/>
        <v>0</v>
      </c>
    </row>
    <row r="2167" spans="1:6" x14ac:dyDescent="0.25">
      <c r="A2167" s="13" t="s">
        <v>1402</v>
      </c>
      <c r="B2167" s="598" t="s">
        <v>1190</v>
      </c>
      <c r="C2167" s="598"/>
      <c r="D2167" s="15" t="s">
        <v>9</v>
      </c>
      <c r="F2167" s="231">
        <f t="shared" si="65"/>
        <v>0</v>
      </c>
    </row>
    <row r="2168" spans="1:6" x14ac:dyDescent="0.25">
      <c r="A2168" s="13" t="s">
        <v>1403</v>
      </c>
      <c r="B2168" s="598" t="s">
        <v>1191</v>
      </c>
      <c r="C2168" s="598"/>
      <c r="D2168" s="15" t="s">
        <v>9</v>
      </c>
      <c r="E2168" s="16">
        <v>30</v>
      </c>
      <c r="F2168" s="231">
        <f t="shared" si="65"/>
        <v>0</v>
      </c>
    </row>
    <row r="2169" spans="1:6" x14ac:dyDescent="0.25">
      <c r="A2169" s="13" t="s">
        <v>1311</v>
      </c>
      <c r="B2169" s="599" t="s">
        <v>1192</v>
      </c>
      <c r="C2169" s="599"/>
      <c r="F2169" s="231">
        <f t="shared" si="65"/>
        <v>0</v>
      </c>
    </row>
    <row r="2170" spans="1:6" x14ac:dyDescent="0.25">
      <c r="A2170" s="13" t="s">
        <v>1312</v>
      </c>
      <c r="B2170" s="598" t="s">
        <v>1190</v>
      </c>
      <c r="C2170" s="598"/>
      <c r="D2170" s="15" t="s">
        <v>9</v>
      </c>
      <c r="F2170" s="231">
        <f t="shared" si="65"/>
        <v>0</v>
      </c>
    </row>
    <row r="2171" spans="1:6" x14ac:dyDescent="0.25">
      <c r="A2171" s="13" t="s">
        <v>1313</v>
      </c>
      <c r="B2171" s="598" t="s">
        <v>1191</v>
      </c>
      <c r="C2171" s="598"/>
      <c r="D2171" s="15" t="s">
        <v>9</v>
      </c>
      <c r="F2171" s="231">
        <f t="shared" si="65"/>
        <v>0</v>
      </c>
    </row>
    <row r="2172" spans="1:6" x14ac:dyDescent="0.25">
      <c r="A2172" s="13" t="s">
        <v>1404</v>
      </c>
      <c r="B2172" s="599" t="s">
        <v>1193</v>
      </c>
      <c r="C2172" s="599"/>
      <c r="F2172" s="231">
        <f t="shared" si="65"/>
        <v>0</v>
      </c>
    </row>
    <row r="2173" spans="1:6" x14ac:dyDescent="0.25">
      <c r="A2173" s="13" t="s">
        <v>1405</v>
      </c>
      <c r="B2173" s="598" t="s">
        <v>1194</v>
      </c>
      <c r="C2173" s="598"/>
      <c r="D2173" s="15" t="s">
        <v>9</v>
      </c>
      <c r="F2173" s="231">
        <f t="shared" si="65"/>
        <v>0</v>
      </c>
    </row>
    <row r="2174" spans="1:6" x14ac:dyDescent="0.25">
      <c r="A2174" s="13" t="s">
        <v>1406</v>
      </c>
      <c r="B2174" s="598" t="s">
        <v>1195</v>
      </c>
      <c r="C2174" s="598"/>
      <c r="D2174" s="15" t="s">
        <v>9</v>
      </c>
      <c r="F2174" s="231">
        <f t="shared" si="65"/>
        <v>0</v>
      </c>
    </row>
    <row r="2175" spans="1:6" x14ac:dyDescent="0.25">
      <c r="A2175" s="13" t="s">
        <v>1407</v>
      </c>
      <c r="B2175" s="598" t="s">
        <v>1196</v>
      </c>
      <c r="C2175" s="598"/>
      <c r="D2175" s="15" t="s">
        <v>9</v>
      </c>
      <c r="F2175" s="231">
        <f t="shared" si="65"/>
        <v>0</v>
      </c>
    </row>
    <row r="2176" spans="1:6" x14ac:dyDescent="0.25">
      <c r="A2176" s="13" t="s">
        <v>1315</v>
      </c>
      <c r="B2176" s="599" t="s">
        <v>1197</v>
      </c>
      <c r="C2176" s="599"/>
      <c r="F2176" s="231">
        <f t="shared" si="65"/>
        <v>0</v>
      </c>
    </row>
    <row r="2177" spans="1:6" x14ac:dyDescent="0.25">
      <c r="A2177" s="13" t="s">
        <v>1316</v>
      </c>
      <c r="B2177" s="598" t="s">
        <v>1198</v>
      </c>
      <c r="C2177" s="598"/>
      <c r="D2177" s="15" t="s">
        <v>9</v>
      </c>
      <c r="F2177" s="231">
        <f t="shared" si="65"/>
        <v>0</v>
      </c>
    </row>
    <row r="2178" spans="1:6" x14ac:dyDescent="0.25">
      <c r="A2178" s="13" t="s">
        <v>1317</v>
      </c>
      <c r="B2178" s="598" t="s">
        <v>1199</v>
      </c>
      <c r="C2178" s="598"/>
      <c r="D2178" s="15" t="s">
        <v>9</v>
      </c>
      <c r="E2178" s="16">
        <v>35</v>
      </c>
      <c r="F2178" s="231">
        <f t="shared" si="65"/>
        <v>0</v>
      </c>
    </row>
    <row r="2179" spans="1:6" x14ac:dyDescent="0.25">
      <c r="A2179" s="13" t="s">
        <v>1320</v>
      </c>
      <c r="B2179" s="599" t="s">
        <v>1200</v>
      </c>
      <c r="C2179" s="599"/>
      <c r="F2179" s="231">
        <f t="shared" si="65"/>
        <v>0</v>
      </c>
    </row>
    <row r="2180" spans="1:6" x14ac:dyDescent="0.25">
      <c r="A2180" s="13" t="s">
        <v>1321</v>
      </c>
      <c r="B2180" s="598" t="s">
        <v>1201</v>
      </c>
      <c r="C2180" s="598"/>
      <c r="D2180" s="15" t="s">
        <v>9</v>
      </c>
      <c r="F2180" s="231">
        <f t="shared" si="65"/>
        <v>0</v>
      </c>
    </row>
    <row r="2181" spans="1:6" x14ac:dyDescent="0.25">
      <c r="A2181" s="13" t="s">
        <v>1325</v>
      </c>
      <c r="B2181" s="598" t="s">
        <v>1202</v>
      </c>
      <c r="C2181" s="598"/>
      <c r="D2181" s="15" t="s">
        <v>9</v>
      </c>
      <c r="F2181" s="231">
        <f t="shared" si="65"/>
        <v>0</v>
      </c>
    </row>
    <row r="2182" spans="1:6" x14ac:dyDescent="0.25">
      <c r="A2182" s="13" t="s">
        <v>1343</v>
      </c>
      <c r="B2182" s="598" t="s">
        <v>1203</v>
      </c>
      <c r="C2182" s="598"/>
      <c r="D2182" s="15" t="s">
        <v>9</v>
      </c>
      <c r="F2182" s="231">
        <f t="shared" si="65"/>
        <v>0</v>
      </c>
    </row>
    <row r="2183" spans="1:6" x14ac:dyDescent="0.25">
      <c r="A2183" s="13" t="s">
        <v>1345</v>
      </c>
      <c r="B2183" s="598" t="s">
        <v>1204</v>
      </c>
      <c r="C2183" s="598"/>
      <c r="D2183" s="15" t="s">
        <v>9</v>
      </c>
      <c r="F2183" s="231">
        <f t="shared" si="65"/>
        <v>0</v>
      </c>
    </row>
    <row r="2184" spans="1:6" x14ac:dyDescent="0.25">
      <c r="A2184" s="13" t="s">
        <v>1354</v>
      </c>
      <c r="B2184" s="599" t="s">
        <v>1205</v>
      </c>
      <c r="C2184" s="599"/>
      <c r="F2184" s="231">
        <f t="shared" ref="F2184:F2253" si="66">E2184*C2184</f>
        <v>0</v>
      </c>
    </row>
    <row r="2185" spans="1:6" x14ac:dyDescent="0.25">
      <c r="A2185" s="13" t="s">
        <v>1355</v>
      </c>
      <c r="B2185" s="598" t="s">
        <v>1206</v>
      </c>
      <c r="C2185" s="598"/>
      <c r="D2185" s="15" t="s">
        <v>9</v>
      </c>
      <c r="F2185" s="231">
        <f t="shared" si="66"/>
        <v>0</v>
      </c>
    </row>
    <row r="2186" spans="1:6" x14ac:dyDescent="0.25">
      <c r="A2186" s="13" t="s">
        <v>1359</v>
      </c>
      <c r="B2186" s="598" t="s">
        <v>1207</v>
      </c>
      <c r="C2186" s="598"/>
      <c r="D2186" s="15" t="s">
        <v>9</v>
      </c>
      <c r="F2186" s="231">
        <f t="shared" si="66"/>
        <v>0</v>
      </c>
    </row>
    <row r="2187" spans="1:6" x14ac:dyDescent="0.25">
      <c r="A2187" s="13" t="s">
        <v>1367</v>
      </c>
      <c r="B2187" s="599" t="s">
        <v>1208</v>
      </c>
      <c r="C2187" s="599"/>
      <c r="F2187" s="231">
        <f t="shared" si="66"/>
        <v>0</v>
      </c>
    </row>
    <row r="2188" spans="1:6" x14ac:dyDescent="0.25">
      <c r="A2188" s="13" t="s">
        <v>1408</v>
      </c>
      <c r="B2188" s="598" t="s">
        <v>1209</v>
      </c>
      <c r="C2188" s="598"/>
      <c r="D2188" s="15" t="s">
        <v>9</v>
      </c>
      <c r="F2188" s="231">
        <f t="shared" si="66"/>
        <v>0</v>
      </c>
    </row>
    <row r="2189" spans="1:6" x14ac:dyDescent="0.25">
      <c r="A2189" s="13" t="s">
        <v>1409</v>
      </c>
      <c r="B2189" s="598" t="s">
        <v>1210</v>
      </c>
      <c r="C2189" s="598"/>
      <c r="D2189" s="15" t="s">
        <v>9</v>
      </c>
      <c r="F2189" s="231">
        <f t="shared" si="66"/>
        <v>0</v>
      </c>
    </row>
    <row r="2190" spans="1:6" x14ac:dyDescent="0.25">
      <c r="A2190" s="13" t="s">
        <v>1410</v>
      </c>
      <c r="B2190" s="598" t="s">
        <v>1211</v>
      </c>
      <c r="C2190" s="598"/>
      <c r="D2190" s="15" t="s">
        <v>9</v>
      </c>
      <c r="F2190" s="231">
        <f t="shared" si="66"/>
        <v>0</v>
      </c>
    </row>
    <row r="2191" spans="1:6" x14ac:dyDescent="0.25">
      <c r="A2191" s="13" t="s">
        <v>1411</v>
      </c>
      <c r="B2191" s="598" t="s">
        <v>1212</v>
      </c>
      <c r="C2191" s="598"/>
      <c r="D2191" s="15" t="s">
        <v>9</v>
      </c>
      <c r="F2191" s="231">
        <f t="shared" si="66"/>
        <v>0</v>
      </c>
    </row>
    <row r="2192" spans="1:6" x14ac:dyDescent="0.25">
      <c r="A2192" s="13" t="s">
        <v>1412</v>
      </c>
      <c r="B2192" s="598" t="s">
        <v>1213</v>
      </c>
      <c r="C2192" s="598"/>
      <c r="D2192" s="15" t="s">
        <v>9</v>
      </c>
      <c r="F2192" s="231">
        <f t="shared" si="66"/>
        <v>0</v>
      </c>
    </row>
    <row r="2193" spans="1:6" ht="15.75" thickBot="1" x14ac:dyDescent="0.3">
      <c r="A2193" s="13" t="s">
        <v>1413</v>
      </c>
      <c r="B2193" s="598" t="s">
        <v>1214</v>
      </c>
      <c r="C2193" s="598"/>
      <c r="D2193" s="15" t="s">
        <v>9</v>
      </c>
      <c r="F2193" s="231">
        <f t="shared" si="66"/>
        <v>0</v>
      </c>
    </row>
    <row r="2194" spans="1:6" ht="28.5" x14ac:dyDescent="0.25">
      <c r="A2194" s="82" t="s">
        <v>1087</v>
      </c>
      <c r="B2194" s="600" t="s">
        <v>1</v>
      </c>
      <c r="C2194" s="601"/>
      <c r="D2194" s="83" t="s">
        <v>3</v>
      </c>
      <c r="E2194" s="265" t="s">
        <v>4</v>
      </c>
      <c r="F2194" s="231"/>
    </row>
    <row r="2195" spans="1:6" x14ac:dyDescent="0.25">
      <c r="A2195" s="13" t="s">
        <v>1294</v>
      </c>
      <c r="B2195" s="599" t="s">
        <v>1215</v>
      </c>
      <c r="C2195" s="599"/>
      <c r="F2195" s="231">
        <f t="shared" si="66"/>
        <v>0</v>
      </c>
    </row>
    <row r="2196" spans="1:6" x14ac:dyDescent="0.25">
      <c r="A2196" s="13" t="s">
        <v>1295</v>
      </c>
      <c r="B2196" s="598" t="s">
        <v>1216</v>
      </c>
      <c r="C2196" s="598"/>
      <c r="D2196" s="15" t="s">
        <v>9</v>
      </c>
      <c r="F2196" s="231">
        <f t="shared" si="66"/>
        <v>0</v>
      </c>
    </row>
    <row r="2197" spans="1:6" x14ac:dyDescent="0.25">
      <c r="A2197" s="13" t="s">
        <v>1296</v>
      </c>
      <c r="B2197" s="598" t="s">
        <v>1217</v>
      </c>
      <c r="C2197" s="598"/>
      <c r="D2197" s="15" t="s">
        <v>9</v>
      </c>
      <c r="F2197" s="231">
        <f t="shared" si="66"/>
        <v>0</v>
      </c>
    </row>
    <row r="2198" spans="1:6" x14ac:dyDescent="0.25">
      <c r="A2198" s="13" t="s">
        <v>1297</v>
      </c>
      <c r="B2198" s="598" t="s">
        <v>1218</v>
      </c>
      <c r="C2198" s="598"/>
      <c r="D2198" s="15" t="s">
        <v>9</v>
      </c>
      <c r="F2198" s="231">
        <f t="shared" si="66"/>
        <v>0</v>
      </c>
    </row>
    <row r="2199" spans="1:6" x14ac:dyDescent="0.25">
      <c r="A2199" s="13" t="s">
        <v>1298</v>
      </c>
      <c r="B2199" s="598" t="s">
        <v>1219</v>
      </c>
      <c r="C2199" s="598"/>
      <c r="D2199" s="15" t="s">
        <v>9</v>
      </c>
      <c r="F2199" s="231">
        <f t="shared" si="66"/>
        <v>0</v>
      </c>
    </row>
    <row r="2200" spans="1:6" x14ac:dyDescent="0.25">
      <c r="A2200" s="13" t="s">
        <v>1307</v>
      </c>
      <c r="B2200" s="599" t="s">
        <v>1220</v>
      </c>
      <c r="C2200" s="599"/>
      <c r="F2200" s="231">
        <f t="shared" si="66"/>
        <v>0</v>
      </c>
    </row>
    <row r="2201" spans="1:6" x14ac:dyDescent="0.25">
      <c r="A2201" s="13" t="s">
        <v>1308</v>
      </c>
      <c r="B2201" s="598" t="s">
        <v>1216</v>
      </c>
      <c r="C2201" s="598"/>
      <c r="D2201" s="15" t="s">
        <v>9</v>
      </c>
      <c r="F2201" s="231">
        <f t="shared" si="66"/>
        <v>0</v>
      </c>
    </row>
    <row r="2202" spans="1:6" x14ac:dyDescent="0.25">
      <c r="A2202" s="13" t="s">
        <v>1309</v>
      </c>
      <c r="B2202" s="598" t="s">
        <v>1217</v>
      </c>
      <c r="C2202" s="598"/>
      <c r="D2202" s="15" t="s">
        <v>9</v>
      </c>
      <c r="F2202" s="231">
        <f t="shared" si="66"/>
        <v>0</v>
      </c>
    </row>
    <row r="2203" spans="1:6" x14ac:dyDescent="0.25">
      <c r="A2203" s="13" t="s">
        <v>1310</v>
      </c>
      <c r="B2203" s="598" t="s">
        <v>1218</v>
      </c>
      <c r="C2203" s="598"/>
      <c r="D2203" s="15" t="s">
        <v>9</v>
      </c>
      <c r="F2203" s="231">
        <f t="shared" si="66"/>
        <v>0</v>
      </c>
    </row>
    <row r="2204" spans="1:6" x14ac:dyDescent="0.25">
      <c r="A2204" s="13" t="s">
        <v>1401</v>
      </c>
      <c r="B2204" s="598" t="s">
        <v>1219</v>
      </c>
      <c r="C2204" s="598"/>
      <c r="D2204" s="15" t="s">
        <v>9</v>
      </c>
      <c r="F2204" s="231">
        <f t="shared" si="66"/>
        <v>0</v>
      </c>
    </row>
    <row r="2205" spans="1:6" x14ac:dyDescent="0.25">
      <c r="A2205" s="13" t="s">
        <v>1311</v>
      </c>
      <c r="B2205" s="599" t="s">
        <v>1415</v>
      </c>
      <c r="C2205" s="599"/>
      <c r="F2205" s="231">
        <f t="shared" si="66"/>
        <v>0</v>
      </c>
    </row>
    <row r="2206" spans="1:6" x14ac:dyDescent="0.25">
      <c r="A2206" s="13" t="s">
        <v>1312</v>
      </c>
      <c r="B2206" s="598" t="s">
        <v>1218</v>
      </c>
      <c r="C2206" s="598"/>
      <c r="F2206" s="231">
        <f t="shared" si="66"/>
        <v>0</v>
      </c>
    </row>
    <row r="2207" spans="1:6" x14ac:dyDescent="0.25">
      <c r="A2207" s="13" t="s">
        <v>1313</v>
      </c>
      <c r="B2207" s="598" t="s">
        <v>1219</v>
      </c>
      <c r="C2207" s="598"/>
      <c r="F2207" s="231">
        <f t="shared" si="66"/>
        <v>0</v>
      </c>
    </row>
    <row r="2208" spans="1:6" x14ac:dyDescent="0.25">
      <c r="A2208" s="13" t="s">
        <v>1414</v>
      </c>
      <c r="B2208" s="587" t="s">
        <v>1416</v>
      </c>
      <c r="C2208" s="588"/>
      <c r="F2208" s="231"/>
    </row>
    <row r="2209" spans="1:6" x14ac:dyDescent="0.25">
      <c r="A2209" s="13" t="s">
        <v>1404</v>
      </c>
      <c r="B2209" s="599" t="s">
        <v>1221</v>
      </c>
      <c r="C2209" s="599"/>
      <c r="F2209" s="231"/>
    </row>
    <row r="2210" spans="1:6" x14ac:dyDescent="0.25">
      <c r="A2210" s="13" t="s">
        <v>1405</v>
      </c>
      <c r="B2210" s="598" t="s">
        <v>1218</v>
      </c>
      <c r="C2210" s="598"/>
      <c r="D2210" s="15" t="s">
        <v>9</v>
      </c>
      <c r="F2210" s="231"/>
    </row>
    <row r="2211" spans="1:6" x14ac:dyDescent="0.25">
      <c r="A2211" s="13" t="s">
        <v>1406</v>
      </c>
      <c r="B2211" s="598" t="s">
        <v>1219</v>
      </c>
      <c r="C2211" s="598"/>
      <c r="D2211" s="15" t="s">
        <v>9</v>
      </c>
      <c r="F2211" s="231"/>
    </row>
    <row r="2212" spans="1:6" x14ac:dyDescent="0.25">
      <c r="A2212" s="13" t="s">
        <v>1315</v>
      </c>
      <c r="B2212" s="599" t="s">
        <v>1222</v>
      </c>
      <c r="C2212" s="599"/>
      <c r="F2212" s="231">
        <f t="shared" si="66"/>
        <v>0</v>
      </c>
    </row>
    <row r="2213" spans="1:6" x14ac:dyDescent="0.25">
      <c r="A2213" s="13" t="s">
        <v>1316</v>
      </c>
      <c r="B2213" s="598" t="s">
        <v>1281</v>
      </c>
      <c r="C2213" s="598"/>
      <c r="D2213" s="15" t="s">
        <v>9</v>
      </c>
      <c r="E2213" s="16">
        <v>130</v>
      </c>
      <c r="F2213" s="231">
        <f t="shared" si="66"/>
        <v>0</v>
      </c>
    </row>
    <row r="2214" spans="1:6" x14ac:dyDescent="0.25">
      <c r="A2214" s="13" t="s">
        <v>1317</v>
      </c>
      <c r="B2214" s="598" t="s">
        <v>1223</v>
      </c>
      <c r="C2214" s="598"/>
      <c r="D2214" s="15" t="s">
        <v>9</v>
      </c>
      <c r="F2214" s="231">
        <f t="shared" si="66"/>
        <v>0</v>
      </c>
    </row>
    <row r="2215" spans="1:6" x14ac:dyDescent="0.25">
      <c r="A2215" s="13" t="s">
        <v>1320</v>
      </c>
      <c r="B2215" s="599" t="s">
        <v>1224</v>
      </c>
      <c r="C2215" s="599"/>
      <c r="F2215" s="231">
        <f t="shared" si="66"/>
        <v>0</v>
      </c>
    </row>
    <row r="2216" spans="1:6" x14ac:dyDescent="0.25">
      <c r="A2216" s="13" t="s">
        <v>1321</v>
      </c>
      <c r="B2216" s="598" t="s">
        <v>1225</v>
      </c>
      <c r="C2216" s="598"/>
      <c r="D2216" s="15" t="s">
        <v>9</v>
      </c>
      <c r="F2216" s="231">
        <f t="shared" si="66"/>
        <v>0</v>
      </c>
    </row>
    <row r="2217" spans="1:6" x14ac:dyDescent="0.25">
      <c r="A2217" s="13" t="s">
        <v>1325</v>
      </c>
      <c r="B2217" s="598" t="s">
        <v>1226</v>
      </c>
      <c r="C2217" s="598"/>
      <c r="D2217" s="15" t="s">
        <v>9</v>
      </c>
      <c r="F2217" s="231">
        <f t="shared" si="66"/>
        <v>0</v>
      </c>
    </row>
    <row r="2218" spans="1:6" x14ac:dyDescent="0.25">
      <c r="A2218" s="13" t="s">
        <v>1354</v>
      </c>
      <c r="B2218" s="599" t="s">
        <v>1227</v>
      </c>
      <c r="C2218" s="599"/>
      <c r="F2218" s="231">
        <f t="shared" si="66"/>
        <v>0</v>
      </c>
    </row>
    <row r="2219" spans="1:6" x14ac:dyDescent="0.25">
      <c r="A2219" s="13" t="s">
        <v>1355</v>
      </c>
      <c r="B2219" s="598" t="s">
        <v>1229</v>
      </c>
      <c r="C2219" s="598"/>
      <c r="D2219" s="15" t="s">
        <v>9</v>
      </c>
      <c r="F2219" s="231">
        <f t="shared" si="66"/>
        <v>0</v>
      </c>
    </row>
    <row r="2220" spans="1:6" x14ac:dyDescent="0.25">
      <c r="A2220" s="13" t="s">
        <v>1359</v>
      </c>
      <c r="B2220" s="598" t="s">
        <v>1228</v>
      </c>
      <c r="C2220" s="598"/>
      <c r="D2220" s="15" t="s">
        <v>9</v>
      </c>
      <c r="F2220" s="231">
        <f t="shared" si="66"/>
        <v>0</v>
      </c>
    </row>
    <row r="2221" spans="1:6" x14ac:dyDescent="0.25">
      <c r="A2221" s="13" t="s">
        <v>1367</v>
      </c>
      <c r="B2221" s="599" t="s">
        <v>1230</v>
      </c>
      <c r="C2221" s="599"/>
      <c r="F2221" s="231">
        <f t="shared" si="66"/>
        <v>0</v>
      </c>
    </row>
    <row r="2222" spans="1:6" x14ac:dyDescent="0.25">
      <c r="A2222" s="13" t="s">
        <v>1408</v>
      </c>
      <c r="B2222" s="598" t="s">
        <v>1231</v>
      </c>
      <c r="C2222" s="598"/>
      <c r="D2222" s="15" t="s">
        <v>9</v>
      </c>
      <c r="F2222" s="231">
        <f t="shared" si="66"/>
        <v>0</v>
      </c>
    </row>
    <row r="2223" spans="1:6" x14ac:dyDescent="0.25">
      <c r="A2223" s="13" t="s">
        <v>1409</v>
      </c>
      <c r="B2223" s="598" t="s">
        <v>1232</v>
      </c>
      <c r="C2223" s="598"/>
      <c r="D2223" s="15" t="s">
        <v>9</v>
      </c>
      <c r="F2223" s="231">
        <f t="shared" si="66"/>
        <v>0</v>
      </c>
    </row>
    <row r="2224" spans="1:6" x14ac:dyDescent="0.25">
      <c r="A2224" s="13" t="s">
        <v>1368</v>
      </c>
      <c r="B2224" s="599" t="s">
        <v>1233</v>
      </c>
      <c r="C2224" s="599"/>
      <c r="F2224" s="231">
        <f t="shared" si="66"/>
        <v>0</v>
      </c>
    </row>
    <row r="2225" spans="1:6" x14ac:dyDescent="0.25">
      <c r="A2225" s="13" t="s">
        <v>1369</v>
      </c>
      <c r="B2225" s="598" t="s">
        <v>1234</v>
      </c>
      <c r="C2225" s="598"/>
      <c r="D2225" s="15" t="s">
        <v>9</v>
      </c>
      <c r="F2225" s="231">
        <f t="shared" si="66"/>
        <v>0</v>
      </c>
    </row>
    <row r="2226" spans="1:6" x14ac:dyDescent="0.25">
      <c r="A2226" s="13" t="s">
        <v>1373</v>
      </c>
      <c r="B2226" s="598" t="s">
        <v>1235</v>
      </c>
      <c r="C2226" s="598"/>
      <c r="D2226" s="15" t="s">
        <v>9</v>
      </c>
      <c r="E2226" s="16">
        <v>190</v>
      </c>
      <c r="F2226" s="231">
        <f t="shared" si="66"/>
        <v>0</v>
      </c>
    </row>
    <row r="2227" spans="1:6" x14ac:dyDescent="0.25">
      <c r="A2227" s="13" t="s">
        <v>1376</v>
      </c>
      <c r="B2227" s="598" t="s">
        <v>1236</v>
      </c>
      <c r="C2227" s="598"/>
      <c r="D2227" s="15" t="s">
        <v>9</v>
      </c>
      <c r="F2227" s="231">
        <f t="shared" si="66"/>
        <v>0</v>
      </c>
    </row>
    <row r="2228" spans="1:6" x14ac:dyDescent="0.25">
      <c r="A2228" s="13" t="s">
        <v>1379</v>
      </c>
      <c r="B2228" s="598" t="s">
        <v>1237</v>
      </c>
      <c r="C2228" s="598"/>
      <c r="D2228" s="15" t="s">
        <v>9</v>
      </c>
      <c r="F2228" s="231">
        <f t="shared" si="66"/>
        <v>0</v>
      </c>
    </row>
    <row r="2229" spans="1:6" x14ac:dyDescent="0.25">
      <c r="A2229" s="13" t="s">
        <v>1383</v>
      </c>
      <c r="B2229" s="598" t="s">
        <v>1238</v>
      </c>
      <c r="C2229" s="598"/>
      <c r="D2229" s="15" t="s">
        <v>9</v>
      </c>
      <c r="F2229" s="231">
        <f t="shared" si="66"/>
        <v>0</v>
      </c>
    </row>
    <row r="2230" spans="1:6" x14ac:dyDescent="0.25">
      <c r="A2230" s="13" t="s">
        <v>1417</v>
      </c>
      <c r="B2230" s="599" t="s">
        <v>1239</v>
      </c>
      <c r="C2230" s="599"/>
      <c r="F2230" s="231">
        <f t="shared" si="66"/>
        <v>0</v>
      </c>
    </row>
    <row r="2231" spans="1:6" x14ac:dyDescent="0.25">
      <c r="A2231" s="13" t="s">
        <v>1386</v>
      </c>
      <c r="B2231" s="598" t="s">
        <v>1174</v>
      </c>
      <c r="C2231" s="598"/>
      <c r="D2231" s="15" t="s">
        <v>180</v>
      </c>
      <c r="F2231" s="231">
        <f t="shared" si="66"/>
        <v>0</v>
      </c>
    </row>
    <row r="2232" spans="1:6" ht="15.75" thickBot="1" x14ac:dyDescent="0.3">
      <c r="A2232" s="13" t="s">
        <v>1391</v>
      </c>
      <c r="B2232" s="598" t="s">
        <v>1175</v>
      </c>
      <c r="C2232" s="598"/>
      <c r="D2232" s="15" t="s">
        <v>180</v>
      </c>
      <c r="F2232" s="231">
        <f t="shared" si="66"/>
        <v>0</v>
      </c>
    </row>
    <row r="2233" spans="1:6" ht="28.5" x14ac:dyDescent="0.25">
      <c r="A2233" s="82" t="s">
        <v>1087</v>
      </c>
      <c r="B2233" s="600" t="s">
        <v>1</v>
      </c>
      <c r="C2233" s="601"/>
      <c r="D2233" s="83" t="s">
        <v>3</v>
      </c>
      <c r="E2233" s="265" t="s">
        <v>4</v>
      </c>
      <c r="F2233" s="231"/>
    </row>
    <row r="2234" spans="1:6" x14ac:dyDescent="0.25">
      <c r="A2234" s="13" t="s">
        <v>1294</v>
      </c>
      <c r="B2234" s="599" t="s">
        <v>1240</v>
      </c>
      <c r="C2234" s="599"/>
      <c r="F2234" s="231">
        <f t="shared" si="66"/>
        <v>0</v>
      </c>
    </row>
    <row r="2235" spans="1:6" x14ac:dyDescent="0.25">
      <c r="A2235" s="13" t="s">
        <v>1295</v>
      </c>
      <c r="B2235" s="598" t="s">
        <v>1241</v>
      </c>
      <c r="C2235" s="598"/>
      <c r="D2235" s="15" t="s">
        <v>9</v>
      </c>
      <c r="F2235" s="231">
        <f t="shared" si="66"/>
        <v>0</v>
      </c>
    </row>
    <row r="2236" spans="1:6" x14ac:dyDescent="0.25">
      <c r="A2236" s="13" t="s">
        <v>1296</v>
      </c>
      <c r="B2236" s="598" t="s">
        <v>1242</v>
      </c>
      <c r="C2236" s="598"/>
      <c r="D2236" s="15" t="s">
        <v>9</v>
      </c>
      <c r="F2236" s="231">
        <f t="shared" si="66"/>
        <v>0</v>
      </c>
    </row>
    <row r="2237" spans="1:6" x14ac:dyDescent="0.25">
      <c r="A2237" s="13" t="s">
        <v>1307</v>
      </c>
      <c r="B2237" s="599" t="s">
        <v>1243</v>
      </c>
      <c r="C2237" s="599"/>
      <c r="F2237" s="231">
        <f t="shared" si="66"/>
        <v>0</v>
      </c>
    </row>
    <row r="2238" spans="1:6" x14ac:dyDescent="0.25">
      <c r="A2238" s="13" t="s">
        <v>1308</v>
      </c>
      <c r="B2238" s="598" t="s">
        <v>1241</v>
      </c>
      <c r="C2238" s="598"/>
      <c r="D2238" s="15" t="s">
        <v>9</v>
      </c>
      <c r="F2238" s="231">
        <f t="shared" si="66"/>
        <v>0</v>
      </c>
    </row>
    <row r="2239" spans="1:6" x14ac:dyDescent="0.25">
      <c r="A2239" s="13" t="s">
        <v>1309</v>
      </c>
      <c r="B2239" s="598" t="s">
        <v>1242</v>
      </c>
      <c r="C2239" s="598"/>
      <c r="D2239" s="15" t="s">
        <v>9</v>
      </c>
      <c r="F2239" s="231">
        <f t="shared" si="66"/>
        <v>0</v>
      </c>
    </row>
    <row r="2240" spans="1:6" x14ac:dyDescent="0.25">
      <c r="A2240" s="13" t="s">
        <v>1311</v>
      </c>
      <c r="B2240" s="599" t="s">
        <v>1244</v>
      </c>
      <c r="C2240" s="599"/>
      <c r="F2240" s="231">
        <f t="shared" si="66"/>
        <v>0</v>
      </c>
    </row>
    <row r="2241" spans="1:6" x14ac:dyDescent="0.25">
      <c r="A2241" s="13" t="s">
        <v>1312</v>
      </c>
      <c r="B2241" s="598" t="s">
        <v>1245</v>
      </c>
      <c r="C2241" s="598"/>
      <c r="D2241" s="15" t="s">
        <v>9</v>
      </c>
      <c r="F2241" s="231">
        <f t="shared" si="66"/>
        <v>0</v>
      </c>
    </row>
    <row r="2242" spans="1:6" x14ac:dyDescent="0.25">
      <c r="A2242" s="13" t="s">
        <v>1313</v>
      </c>
      <c r="B2242" s="598" t="s">
        <v>1246</v>
      </c>
      <c r="C2242" s="598"/>
      <c r="D2242" s="15" t="s">
        <v>9</v>
      </c>
      <c r="F2242" s="231">
        <f t="shared" si="66"/>
        <v>0</v>
      </c>
    </row>
    <row r="2243" spans="1:6" x14ac:dyDescent="0.25">
      <c r="A2243" s="13" t="s">
        <v>1414</v>
      </c>
      <c r="B2243" s="598" t="s">
        <v>1247</v>
      </c>
      <c r="C2243" s="598"/>
      <c r="D2243" s="15" t="s">
        <v>9</v>
      </c>
      <c r="F2243" s="231">
        <f t="shared" si="66"/>
        <v>0</v>
      </c>
    </row>
    <row r="2244" spans="1:6" x14ac:dyDescent="0.25">
      <c r="A2244" s="13" t="s">
        <v>1419</v>
      </c>
      <c r="B2244" s="598" t="s">
        <v>1248</v>
      </c>
      <c r="C2244" s="598"/>
      <c r="D2244" s="15" t="s">
        <v>9</v>
      </c>
      <c r="F2244" s="231">
        <f t="shared" si="66"/>
        <v>0</v>
      </c>
    </row>
    <row r="2245" spans="1:6" x14ac:dyDescent="0.25">
      <c r="A2245" s="13" t="s">
        <v>1420</v>
      </c>
      <c r="B2245" s="598" t="s">
        <v>1249</v>
      </c>
      <c r="C2245" s="598"/>
      <c r="D2245" s="15" t="s">
        <v>9</v>
      </c>
      <c r="F2245" s="231">
        <f t="shared" si="66"/>
        <v>0</v>
      </c>
    </row>
    <row r="2246" spans="1:6" x14ac:dyDescent="0.25">
      <c r="A2246" s="13" t="s">
        <v>1404</v>
      </c>
      <c r="B2246" s="599" t="s">
        <v>1250</v>
      </c>
      <c r="C2246" s="599"/>
      <c r="F2246" s="231">
        <f t="shared" si="66"/>
        <v>0</v>
      </c>
    </row>
    <row r="2247" spans="1:6" x14ac:dyDescent="0.25">
      <c r="A2247" s="13" t="s">
        <v>1405</v>
      </c>
      <c r="B2247" s="598" t="s">
        <v>1251</v>
      </c>
      <c r="C2247" s="598"/>
      <c r="D2247" s="15" t="s">
        <v>9</v>
      </c>
      <c r="F2247" s="231">
        <f t="shared" si="66"/>
        <v>0</v>
      </c>
    </row>
    <row r="2248" spans="1:6" x14ac:dyDescent="0.25">
      <c r="A2248" s="13" t="s">
        <v>1406</v>
      </c>
      <c r="B2248" s="598" t="s">
        <v>1252</v>
      </c>
      <c r="C2248" s="598"/>
      <c r="D2248" s="15" t="s">
        <v>9</v>
      </c>
      <c r="F2248" s="231">
        <f t="shared" si="66"/>
        <v>0</v>
      </c>
    </row>
    <row r="2249" spans="1:6" x14ac:dyDescent="0.25">
      <c r="A2249" s="13" t="s">
        <v>1407</v>
      </c>
      <c r="B2249" s="598" t="s">
        <v>1253</v>
      </c>
      <c r="C2249" s="598"/>
      <c r="D2249" s="15" t="s">
        <v>9</v>
      </c>
      <c r="F2249" s="231">
        <f t="shared" si="66"/>
        <v>0</v>
      </c>
    </row>
    <row r="2250" spans="1:6" x14ac:dyDescent="0.25">
      <c r="A2250" s="13" t="s">
        <v>1315</v>
      </c>
      <c r="B2250" s="599" t="s">
        <v>1254</v>
      </c>
      <c r="C2250" s="599"/>
      <c r="F2250" s="231">
        <f t="shared" si="66"/>
        <v>0</v>
      </c>
    </row>
    <row r="2251" spans="1:6" x14ac:dyDescent="0.25">
      <c r="A2251" s="13" t="s">
        <v>1316</v>
      </c>
      <c r="B2251" s="598" t="s">
        <v>1255</v>
      </c>
      <c r="C2251" s="598"/>
      <c r="D2251" s="15" t="s">
        <v>9</v>
      </c>
      <c r="F2251" s="231">
        <f t="shared" si="66"/>
        <v>0</v>
      </c>
    </row>
    <row r="2252" spans="1:6" x14ac:dyDescent="0.25">
      <c r="A2252" s="13" t="s">
        <v>1317</v>
      </c>
      <c r="B2252" s="598" t="s">
        <v>1255</v>
      </c>
      <c r="C2252" s="598"/>
      <c r="D2252" s="15" t="s">
        <v>9</v>
      </c>
      <c r="F2252" s="231">
        <f t="shared" si="66"/>
        <v>0</v>
      </c>
    </row>
    <row r="2253" spans="1:6" x14ac:dyDescent="0.25">
      <c r="A2253" s="13" t="s">
        <v>1320</v>
      </c>
      <c r="B2253" s="599" t="s">
        <v>1256</v>
      </c>
      <c r="C2253" s="599"/>
      <c r="F2253" s="231">
        <f t="shared" si="66"/>
        <v>0</v>
      </c>
    </row>
    <row r="2254" spans="1:6" x14ac:dyDescent="0.25">
      <c r="A2254" s="13" t="s">
        <v>1321</v>
      </c>
      <c r="B2254" s="598" t="s">
        <v>1245</v>
      </c>
      <c r="C2254" s="598"/>
      <c r="D2254" s="15" t="s">
        <v>180</v>
      </c>
      <c r="F2254" s="231">
        <f t="shared" ref="F2254:F2290" si="67">E2254*C2254</f>
        <v>0</v>
      </c>
    </row>
    <row r="2255" spans="1:6" x14ac:dyDescent="0.25">
      <c r="A2255" s="13" t="s">
        <v>1325</v>
      </c>
      <c r="B2255" s="598" t="s">
        <v>1246</v>
      </c>
      <c r="C2255" s="598"/>
      <c r="D2255" s="15" t="s">
        <v>180</v>
      </c>
      <c r="F2255" s="231">
        <f t="shared" si="67"/>
        <v>0</v>
      </c>
    </row>
    <row r="2256" spans="1:6" x14ac:dyDescent="0.25">
      <c r="A2256" s="13" t="s">
        <v>1343</v>
      </c>
      <c r="B2256" s="598" t="s">
        <v>1247</v>
      </c>
      <c r="C2256" s="598"/>
      <c r="D2256" s="15" t="s">
        <v>180</v>
      </c>
      <c r="F2256" s="231">
        <f t="shared" si="67"/>
        <v>0</v>
      </c>
    </row>
    <row r="2257" spans="1:6" x14ac:dyDescent="0.25">
      <c r="A2257" s="13" t="s">
        <v>1345</v>
      </c>
      <c r="B2257" s="598" t="s">
        <v>1248</v>
      </c>
      <c r="C2257" s="598"/>
      <c r="D2257" s="15" t="s">
        <v>180</v>
      </c>
      <c r="F2257" s="231">
        <f t="shared" si="67"/>
        <v>0</v>
      </c>
    </row>
    <row r="2258" spans="1:6" x14ac:dyDescent="0.25">
      <c r="A2258" s="13" t="s">
        <v>1352</v>
      </c>
      <c r="B2258" s="598" t="s">
        <v>1249</v>
      </c>
      <c r="C2258" s="598"/>
      <c r="D2258" s="15" t="s">
        <v>180</v>
      </c>
      <c r="F2258" s="231">
        <f t="shared" si="67"/>
        <v>0</v>
      </c>
    </row>
    <row r="2259" spans="1:6" x14ac:dyDescent="0.25">
      <c r="A2259" s="13" t="s">
        <v>1354</v>
      </c>
      <c r="B2259" s="599" t="s">
        <v>1257</v>
      </c>
      <c r="C2259" s="599"/>
      <c r="F2259" s="231">
        <f t="shared" si="67"/>
        <v>0</v>
      </c>
    </row>
    <row r="2260" spans="1:6" x14ac:dyDescent="0.25">
      <c r="A2260" s="13" t="s">
        <v>1355</v>
      </c>
      <c r="B2260" s="598" t="s">
        <v>1251</v>
      </c>
      <c r="C2260" s="598"/>
      <c r="D2260" s="15" t="s">
        <v>180</v>
      </c>
      <c r="F2260" s="231">
        <f t="shared" si="67"/>
        <v>0</v>
      </c>
    </row>
    <row r="2261" spans="1:6" x14ac:dyDescent="0.25">
      <c r="A2261" s="13" t="s">
        <v>1359</v>
      </c>
      <c r="B2261" s="598" t="s">
        <v>1252</v>
      </c>
      <c r="C2261" s="598"/>
      <c r="D2261" s="15" t="s">
        <v>180</v>
      </c>
      <c r="F2261" s="231">
        <f t="shared" si="67"/>
        <v>0</v>
      </c>
    </row>
    <row r="2262" spans="1:6" x14ac:dyDescent="0.25">
      <c r="A2262" s="13" t="s">
        <v>1363</v>
      </c>
      <c r="B2262" s="598" t="s">
        <v>1253</v>
      </c>
      <c r="C2262" s="598"/>
      <c r="D2262" s="15" t="s">
        <v>180</v>
      </c>
      <c r="F2262" s="231">
        <f t="shared" si="67"/>
        <v>0</v>
      </c>
    </row>
    <row r="2263" spans="1:6" x14ac:dyDescent="0.25">
      <c r="A2263" s="13" t="s">
        <v>1367</v>
      </c>
      <c r="B2263" s="599" t="s">
        <v>1258</v>
      </c>
      <c r="C2263" s="599"/>
      <c r="F2263" s="231">
        <f t="shared" si="67"/>
        <v>0</v>
      </c>
    </row>
    <row r="2264" spans="1:6" x14ac:dyDescent="0.25">
      <c r="A2264" s="13" t="s">
        <v>1408</v>
      </c>
      <c r="B2264" s="598" t="s">
        <v>1259</v>
      </c>
      <c r="C2264" s="598"/>
      <c r="D2264" s="15" t="s">
        <v>9</v>
      </c>
      <c r="F2264" s="231">
        <f t="shared" si="67"/>
        <v>0</v>
      </c>
    </row>
    <row r="2265" spans="1:6" x14ac:dyDescent="0.25">
      <c r="A2265" s="13" t="s">
        <v>1409</v>
      </c>
      <c r="B2265" s="598" t="s">
        <v>1260</v>
      </c>
      <c r="C2265" s="598"/>
      <c r="D2265" s="15" t="s">
        <v>9</v>
      </c>
      <c r="F2265" s="231">
        <f t="shared" si="67"/>
        <v>0</v>
      </c>
    </row>
    <row r="2266" spans="1:6" x14ac:dyDescent="0.25">
      <c r="A2266" s="13" t="s">
        <v>1410</v>
      </c>
      <c r="B2266" s="598" t="s">
        <v>1261</v>
      </c>
      <c r="C2266" s="598"/>
      <c r="D2266" s="15" t="s">
        <v>9</v>
      </c>
      <c r="F2266" s="231">
        <f t="shared" si="67"/>
        <v>0</v>
      </c>
    </row>
    <row r="2267" spans="1:6" x14ac:dyDescent="0.25">
      <c r="A2267" s="13" t="s">
        <v>1411</v>
      </c>
      <c r="B2267" s="598" t="s">
        <v>1262</v>
      </c>
      <c r="C2267" s="598"/>
      <c r="D2267" s="15" t="s">
        <v>9</v>
      </c>
      <c r="F2267" s="231">
        <f t="shared" si="67"/>
        <v>0</v>
      </c>
    </row>
    <row r="2268" spans="1:6" x14ac:dyDescent="0.25">
      <c r="A2268" s="13" t="s">
        <v>1368</v>
      </c>
      <c r="B2268" s="599" t="s">
        <v>1263</v>
      </c>
      <c r="C2268" s="599"/>
      <c r="F2268" s="231">
        <f t="shared" si="67"/>
        <v>0</v>
      </c>
    </row>
    <row r="2269" spans="1:6" x14ac:dyDescent="0.25">
      <c r="A2269" s="13" t="s">
        <v>1369</v>
      </c>
      <c r="B2269" s="598" t="s">
        <v>1259</v>
      </c>
      <c r="C2269" s="598"/>
      <c r="D2269" s="15" t="s">
        <v>9</v>
      </c>
      <c r="F2269" s="231">
        <f t="shared" si="67"/>
        <v>0</v>
      </c>
    </row>
    <row r="2270" spans="1:6" x14ac:dyDescent="0.25">
      <c r="A2270" s="13" t="s">
        <v>1373</v>
      </c>
      <c r="B2270" s="598" t="s">
        <v>1260</v>
      </c>
      <c r="C2270" s="598"/>
      <c r="D2270" s="15" t="s">
        <v>9</v>
      </c>
      <c r="F2270" s="231">
        <f t="shared" si="67"/>
        <v>0</v>
      </c>
    </row>
    <row r="2271" spans="1:6" x14ac:dyDescent="0.25">
      <c r="A2271" s="13" t="s">
        <v>1376</v>
      </c>
      <c r="B2271" s="598" t="s">
        <v>1261</v>
      </c>
      <c r="C2271" s="598"/>
      <c r="D2271" s="15" t="s">
        <v>9</v>
      </c>
      <c r="F2271" s="231">
        <f t="shared" si="67"/>
        <v>0</v>
      </c>
    </row>
    <row r="2272" spans="1:6" x14ac:dyDescent="0.25">
      <c r="A2272" s="13" t="s">
        <v>1379</v>
      </c>
      <c r="B2272" s="598" t="s">
        <v>1262</v>
      </c>
      <c r="C2272" s="598"/>
      <c r="D2272" s="15" t="s">
        <v>9</v>
      </c>
      <c r="F2272" s="231">
        <f t="shared" si="67"/>
        <v>0</v>
      </c>
    </row>
    <row r="2273" spans="1:6" x14ac:dyDescent="0.25">
      <c r="A2273" s="13" t="s">
        <v>1417</v>
      </c>
      <c r="B2273" s="599" t="s">
        <v>1264</v>
      </c>
      <c r="C2273" s="599"/>
      <c r="F2273" s="231">
        <f t="shared" si="67"/>
        <v>0</v>
      </c>
    </row>
    <row r="2274" spans="1:6" x14ac:dyDescent="0.25">
      <c r="A2274" s="13" t="s">
        <v>1386</v>
      </c>
      <c r="B2274" s="598" t="s">
        <v>1265</v>
      </c>
      <c r="C2274" s="598"/>
      <c r="D2274" s="15" t="s">
        <v>9</v>
      </c>
      <c r="F2274" s="231">
        <f t="shared" si="67"/>
        <v>0</v>
      </c>
    </row>
    <row r="2275" spans="1:6" x14ac:dyDescent="0.25">
      <c r="A2275" s="13" t="s">
        <v>1391</v>
      </c>
      <c r="B2275" s="598" t="s">
        <v>1266</v>
      </c>
      <c r="C2275" s="598"/>
      <c r="D2275" s="15" t="s">
        <v>9</v>
      </c>
      <c r="F2275" s="231">
        <f t="shared" si="67"/>
        <v>0</v>
      </c>
    </row>
    <row r="2276" spans="1:6" x14ac:dyDescent="0.25">
      <c r="A2276" s="13" t="s">
        <v>1393</v>
      </c>
      <c r="B2276" s="598" t="s">
        <v>1267</v>
      </c>
      <c r="C2276" s="598"/>
      <c r="D2276" s="15" t="s">
        <v>9</v>
      </c>
      <c r="F2276" s="231">
        <f t="shared" si="67"/>
        <v>0</v>
      </c>
    </row>
    <row r="2277" spans="1:6" x14ac:dyDescent="0.25">
      <c r="A2277" s="13" t="s">
        <v>1396</v>
      </c>
      <c r="B2277" s="598" t="s">
        <v>1268</v>
      </c>
      <c r="C2277" s="598"/>
      <c r="D2277" s="15" t="s">
        <v>9</v>
      </c>
      <c r="F2277" s="231">
        <f t="shared" si="67"/>
        <v>0</v>
      </c>
    </row>
    <row r="2278" spans="1:6" x14ac:dyDescent="0.25">
      <c r="A2278" s="13" t="s">
        <v>1421</v>
      </c>
      <c r="B2278" s="598" t="s">
        <v>1269</v>
      </c>
      <c r="C2278" s="598"/>
      <c r="D2278" s="15" t="s">
        <v>9</v>
      </c>
      <c r="F2278" s="231">
        <f t="shared" si="67"/>
        <v>0</v>
      </c>
    </row>
    <row r="2279" spans="1:6" x14ac:dyDescent="0.25">
      <c r="A2279" s="13" t="s">
        <v>1422</v>
      </c>
      <c r="B2279" s="598" t="s">
        <v>1270</v>
      </c>
      <c r="C2279" s="598"/>
      <c r="D2279" s="15" t="s">
        <v>9</v>
      </c>
      <c r="F2279" s="231">
        <f t="shared" si="67"/>
        <v>0</v>
      </c>
    </row>
    <row r="2280" spans="1:6" x14ac:dyDescent="0.25">
      <c r="A2280" s="13" t="s">
        <v>1423</v>
      </c>
      <c r="B2280" s="598" t="s">
        <v>1271</v>
      </c>
      <c r="C2280" s="598"/>
      <c r="D2280" s="15" t="s">
        <v>9</v>
      </c>
      <c r="F2280" s="231">
        <f t="shared" si="67"/>
        <v>0</v>
      </c>
    </row>
    <row r="2281" spans="1:6" x14ac:dyDescent="0.25">
      <c r="A2281" s="13" t="s">
        <v>1424</v>
      </c>
      <c r="B2281" s="598" t="s">
        <v>1272</v>
      </c>
      <c r="C2281" s="598"/>
      <c r="D2281" s="15" t="s">
        <v>9</v>
      </c>
      <c r="F2281" s="231">
        <f t="shared" si="67"/>
        <v>0</v>
      </c>
    </row>
    <row r="2282" spans="1:6" x14ac:dyDescent="0.25">
      <c r="A2282" s="13" t="s">
        <v>1418</v>
      </c>
      <c r="B2282" s="599" t="s">
        <v>1273</v>
      </c>
      <c r="C2282" s="599"/>
      <c r="F2282" s="231">
        <f t="shared" si="67"/>
        <v>0</v>
      </c>
    </row>
    <row r="2283" spans="1:6" x14ac:dyDescent="0.25">
      <c r="A2283" s="13" t="s">
        <v>1399</v>
      </c>
      <c r="B2283" s="598" t="s">
        <v>1274</v>
      </c>
      <c r="C2283" s="598"/>
      <c r="D2283" s="15" t="s">
        <v>9</v>
      </c>
      <c r="F2283" s="231">
        <f t="shared" si="67"/>
        <v>0</v>
      </c>
    </row>
    <row r="2284" spans="1:6" x14ac:dyDescent="0.25">
      <c r="A2284" s="13" t="s">
        <v>1400</v>
      </c>
      <c r="B2284" s="598" t="s">
        <v>1275</v>
      </c>
      <c r="C2284" s="598"/>
      <c r="D2284" s="15" t="s">
        <v>9</v>
      </c>
      <c r="F2284" s="231">
        <f t="shared" si="67"/>
        <v>0</v>
      </c>
    </row>
    <row r="2285" spans="1:6" x14ac:dyDescent="0.25">
      <c r="A2285" s="13" t="s">
        <v>1425</v>
      </c>
      <c r="B2285" s="598" t="s">
        <v>1261</v>
      </c>
      <c r="C2285" s="598"/>
      <c r="D2285" s="15" t="s">
        <v>9</v>
      </c>
      <c r="F2285" s="231">
        <f t="shared" si="67"/>
        <v>0</v>
      </c>
    </row>
    <row r="2286" spans="1:6" x14ac:dyDescent="0.25">
      <c r="A2286" s="13" t="s">
        <v>1426</v>
      </c>
      <c r="B2286" s="598" t="s">
        <v>1262</v>
      </c>
      <c r="C2286" s="598"/>
      <c r="D2286" s="15" t="s">
        <v>9</v>
      </c>
      <c r="F2286" s="231">
        <f t="shared" si="67"/>
        <v>0</v>
      </c>
    </row>
    <row r="2287" spans="1:6" ht="15.75" thickBot="1" x14ac:dyDescent="0.3">
      <c r="A2287" s="26"/>
      <c r="B2287" s="594"/>
      <c r="C2287" s="595"/>
      <c r="D2287" s="53"/>
      <c r="E2287" s="248"/>
      <c r="F2287" s="16">
        <f t="shared" si="67"/>
        <v>0</v>
      </c>
    </row>
    <row r="2288" spans="1:6" ht="28.5" x14ac:dyDescent="0.25">
      <c r="A2288" s="82" t="s">
        <v>1087</v>
      </c>
      <c r="B2288" s="600" t="s">
        <v>1</v>
      </c>
      <c r="C2288" s="601"/>
      <c r="D2288" s="83" t="s">
        <v>3</v>
      </c>
      <c r="E2288" s="265" t="s">
        <v>4</v>
      </c>
      <c r="F2288" s="232" t="s">
        <v>1427</v>
      </c>
    </row>
    <row r="2289" spans="1:6" x14ac:dyDescent="0.25">
      <c r="B2289" s="587"/>
      <c r="C2289" s="588"/>
      <c r="F2289" s="16">
        <f t="shared" si="67"/>
        <v>0</v>
      </c>
    </row>
    <row r="2290" spans="1:6" x14ac:dyDescent="0.25">
      <c r="A2290" s="19"/>
      <c r="B2290" s="596"/>
      <c r="C2290" s="597"/>
      <c r="D2290" s="21"/>
      <c r="E2290" s="243"/>
      <c r="F2290" s="243">
        <f t="shared" si="67"/>
        <v>0</v>
      </c>
    </row>
    <row r="2291" spans="1:6" x14ac:dyDescent="0.25">
      <c r="A2291" s="85"/>
      <c r="B2291" s="71" t="s">
        <v>230</v>
      </c>
      <c r="C2291" s="321" t="s">
        <v>1428</v>
      </c>
      <c r="D2291" s="86" t="s">
        <v>1429</v>
      </c>
      <c r="E2291" s="266" t="s">
        <v>1430</v>
      </c>
      <c r="F2291" s="266" t="s">
        <v>1431</v>
      </c>
    </row>
    <row r="2292" spans="1:6" ht="28.5" x14ac:dyDescent="0.25">
      <c r="A2292" s="86" t="s">
        <v>1432</v>
      </c>
      <c r="B2292" s="71" t="s">
        <v>1433</v>
      </c>
      <c r="C2292" s="327"/>
      <c r="D2292" s="50"/>
      <c r="E2292" s="246"/>
      <c r="F2292" s="246"/>
    </row>
    <row r="2293" spans="1:6" ht="30" x14ac:dyDescent="0.25">
      <c r="A2293" s="50" t="s">
        <v>1434</v>
      </c>
      <c r="B2293" s="24" t="s">
        <v>1435</v>
      </c>
      <c r="C2293" s="327"/>
      <c r="D2293" s="50"/>
      <c r="E2293" s="246"/>
      <c r="F2293" s="246"/>
    </row>
    <row r="2294" spans="1:6" x14ac:dyDescent="0.25">
      <c r="A2294" s="50"/>
      <c r="B2294" s="24" t="s">
        <v>1436</v>
      </c>
      <c r="C2294" s="327" t="s">
        <v>1437</v>
      </c>
      <c r="D2294" s="50">
        <v>80</v>
      </c>
      <c r="E2294" s="246">
        <v>35</v>
      </c>
      <c r="F2294" s="246">
        <v>2800</v>
      </c>
    </row>
    <row r="2295" spans="1:6" ht="30" x14ac:dyDescent="0.25">
      <c r="A2295" s="50" t="s">
        <v>1438</v>
      </c>
      <c r="B2295" s="24" t="s">
        <v>1439</v>
      </c>
      <c r="C2295" s="327" t="s">
        <v>1437</v>
      </c>
      <c r="D2295" s="50">
        <v>432</v>
      </c>
      <c r="E2295" s="246">
        <v>30</v>
      </c>
      <c r="F2295" s="246">
        <v>12960</v>
      </c>
    </row>
    <row r="2296" spans="1:6" ht="30" x14ac:dyDescent="0.25">
      <c r="A2296" s="50" t="s">
        <v>1440</v>
      </c>
      <c r="B2296" s="24" t="s">
        <v>1441</v>
      </c>
      <c r="C2296" s="327"/>
      <c r="D2296" s="50"/>
      <c r="E2296" s="246"/>
      <c r="F2296" s="246"/>
    </row>
    <row r="2297" spans="1:6" x14ac:dyDescent="0.25">
      <c r="A2297" s="50"/>
      <c r="B2297" s="24" t="s">
        <v>1442</v>
      </c>
      <c r="C2297" s="327" t="s">
        <v>1437</v>
      </c>
      <c r="D2297" s="50">
        <v>464</v>
      </c>
      <c r="E2297" s="246">
        <v>25</v>
      </c>
      <c r="F2297" s="246">
        <v>11600</v>
      </c>
    </row>
    <row r="2298" spans="1:6" ht="30" x14ac:dyDescent="0.25">
      <c r="A2298" s="50" t="s">
        <v>1443</v>
      </c>
      <c r="B2298" s="24" t="s">
        <v>1444</v>
      </c>
      <c r="C2298" s="327"/>
      <c r="D2298" s="50"/>
      <c r="E2298" s="246"/>
      <c r="F2298" s="246"/>
    </row>
    <row r="2299" spans="1:6" ht="30" x14ac:dyDescent="0.25">
      <c r="A2299" s="50"/>
      <c r="B2299" s="24" t="s">
        <v>1445</v>
      </c>
      <c r="C2299" s="327" t="s">
        <v>772</v>
      </c>
      <c r="D2299" s="87">
        <v>6500</v>
      </c>
      <c r="E2299" s="246">
        <v>1</v>
      </c>
      <c r="F2299" s="246">
        <v>6500</v>
      </c>
    </row>
    <row r="2300" spans="1:6" ht="30" x14ac:dyDescent="0.25">
      <c r="A2300" s="50" t="s">
        <v>1446</v>
      </c>
      <c r="B2300" s="24" t="s">
        <v>1447</v>
      </c>
      <c r="C2300" s="327" t="s">
        <v>1437</v>
      </c>
      <c r="D2300" s="87">
        <v>4800</v>
      </c>
      <c r="E2300" s="246">
        <v>25</v>
      </c>
      <c r="F2300" s="246">
        <v>120000</v>
      </c>
    </row>
    <row r="2301" spans="1:6" x14ac:dyDescent="0.25">
      <c r="A2301" s="50" t="s">
        <v>1448</v>
      </c>
      <c r="B2301" s="24" t="s">
        <v>1449</v>
      </c>
      <c r="C2301" s="327" t="s">
        <v>1437</v>
      </c>
      <c r="D2301" s="87">
        <v>3600</v>
      </c>
      <c r="E2301" s="246">
        <v>20</v>
      </c>
      <c r="F2301" s="246">
        <v>72000</v>
      </c>
    </row>
    <row r="2302" spans="1:6" ht="30" x14ac:dyDescent="0.25">
      <c r="A2302" s="50" t="s">
        <v>1450</v>
      </c>
      <c r="B2302" s="24" t="s">
        <v>1451</v>
      </c>
      <c r="C2302" s="327" t="s">
        <v>1452</v>
      </c>
      <c r="D2302" s="50">
        <v>720</v>
      </c>
      <c r="E2302" s="246">
        <v>48</v>
      </c>
      <c r="F2302" s="246">
        <v>34560</v>
      </c>
    </row>
    <row r="2303" spans="1:6" x14ac:dyDescent="0.25">
      <c r="A2303" s="50" t="s">
        <v>1453</v>
      </c>
      <c r="B2303" s="24" t="s">
        <v>1454</v>
      </c>
      <c r="C2303" s="327" t="s">
        <v>1452</v>
      </c>
      <c r="D2303" s="87">
        <v>1400</v>
      </c>
      <c r="E2303" s="246">
        <v>55</v>
      </c>
      <c r="F2303" s="246">
        <v>77000</v>
      </c>
    </row>
    <row r="2304" spans="1:6" ht="30" x14ac:dyDescent="0.25">
      <c r="A2304" s="50" t="s">
        <v>1455</v>
      </c>
      <c r="B2304" s="24" t="s">
        <v>1456</v>
      </c>
      <c r="C2304" s="327" t="s">
        <v>1452</v>
      </c>
      <c r="D2304" s="87">
        <v>3700</v>
      </c>
      <c r="E2304" s="246">
        <v>48</v>
      </c>
      <c r="F2304" s="246">
        <v>177600</v>
      </c>
    </row>
    <row r="2305" spans="1:6" x14ac:dyDescent="0.25">
      <c r="A2305" s="50"/>
      <c r="B2305" s="24"/>
      <c r="C2305" s="327"/>
      <c r="D2305" s="50"/>
      <c r="E2305" s="246"/>
      <c r="F2305" s="246"/>
    </row>
    <row r="2306" spans="1:6" ht="15.75" x14ac:dyDescent="0.25">
      <c r="A2306" s="50"/>
      <c r="B2306" s="88" t="s">
        <v>1457</v>
      </c>
      <c r="C2306" s="354"/>
      <c r="D2306" s="89"/>
      <c r="E2306" s="267"/>
      <c r="F2306" s="267">
        <v>515020</v>
      </c>
    </row>
    <row r="2307" spans="1:6" x14ac:dyDescent="0.25">
      <c r="A2307" s="50"/>
      <c r="B2307" s="24"/>
      <c r="C2307" s="327"/>
      <c r="D2307" s="50"/>
      <c r="E2307" s="246"/>
      <c r="F2307" s="246"/>
    </row>
    <row r="2308" spans="1:6" x14ac:dyDescent="0.25">
      <c r="A2308" s="86" t="s">
        <v>1458</v>
      </c>
      <c r="B2308" s="71" t="s">
        <v>1459</v>
      </c>
      <c r="C2308" s="327"/>
      <c r="D2308" s="50"/>
      <c r="E2308" s="246"/>
      <c r="F2308" s="246"/>
    </row>
    <row r="2309" spans="1:6" ht="27" x14ac:dyDescent="0.25">
      <c r="A2309" s="86"/>
      <c r="B2309" s="90" t="s">
        <v>1460</v>
      </c>
      <c r="C2309" s="327"/>
      <c r="D2309" s="50"/>
      <c r="E2309" s="246"/>
      <c r="F2309" s="246"/>
    </row>
    <row r="2310" spans="1:6" ht="75" x14ac:dyDescent="0.25">
      <c r="A2310" s="50" t="s">
        <v>1461</v>
      </c>
      <c r="B2310" s="24" t="s">
        <v>1462</v>
      </c>
      <c r="C2310" s="327" t="s">
        <v>1463</v>
      </c>
      <c r="D2310" s="50">
        <v>207</v>
      </c>
      <c r="E2310" s="246">
        <v>245</v>
      </c>
      <c r="F2310" s="246">
        <v>50715</v>
      </c>
    </row>
    <row r="2311" spans="1:6" ht="45" x14ac:dyDescent="0.25">
      <c r="A2311" s="86" t="s">
        <v>1464</v>
      </c>
      <c r="B2311" s="24" t="s">
        <v>1465</v>
      </c>
      <c r="C2311" s="327" t="s">
        <v>1463</v>
      </c>
      <c r="D2311" s="50">
        <v>509</v>
      </c>
      <c r="E2311" s="246">
        <v>220</v>
      </c>
      <c r="F2311" s="246">
        <v>112035</v>
      </c>
    </row>
    <row r="2312" spans="1:6" ht="75" x14ac:dyDescent="0.25">
      <c r="A2312" s="50" t="s">
        <v>1466</v>
      </c>
      <c r="B2312" s="24" t="s">
        <v>1467</v>
      </c>
      <c r="C2312" s="327" t="s">
        <v>1463</v>
      </c>
      <c r="D2312" s="50">
        <v>207</v>
      </c>
      <c r="E2312" s="268">
        <v>720</v>
      </c>
      <c r="F2312" s="246">
        <v>149040</v>
      </c>
    </row>
    <row r="2313" spans="1:6" ht="60" x14ac:dyDescent="0.25">
      <c r="A2313" s="50" t="s">
        <v>1468</v>
      </c>
      <c r="B2313" s="24" t="s">
        <v>1469</v>
      </c>
      <c r="C2313" s="327" t="s">
        <v>1470</v>
      </c>
      <c r="D2313" s="50">
        <v>69</v>
      </c>
      <c r="E2313" s="246">
        <v>900</v>
      </c>
      <c r="F2313" s="246">
        <v>62100</v>
      </c>
    </row>
    <row r="2314" spans="1:6" ht="30" x14ac:dyDescent="0.25">
      <c r="A2314" s="50" t="s">
        <v>1471</v>
      </c>
      <c r="B2314" s="24" t="s">
        <v>1472</v>
      </c>
      <c r="C2314" s="327"/>
      <c r="D2314" s="50" t="s">
        <v>1473</v>
      </c>
      <c r="E2314" s="246"/>
      <c r="F2314" s="246"/>
    </row>
    <row r="2315" spans="1:6" x14ac:dyDescent="0.25">
      <c r="A2315" s="50" t="s">
        <v>13</v>
      </c>
      <c r="B2315" s="24" t="s">
        <v>1474</v>
      </c>
      <c r="C2315" s="327" t="s">
        <v>1475</v>
      </c>
      <c r="D2315" s="50">
        <v>308</v>
      </c>
      <c r="E2315" s="246">
        <v>325</v>
      </c>
      <c r="F2315" s="246">
        <v>100100</v>
      </c>
    </row>
    <row r="2316" spans="1:6" x14ac:dyDescent="0.25">
      <c r="A2316" s="50" t="s">
        <v>1476</v>
      </c>
      <c r="B2316" s="24" t="s">
        <v>1477</v>
      </c>
      <c r="C2316" s="327" t="s">
        <v>1463</v>
      </c>
      <c r="D2316" s="50">
        <v>207</v>
      </c>
      <c r="E2316" s="268">
        <v>320</v>
      </c>
      <c r="F2316" s="246">
        <v>66240</v>
      </c>
    </row>
    <row r="2317" spans="1:6" ht="60" x14ac:dyDescent="0.25">
      <c r="A2317" s="50" t="s">
        <v>1478</v>
      </c>
      <c r="B2317" s="24" t="s">
        <v>1479</v>
      </c>
      <c r="C2317" s="327" t="s">
        <v>1470</v>
      </c>
      <c r="D2317" s="50">
        <v>350</v>
      </c>
      <c r="E2317" s="246">
        <v>1250</v>
      </c>
      <c r="F2317" s="246">
        <v>437500</v>
      </c>
    </row>
    <row r="2318" spans="1:6" ht="60" x14ac:dyDescent="0.25">
      <c r="A2318" s="50" t="s">
        <v>1480</v>
      </c>
      <c r="B2318" s="24" t="s">
        <v>1481</v>
      </c>
      <c r="C2318" s="327" t="s">
        <v>1470</v>
      </c>
      <c r="D2318" s="50">
        <v>132</v>
      </c>
      <c r="E2318" s="246">
        <v>950</v>
      </c>
      <c r="F2318" s="246">
        <v>125400</v>
      </c>
    </row>
    <row r="2319" spans="1:6" ht="30" x14ac:dyDescent="0.25">
      <c r="A2319" s="50" t="s">
        <v>1482</v>
      </c>
      <c r="B2319" s="24" t="s">
        <v>1472</v>
      </c>
      <c r="C2319" s="327"/>
      <c r="D2319" s="50" t="s">
        <v>1473</v>
      </c>
      <c r="E2319" s="246"/>
      <c r="F2319" s="246"/>
    </row>
    <row r="2320" spans="1:6" x14ac:dyDescent="0.25">
      <c r="A2320" s="50"/>
      <c r="B2320" s="24" t="s">
        <v>1483</v>
      </c>
      <c r="C2320" s="327" t="s">
        <v>1475</v>
      </c>
      <c r="D2320" s="50">
        <v>790</v>
      </c>
      <c r="E2320" s="246">
        <v>325</v>
      </c>
      <c r="F2320" s="246">
        <v>256750</v>
      </c>
    </row>
    <row r="2321" spans="1:6" x14ac:dyDescent="0.25">
      <c r="A2321" s="50" t="s">
        <v>1484</v>
      </c>
      <c r="B2321" s="24" t="s">
        <v>1485</v>
      </c>
      <c r="C2321" s="327" t="s">
        <v>1463</v>
      </c>
      <c r="D2321" s="50">
        <v>723</v>
      </c>
      <c r="E2321" s="268">
        <v>320</v>
      </c>
      <c r="F2321" s="246">
        <v>231360</v>
      </c>
    </row>
    <row r="2322" spans="1:6" ht="60" x14ac:dyDescent="0.25">
      <c r="A2322" s="50" t="s">
        <v>1486</v>
      </c>
      <c r="B2322" s="24" t="s">
        <v>1487</v>
      </c>
      <c r="C2322" s="327" t="s">
        <v>1470</v>
      </c>
      <c r="D2322" s="50">
        <v>105</v>
      </c>
      <c r="E2322" s="246">
        <v>1220</v>
      </c>
      <c r="F2322" s="246">
        <v>128100</v>
      </c>
    </row>
    <row r="2323" spans="1:6" ht="30" x14ac:dyDescent="0.25">
      <c r="A2323" s="50" t="s">
        <v>1488</v>
      </c>
      <c r="B2323" s="24" t="s">
        <v>1472</v>
      </c>
      <c r="C2323" s="327"/>
      <c r="D2323" s="50" t="s">
        <v>1473</v>
      </c>
      <c r="E2323" s="246"/>
      <c r="F2323" s="246"/>
    </row>
    <row r="2324" spans="1:6" x14ac:dyDescent="0.25">
      <c r="A2324" s="50"/>
      <c r="B2324" s="24" t="s">
        <v>1483</v>
      </c>
      <c r="C2324" s="327" t="s">
        <v>1475</v>
      </c>
      <c r="D2324" s="50">
        <v>169</v>
      </c>
      <c r="E2324" s="246">
        <v>325</v>
      </c>
      <c r="F2324" s="246">
        <v>54925</v>
      </c>
    </row>
    <row r="2325" spans="1:6" x14ac:dyDescent="0.25">
      <c r="A2325" s="50" t="s">
        <v>1489</v>
      </c>
      <c r="B2325" s="24" t="s">
        <v>1485</v>
      </c>
      <c r="C2325" s="327" t="s">
        <v>1463</v>
      </c>
      <c r="D2325" s="50">
        <v>315</v>
      </c>
      <c r="E2325" s="268">
        <v>320</v>
      </c>
      <c r="F2325" s="246">
        <v>100800</v>
      </c>
    </row>
    <row r="2326" spans="1:6" ht="45" x14ac:dyDescent="0.25">
      <c r="A2326" s="50" t="s">
        <v>1490</v>
      </c>
      <c r="B2326" s="24" t="s">
        <v>1491</v>
      </c>
      <c r="C2326" s="327" t="s">
        <v>1470</v>
      </c>
      <c r="D2326" s="50">
        <v>200</v>
      </c>
      <c r="E2326" s="246">
        <v>680</v>
      </c>
      <c r="F2326" s="246">
        <v>136000</v>
      </c>
    </row>
    <row r="2327" spans="1:6" ht="45" x14ac:dyDescent="0.25">
      <c r="A2327" s="50" t="s">
        <v>1492</v>
      </c>
      <c r="B2327" s="24" t="s">
        <v>1493</v>
      </c>
      <c r="C2327" s="327" t="s">
        <v>1470</v>
      </c>
      <c r="D2327" s="50">
        <v>22</v>
      </c>
      <c r="E2327" s="246">
        <v>580</v>
      </c>
      <c r="F2327" s="246">
        <v>12760</v>
      </c>
    </row>
    <row r="2328" spans="1:6" x14ac:dyDescent="0.25">
      <c r="A2328" s="50" t="s">
        <v>1494</v>
      </c>
      <c r="B2328" s="24" t="s">
        <v>1495</v>
      </c>
      <c r="C2328" s="327" t="s">
        <v>1470</v>
      </c>
      <c r="D2328" s="50">
        <v>220</v>
      </c>
      <c r="E2328" s="246">
        <v>680</v>
      </c>
      <c r="F2328" s="246">
        <v>149600</v>
      </c>
    </row>
    <row r="2329" spans="1:6" ht="30" x14ac:dyDescent="0.25">
      <c r="A2329" s="50" t="s">
        <v>1496</v>
      </c>
      <c r="B2329" s="24" t="s">
        <v>1472</v>
      </c>
      <c r="C2329" s="327"/>
      <c r="D2329" s="50" t="s">
        <v>1473</v>
      </c>
      <c r="E2329" s="246"/>
      <c r="F2329" s="246"/>
    </row>
    <row r="2330" spans="1:6" x14ac:dyDescent="0.25">
      <c r="A2330" s="50"/>
      <c r="B2330" s="24" t="s">
        <v>1483</v>
      </c>
      <c r="C2330" s="327" t="s">
        <v>1475</v>
      </c>
      <c r="D2330" s="50">
        <v>181</v>
      </c>
      <c r="E2330" s="246">
        <v>325</v>
      </c>
      <c r="F2330" s="246">
        <v>58825</v>
      </c>
    </row>
    <row r="2331" spans="1:6" x14ac:dyDescent="0.25">
      <c r="A2331" s="50" t="s">
        <v>1497</v>
      </c>
      <c r="B2331" s="24" t="s">
        <v>1485</v>
      </c>
      <c r="C2331" s="327" t="s">
        <v>1463</v>
      </c>
      <c r="D2331" s="50">
        <v>459</v>
      </c>
      <c r="E2331" s="268">
        <v>320</v>
      </c>
      <c r="F2331" s="246">
        <v>146720</v>
      </c>
    </row>
    <row r="2332" spans="1:6" x14ac:dyDescent="0.25">
      <c r="A2332" s="50" t="s">
        <v>1498</v>
      </c>
      <c r="B2332" s="24" t="s">
        <v>1499</v>
      </c>
      <c r="C2332" s="327" t="s">
        <v>1463</v>
      </c>
      <c r="D2332" s="87">
        <v>1390</v>
      </c>
      <c r="E2332" s="246">
        <v>550</v>
      </c>
      <c r="F2332" s="246">
        <v>764500</v>
      </c>
    </row>
    <row r="2333" spans="1:6" x14ac:dyDescent="0.25">
      <c r="A2333" s="50" t="s">
        <v>1500</v>
      </c>
      <c r="B2333" s="24" t="s">
        <v>1501</v>
      </c>
      <c r="C2333" s="327" t="s">
        <v>1463</v>
      </c>
      <c r="D2333" s="50">
        <v>976</v>
      </c>
      <c r="E2333" s="246">
        <v>510</v>
      </c>
      <c r="F2333" s="246">
        <v>497760</v>
      </c>
    </row>
    <row r="2334" spans="1:6" x14ac:dyDescent="0.25">
      <c r="A2334" s="50"/>
      <c r="B2334" s="24"/>
      <c r="C2334" s="327"/>
      <c r="D2334" s="50"/>
      <c r="E2334" s="246"/>
      <c r="F2334" s="246"/>
    </row>
    <row r="2335" spans="1:6" ht="15.75" x14ac:dyDescent="0.25">
      <c r="A2335" s="50"/>
      <c r="B2335" s="88" t="s">
        <v>1457</v>
      </c>
      <c r="C2335" s="354"/>
      <c r="D2335" s="89"/>
      <c r="E2335" s="267"/>
      <c r="F2335" s="267">
        <v>3641230</v>
      </c>
    </row>
    <row r="2336" spans="1:6" x14ac:dyDescent="0.25">
      <c r="A2336" s="86" t="s">
        <v>13</v>
      </c>
      <c r="B2336" s="24"/>
      <c r="C2336" s="327"/>
      <c r="D2336" s="50"/>
      <c r="E2336" s="246"/>
      <c r="F2336" s="246"/>
    </row>
    <row r="2337" spans="1:6" x14ac:dyDescent="0.25">
      <c r="A2337" s="50" t="s">
        <v>1502</v>
      </c>
      <c r="B2337" s="71" t="s">
        <v>1503</v>
      </c>
      <c r="C2337" s="327"/>
      <c r="D2337" s="50"/>
      <c r="E2337" s="246"/>
      <c r="F2337" s="246"/>
    </row>
    <row r="2338" spans="1:6" ht="30" x14ac:dyDescent="0.25">
      <c r="A2338" s="50" t="s">
        <v>1504</v>
      </c>
      <c r="B2338" s="24" t="s">
        <v>1505</v>
      </c>
      <c r="C2338" s="327" t="s">
        <v>1506</v>
      </c>
      <c r="D2338" s="87">
        <v>1250</v>
      </c>
      <c r="E2338" s="246">
        <v>750</v>
      </c>
      <c r="F2338" s="246">
        <v>937687.5</v>
      </c>
    </row>
    <row r="2339" spans="1:6" ht="30" x14ac:dyDescent="0.25">
      <c r="A2339" s="50" t="s">
        <v>1507</v>
      </c>
      <c r="B2339" s="24" t="s">
        <v>1508</v>
      </c>
      <c r="C2339" s="327" t="s">
        <v>1506</v>
      </c>
      <c r="D2339" s="50">
        <v>113</v>
      </c>
      <c r="E2339" s="246">
        <v>825</v>
      </c>
      <c r="F2339" s="246">
        <v>93018.75</v>
      </c>
    </row>
    <row r="2340" spans="1:6" x14ac:dyDescent="0.25">
      <c r="A2340" s="50"/>
      <c r="B2340" s="24"/>
      <c r="C2340" s="327"/>
      <c r="D2340" s="50"/>
      <c r="E2340" s="246"/>
      <c r="F2340" s="246"/>
    </row>
    <row r="2341" spans="1:6" ht="15.75" x14ac:dyDescent="0.25">
      <c r="A2341" s="50"/>
      <c r="B2341" s="88" t="s">
        <v>1457</v>
      </c>
      <c r="C2341" s="354"/>
      <c r="D2341" s="89"/>
      <c r="E2341" s="267"/>
      <c r="F2341" s="267">
        <v>1030706.25</v>
      </c>
    </row>
    <row r="2342" spans="1:6" x14ac:dyDescent="0.25">
      <c r="A2342" s="86" t="s">
        <v>13</v>
      </c>
      <c r="B2342" s="24"/>
      <c r="C2342" s="327"/>
      <c r="D2342" s="50"/>
      <c r="E2342" s="246"/>
      <c r="F2342" s="246"/>
    </row>
    <row r="2343" spans="1:6" x14ac:dyDescent="0.25">
      <c r="A2343" s="86" t="s">
        <v>1509</v>
      </c>
      <c r="B2343" s="71" t="s">
        <v>1510</v>
      </c>
      <c r="C2343" s="327"/>
      <c r="D2343" s="50"/>
      <c r="E2343" s="246"/>
      <c r="F2343" s="246"/>
    </row>
    <row r="2344" spans="1:6" ht="45" x14ac:dyDescent="0.25">
      <c r="A2344" s="86" t="s">
        <v>1511</v>
      </c>
      <c r="B2344" s="24" t="s">
        <v>1512</v>
      </c>
      <c r="C2344" s="327" t="s">
        <v>1463</v>
      </c>
      <c r="D2344" s="87">
        <v>2230</v>
      </c>
      <c r="E2344" s="246">
        <v>680</v>
      </c>
      <c r="F2344" s="246">
        <v>1516400</v>
      </c>
    </row>
    <row r="2345" spans="1:6" ht="45" x14ac:dyDescent="0.25">
      <c r="A2345" s="86" t="s">
        <v>1513</v>
      </c>
      <c r="B2345" s="24" t="s">
        <v>1514</v>
      </c>
      <c r="C2345" s="327" t="s">
        <v>1463</v>
      </c>
      <c r="D2345" s="50">
        <v>846</v>
      </c>
      <c r="E2345" s="246">
        <v>560</v>
      </c>
      <c r="F2345" s="246">
        <v>473760</v>
      </c>
    </row>
    <row r="2346" spans="1:6" x14ac:dyDescent="0.25">
      <c r="A2346" s="86" t="s">
        <v>1515</v>
      </c>
      <c r="B2346" s="24" t="s">
        <v>1516</v>
      </c>
      <c r="C2346" s="327" t="s">
        <v>1463</v>
      </c>
      <c r="D2346" s="50">
        <v>112</v>
      </c>
      <c r="E2346" s="246">
        <v>410</v>
      </c>
      <c r="F2346" s="246">
        <v>45920</v>
      </c>
    </row>
    <row r="2347" spans="1:6" x14ac:dyDescent="0.25">
      <c r="A2347" s="86"/>
      <c r="B2347" s="24"/>
      <c r="C2347" s="327"/>
      <c r="D2347" s="50"/>
      <c r="E2347" s="246"/>
      <c r="F2347" s="246"/>
    </row>
    <row r="2348" spans="1:6" ht="15.75" x14ac:dyDescent="0.25">
      <c r="A2348" s="86"/>
      <c r="B2348" s="88" t="s">
        <v>1457</v>
      </c>
      <c r="C2348" s="354"/>
      <c r="D2348" s="89"/>
      <c r="E2348" s="267"/>
      <c r="F2348" s="267">
        <v>2509840</v>
      </c>
    </row>
    <row r="2349" spans="1:6" x14ac:dyDescent="0.25">
      <c r="A2349" s="86"/>
      <c r="B2349" s="24"/>
      <c r="C2349" s="327"/>
      <c r="D2349" s="50"/>
      <c r="E2349" s="246"/>
      <c r="F2349" s="246"/>
    </row>
    <row r="2350" spans="1:6" x14ac:dyDescent="0.25">
      <c r="A2350" s="86" t="s">
        <v>1517</v>
      </c>
      <c r="B2350" s="71" t="s">
        <v>1518</v>
      </c>
      <c r="C2350" s="327"/>
      <c r="D2350" s="50"/>
      <c r="E2350" s="246"/>
      <c r="F2350" s="246"/>
    </row>
    <row r="2351" spans="1:6" ht="60" x14ac:dyDescent="0.25">
      <c r="A2351" s="50" t="s">
        <v>1519</v>
      </c>
      <c r="B2351" s="24" t="s">
        <v>1520</v>
      </c>
      <c r="C2351" s="327" t="s">
        <v>1463</v>
      </c>
      <c r="D2351" s="87">
        <v>3128</v>
      </c>
      <c r="E2351" s="246">
        <v>160</v>
      </c>
      <c r="F2351" s="246">
        <v>500480</v>
      </c>
    </row>
    <row r="2352" spans="1:6" ht="30" x14ac:dyDescent="0.25">
      <c r="A2352" s="50" t="s">
        <v>1521</v>
      </c>
      <c r="B2352" s="24" t="s">
        <v>1522</v>
      </c>
      <c r="C2352" s="327" t="s">
        <v>1463</v>
      </c>
      <c r="D2352" s="87">
        <v>2154</v>
      </c>
      <c r="E2352" s="246">
        <v>160</v>
      </c>
      <c r="F2352" s="246">
        <v>344640</v>
      </c>
    </row>
    <row r="2353" spans="1:6" ht="30" x14ac:dyDescent="0.25">
      <c r="A2353" s="86" t="s">
        <v>1523</v>
      </c>
      <c r="B2353" s="24" t="s">
        <v>1524</v>
      </c>
      <c r="C2353" s="327" t="s">
        <v>1463</v>
      </c>
      <c r="D2353" s="87">
        <v>1410</v>
      </c>
      <c r="E2353" s="246">
        <v>160</v>
      </c>
      <c r="F2353" s="246">
        <v>225600</v>
      </c>
    </row>
    <row r="2354" spans="1:6" ht="30" x14ac:dyDescent="0.25">
      <c r="A2354" s="50" t="s">
        <v>1525</v>
      </c>
      <c r="B2354" s="24" t="s">
        <v>1526</v>
      </c>
      <c r="C2354" s="327" t="s">
        <v>1463</v>
      </c>
      <c r="D2354" s="87">
        <v>1036</v>
      </c>
      <c r="E2354" s="246">
        <v>140</v>
      </c>
      <c r="F2354" s="246">
        <v>145040</v>
      </c>
    </row>
    <row r="2355" spans="1:6" ht="60" x14ac:dyDescent="0.25">
      <c r="A2355" s="50" t="s">
        <v>1527</v>
      </c>
      <c r="B2355" s="24" t="s">
        <v>1528</v>
      </c>
      <c r="C2355" s="327" t="s">
        <v>1463</v>
      </c>
      <c r="D2355" s="50">
        <v>765</v>
      </c>
      <c r="E2355" s="246">
        <v>140</v>
      </c>
      <c r="F2355" s="246">
        <v>107100</v>
      </c>
    </row>
    <row r="2356" spans="1:6" ht="60" x14ac:dyDescent="0.25">
      <c r="A2356" s="50" t="s">
        <v>1529</v>
      </c>
      <c r="B2356" s="24" t="s">
        <v>1530</v>
      </c>
      <c r="C2356" s="327" t="s">
        <v>1463</v>
      </c>
      <c r="D2356" s="50">
        <v>761</v>
      </c>
      <c r="E2356" s="246">
        <v>160</v>
      </c>
      <c r="F2356" s="246">
        <v>121760</v>
      </c>
    </row>
    <row r="2357" spans="1:6" ht="60" x14ac:dyDescent="0.25">
      <c r="A2357" s="50" t="s">
        <v>1531</v>
      </c>
      <c r="B2357" s="24" t="s">
        <v>1532</v>
      </c>
      <c r="C2357" s="327" t="s">
        <v>1463</v>
      </c>
      <c r="D2357" s="50">
        <v>628</v>
      </c>
      <c r="E2357" s="246">
        <v>140</v>
      </c>
      <c r="F2357" s="246">
        <v>87920</v>
      </c>
    </row>
    <row r="2358" spans="1:6" ht="60" x14ac:dyDescent="0.25">
      <c r="A2358" s="50" t="s">
        <v>1533</v>
      </c>
      <c r="B2358" s="24" t="s">
        <v>1534</v>
      </c>
      <c r="C2358" s="327" t="s">
        <v>1463</v>
      </c>
      <c r="D2358" s="50">
        <v>117</v>
      </c>
      <c r="E2358" s="246">
        <v>130</v>
      </c>
      <c r="F2358" s="246">
        <v>15210</v>
      </c>
    </row>
    <row r="2359" spans="1:6" x14ac:dyDescent="0.25">
      <c r="A2359" s="50" t="s">
        <v>1535</v>
      </c>
      <c r="B2359" s="24" t="s">
        <v>1536</v>
      </c>
      <c r="C2359" s="327" t="s">
        <v>1463</v>
      </c>
      <c r="D2359" s="87">
        <v>2446</v>
      </c>
      <c r="E2359" s="246">
        <v>165</v>
      </c>
      <c r="F2359" s="246">
        <v>403590</v>
      </c>
    </row>
    <row r="2360" spans="1:6" x14ac:dyDescent="0.25">
      <c r="A2360" s="50"/>
      <c r="B2360" s="24"/>
      <c r="C2360" s="327"/>
      <c r="D2360" s="50"/>
      <c r="E2360" s="246"/>
      <c r="F2360" s="246"/>
    </row>
    <row r="2361" spans="1:6" ht="15.75" x14ac:dyDescent="0.25">
      <c r="A2361" s="86"/>
      <c r="B2361" s="88" t="s">
        <v>1457</v>
      </c>
      <c r="C2361" s="354"/>
      <c r="D2361" s="89"/>
      <c r="E2361" s="267"/>
      <c r="F2361" s="267">
        <v>1951340</v>
      </c>
    </row>
    <row r="2362" spans="1:6" x14ac:dyDescent="0.25">
      <c r="A2362" s="86"/>
      <c r="B2362" s="24"/>
      <c r="C2362" s="327"/>
      <c r="D2362" s="50"/>
      <c r="E2362" s="246"/>
      <c r="F2362" s="246"/>
    </row>
    <row r="2363" spans="1:6" ht="28.5" x14ac:dyDescent="0.25">
      <c r="A2363" s="86" t="s">
        <v>1537</v>
      </c>
      <c r="B2363" s="71" t="s">
        <v>1538</v>
      </c>
      <c r="C2363" s="327"/>
      <c r="D2363" s="50"/>
      <c r="E2363" s="246"/>
      <c r="F2363" s="246" t="s">
        <v>1539</v>
      </c>
    </row>
    <row r="2364" spans="1:6" ht="28.5" x14ac:dyDescent="0.25">
      <c r="A2364" s="50" t="s">
        <v>1540</v>
      </c>
      <c r="B2364" s="71" t="s">
        <v>1541</v>
      </c>
      <c r="C2364" s="327"/>
      <c r="D2364" s="50"/>
      <c r="E2364" s="246"/>
      <c r="F2364" s="246" t="s">
        <v>1539</v>
      </c>
    </row>
    <row r="2365" spans="1:6" ht="24" x14ac:dyDescent="0.25">
      <c r="A2365" s="50"/>
      <c r="B2365" s="91" t="s">
        <v>1542</v>
      </c>
      <c r="C2365" s="327"/>
      <c r="D2365" s="50"/>
      <c r="E2365" s="246"/>
      <c r="F2365" s="246" t="s">
        <v>1539</v>
      </c>
    </row>
    <row r="2366" spans="1:6" ht="30" x14ac:dyDescent="0.25">
      <c r="A2366" s="50" t="s">
        <v>1543</v>
      </c>
      <c r="B2366" s="24" t="s">
        <v>1544</v>
      </c>
      <c r="C2366" s="327" t="s">
        <v>1463</v>
      </c>
      <c r="D2366" s="87">
        <v>2900</v>
      </c>
      <c r="E2366" s="246">
        <v>2100</v>
      </c>
      <c r="F2366" s="246">
        <v>6090000</v>
      </c>
    </row>
    <row r="2367" spans="1:6" ht="30" x14ac:dyDescent="0.25">
      <c r="A2367" s="50" t="s">
        <v>1545</v>
      </c>
      <c r="B2367" s="24" t="s">
        <v>1546</v>
      </c>
      <c r="C2367" s="327" t="s">
        <v>1463</v>
      </c>
      <c r="D2367" s="87">
        <v>1104</v>
      </c>
      <c r="E2367" s="246">
        <v>800</v>
      </c>
      <c r="F2367" s="246">
        <v>883200</v>
      </c>
    </row>
    <row r="2368" spans="1:6" ht="30" x14ac:dyDescent="0.25">
      <c r="A2368" s="50" t="s">
        <v>1547</v>
      </c>
      <c r="B2368" s="24" t="s">
        <v>1548</v>
      </c>
      <c r="C2368" s="327" t="s">
        <v>1463</v>
      </c>
      <c r="D2368" s="87">
        <v>1678</v>
      </c>
      <c r="E2368" s="246">
        <v>800</v>
      </c>
      <c r="F2368" s="246">
        <v>1342400</v>
      </c>
    </row>
    <row r="2369" spans="1:6" x14ac:dyDescent="0.25">
      <c r="A2369" s="50" t="s">
        <v>1549</v>
      </c>
      <c r="B2369" s="24" t="s">
        <v>1550</v>
      </c>
      <c r="C2369" s="327" t="s">
        <v>1551</v>
      </c>
      <c r="D2369" s="50">
        <v>160</v>
      </c>
      <c r="E2369" s="246">
        <v>950</v>
      </c>
      <c r="F2369" s="246">
        <v>152000</v>
      </c>
    </row>
    <row r="2370" spans="1:6" x14ac:dyDescent="0.25">
      <c r="A2370" s="50" t="s">
        <v>1552</v>
      </c>
      <c r="B2370" s="24" t="s">
        <v>1553</v>
      </c>
      <c r="C2370" s="327" t="s">
        <v>1551</v>
      </c>
      <c r="D2370" s="50">
        <v>104</v>
      </c>
      <c r="E2370" s="246">
        <v>950</v>
      </c>
      <c r="F2370" s="246">
        <v>98800</v>
      </c>
    </row>
    <row r="2371" spans="1:6" x14ac:dyDescent="0.25">
      <c r="A2371" s="50" t="s">
        <v>1554</v>
      </c>
      <c r="B2371" s="24" t="s">
        <v>1555</v>
      </c>
      <c r="C2371" s="327" t="s">
        <v>1551</v>
      </c>
      <c r="D2371" s="50">
        <v>60</v>
      </c>
      <c r="E2371" s="246">
        <v>950</v>
      </c>
      <c r="F2371" s="246">
        <v>57000</v>
      </c>
    </row>
    <row r="2372" spans="1:6" x14ac:dyDescent="0.25">
      <c r="A2372" s="50" t="s">
        <v>1556</v>
      </c>
      <c r="B2372" s="24" t="s">
        <v>1557</v>
      </c>
      <c r="C2372" s="327" t="s">
        <v>1551</v>
      </c>
      <c r="D2372" s="50">
        <v>60</v>
      </c>
      <c r="E2372" s="246">
        <v>850</v>
      </c>
      <c r="F2372" s="246">
        <v>51000</v>
      </c>
    </row>
    <row r="2373" spans="1:6" x14ac:dyDescent="0.25">
      <c r="A2373" s="50"/>
      <c r="B2373" s="24"/>
      <c r="C2373" s="327"/>
      <c r="D2373" s="50"/>
      <c r="E2373" s="246"/>
      <c r="F2373" s="246"/>
    </row>
    <row r="2374" spans="1:6" ht="15.75" x14ac:dyDescent="0.25">
      <c r="A2374" s="50"/>
      <c r="B2374" s="88" t="s">
        <v>1457</v>
      </c>
      <c r="C2374" s="354"/>
      <c r="D2374" s="89"/>
      <c r="E2374" s="267"/>
      <c r="F2374" s="267">
        <v>8674400</v>
      </c>
    </row>
    <row r="2375" spans="1:6" x14ac:dyDescent="0.25">
      <c r="A2375" s="50"/>
      <c r="B2375" s="24"/>
      <c r="C2375" s="327"/>
      <c r="D2375" s="50"/>
      <c r="E2375" s="246"/>
      <c r="F2375" s="246"/>
    </row>
    <row r="2376" spans="1:6" x14ac:dyDescent="0.25">
      <c r="A2376" s="86" t="s">
        <v>1558</v>
      </c>
      <c r="B2376" s="71" t="s">
        <v>1559</v>
      </c>
      <c r="C2376" s="327"/>
      <c r="D2376" s="50"/>
      <c r="E2376" s="246"/>
      <c r="F2376" s="246"/>
    </row>
    <row r="2377" spans="1:6" ht="30" x14ac:dyDescent="0.25">
      <c r="A2377" s="50" t="s">
        <v>1560</v>
      </c>
      <c r="B2377" s="24" t="s">
        <v>1561</v>
      </c>
      <c r="C2377" s="327" t="s">
        <v>1463</v>
      </c>
      <c r="D2377" s="87">
        <v>2491</v>
      </c>
      <c r="E2377" s="246">
        <v>160</v>
      </c>
      <c r="F2377" s="246">
        <v>398560</v>
      </c>
    </row>
    <row r="2378" spans="1:6" ht="30" x14ac:dyDescent="0.25">
      <c r="A2378" s="50" t="s">
        <v>1562</v>
      </c>
      <c r="B2378" s="24" t="s">
        <v>1563</v>
      </c>
      <c r="C2378" s="327" t="s">
        <v>1463</v>
      </c>
      <c r="D2378" s="87">
        <v>2491</v>
      </c>
      <c r="E2378" s="246">
        <v>40</v>
      </c>
      <c r="F2378" s="246">
        <v>99640</v>
      </c>
    </row>
    <row r="2379" spans="1:6" ht="30" x14ac:dyDescent="0.25">
      <c r="A2379" s="50" t="s">
        <v>1564</v>
      </c>
      <c r="B2379" s="24" t="s">
        <v>1565</v>
      </c>
      <c r="C2379" s="327" t="s">
        <v>1463</v>
      </c>
      <c r="D2379" s="87">
        <v>2491</v>
      </c>
      <c r="E2379" s="246">
        <v>110</v>
      </c>
      <c r="F2379" s="246">
        <v>274010</v>
      </c>
    </row>
    <row r="2380" spans="1:6" ht="30" x14ac:dyDescent="0.25">
      <c r="A2380" s="50" t="s">
        <v>1566</v>
      </c>
      <c r="B2380" s="24" t="s">
        <v>1567</v>
      </c>
      <c r="C2380" s="327" t="s">
        <v>1463</v>
      </c>
      <c r="D2380" s="87">
        <v>2742</v>
      </c>
      <c r="E2380" s="246">
        <v>45</v>
      </c>
      <c r="F2380" s="246">
        <v>123390</v>
      </c>
    </row>
    <row r="2381" spans="1:6" ht="30" x14ac:dyDescent="0.25">
      <c r="A2381" s="50" t="s">
        <v>1568</v>
      </c>
      <c r="B2381" s="24" t="s">
        <v>1569</v>
      </c>
      <c r="C2381" s="327" t="s">
        <v>1463</v>
      </c>
      <c r="D2381" s="87">
        <v>2742</v>
      </c>
      <c r="E2381" s="246">
        <v>160</v>
      </c>
      <c r="F2381" s="246">
        <v>438720</v>
      </c>
    </row>
    <row r="2382" spans="1:6" ht="30" x14ac:dyDescent="0.25">
      <c r="A2382" s="50" t="s">
        <v>1570</v>
      </c>
      <c r="B2382" s="24" t="s">
        <v>1571</v>
      </c>
      <c r="C2382" s="327"/>
      <c r="D2382" s="50"/>
      <c r="E2382" s="246"/>
      <c r="F2382" s="246"/>
    </row>
    <row r="2383" spans="1:6" x14ac:dyDescent="0.25">
      <c r="A2383" s="50"/>
      <c r="B2383" s="24" t="s">
        <v>1572</v>
      </c>
      <c r="C2383" s="327" t="s">
        <v>1463</v>
      </c>
      <c r="D2383" s="87">
        <v>1680</v>
      </c>
      <c r="E2383" s="246">
        <v>90</v>
      </c>
      <c r="F2383" s="246">
        <v>151200</v>
      </c>
    </row>
    <row r="2384" spans="1:6" ht="30" x14ac:dyDescent="0.25">
      <c r="A2384" s="50" t="s">
        <v>1573</v>
      </c>
      <c r="B2384" s="24" t="s">
        <v>1574</v>
      </c>
      <c r="C2384" s="327" t="s">
        <v>1463</v>
      </c>
      <c r="D2384" s="87">
        <v>1680</v>
      </c>
      <c r="E2384" s="246">
        <v>80</v>
      </c>
      <c r="F2384" s="246">
        <v>134400</v>
      </c>
    </row>
    <row r="2385" spans="1:6" x14ac:dyDescent="0.25">
      <c r="A2385" s="50"/>
      <c r="B2385" s="24"/>
      <c r="C2385" s="327"/>
      <c r="D2385" s="50"/>
      <c r="E2385" s="246"/>
      <c r="F2385" s="246" t="s">
        <v>1473</v>
      </c>
    </row>
    <row r="2386" spans="1:6" ht="15.75" x14ac:dyDescent="0.25">
      <c r="A2386" s="50"/>
      <c r="B2386" s="88" t="s">
        <v>1457</v>
      </c>
      <c r="C2386" s="354"/>
      <c r="D2386" s="89"/>
      <c r="E2386" s="267"/>
      <c r="F2386" s="267">
        <v>1619920</v>
      </c>
    </row>
    <row r="2387" spans="1:6" x14ac:dyDescent="0.25">
      <c r="A2387" s="50"/>
      <c r="B2387" s="24"/>
      <c r="C2387" s="327"/>
      <c r="D2387" s="50"/>
      <c r="E2387" s="246"/>
      <c r="F2387" s="246"/>
    </row>
    <row r="2388" spans="1:6" x14ac:dyDescent="0.25">
      <c r="A2388" s="50" t="s">
        <v>1575</v>
      </c>
      <c r="B2388" s="71" t="s">
        <v>1576</v>
      </c>
      <c r="C2388" s="321" t="s">
        <v>1577</v>
      </c>
      <c r="D2388" s="86" t="s">
        <v>1578</v>
      </c>
      <c r="E2388" s="266" t="s">
        <v>1579</v>
      </c>
      <c r="F2388" s="266" t="s">
        <v>1431</v>
      </c>
    </row>
    <row r="2389" spans="1:6" x14ac:dyDescent="0.25">
      <c r="A2389" s="50" t="s">
        <v>1580</v>
      </c>
      <c r="B2389" s="24" t="s">
        <v>1581</v>
      </c>
      <c r="C2389" s="327"/>
      <c r="D2389" s="50"/>
      <c r="E2389" s="246"/>
      <c r="F2389" s="246"/>
    </row>
    <row r="2390" spans="1:6" ht="30" x14ac:dyDescent="0.25">
      <c r="A2390" s="50"/>
      <c r="B2390" s="24" t="s">
        <v>1582</v>
      </c>
      <c r="C2390" s="327"/>
      <c r="D2390" s="50"/>
      <c r="E2390" s="246"/>
      <c r="F2390" s="246"/>
    </row>
    <row r="2391" spans="1:6" x14ac:dyDescent="0.25">
      <c r="A2391" s="50"/>
      <c r="B2391" s="24" t="s">
        <v>1583</v>
      </c>
      <c r="C2391" s="327"/>
      <c r="D2391" s="50"/>
      <c r="E2391" s="246"/>
      <c r="F2391" s="246"/>
    </row>
    <row r="2392" spans="1:6" x14ac:dyDescent="0.25">
      <c r="A2392" s="50"/>
      <c r="B2392" s="24" t="s">
        <v>1584</v>
      </c>
      <c r="C2392" s="327">
        <v>6</v>
      </c>
      <c r="D2392" s="50">
        <v>48</v>
      </c>
      <c r="E2392" s="246">
        <v>84</v>
      </c>
      <c r="F2392" s="245">
        <v>366267</v>
      </c>
    </row>
    <row r="2393" spans="1:6" x14ac:dyDescent="0.25">
      <c r="A2393" s="50" t="s">
        <v>1585</v>
      </c>
      <c r="B2393" s="24" t="s">
        <v>1586</v>
      </c>
      <c r="C2393" s="327"/>
      <c r="D2393" s="50"/>
      <c r="E2393" s="246"/>
      <c r="F2393" s="246"/>
    </row>
    <row r="2394" spans="1:6" ht="45" x14ac:dyDescent="0.25">
      <c r="A2394" s="92"/>
      <c r="B2394" s="24" t="s">
        <v>1587</v>
      </c>
      <c r="C2394" s="327"/>
      <c r="D2394" s="50"/>
      <c r="E2394" s="246"/>
      <c r="F2394" s="246"/>
    </row>
    <row r="2395" spans="1:6" ht="30" x14ac:dyDescent="0.25">
      <c r="A2395" s="92"/>
      <c r="B2395" s="93" t="s">
        <v>1870</v>
      </c>
      <c r="C2395" s="327">
        <v>2</v>
      </c>
      <c r="D2395" s="49">
        <v>35</v>
      </c>
      <c r="E2395" s="246">
        <v>84</v>
      </c>
      <c r="F2395" s="245">
        <v>165605</v>
      </c>
    </row>
    <row r="2396" spans="1:6" x14ac:dyDescent="0.25">
      <c r="A2396" s="50" t="s">
        <v>1588</v>
      </c>
      <c r="B2396" s="24" t="s">
        <v>1589</v>
      </c>
      <c r="C2396" s="327"/>
      <c r="D2396" s="50"/>
      <c r="E2396" s="246"/>
      <c r="F2396" s="246"/>
    </row>
    <row r="2397" spans="1:6" ht="45" x14ac:dyDescent="0.25">
      <c r="A2397" s="50"/>
      <c r="B2397" s="24" t="s">
        <v>1587</v>
      </c>
      <c r="C2397" s="327">
        <v>4</v>
      </c>
      <c r="D2397" s="49">
        <v>35</v>
      </c>
      <c r="E2397" s="246">
        <v>84</v>
      </c>
      <c r="F2397" s="245">
        <v>331210</v>
      </c>
    </row>
    <row r="2398" spans="1:6" x14ac:dyDescent="0.25">
      <c r="A2398" s="86" t="s">
        <v>1590</v>
      </c>
      <c r="B2398" s="24" t="s">
        <v>1591</v>
      </c>
      <c r="C2398" s="321"/>
      <c r="D2398" s="86"/>
      <c r="E2398" s="266"/>
      <c r="F2398" s="246"/>
    </row>
    <row r="2399" spans="1:6" ht="45" x14ac:dyDescent="0.25">
      <c r="A2399" s="86"/>
      <c r="B2399" s="24" t="s">
        <v>1587</v>
      </c>
      <c r="C2399" s="327"/>
      <c r="D2399" s="50"/>
      <c r="E2399" s="246"/>
      <c r="F2399" s="246"/>
    </row>
    <row r="2400" spans="1:6" ht="30" x14ac:dyDescent="0.25">
      <c r="A2400" s="50"/>
      <c r="B2400" s="93" t="s">
        <v>1870</v>
      </c>
      <c r="C2400" s="327">
        <v>2</v>
      </c>
      <c r="D2400" s="50">
        <v>26</v>
      </c>
      <c r="E2400" s="246">
        <v>75</v>
      </c>
      <c r="F2400" s="245">
        <v>115568.2</v>
      </c>
    </row>
    <row r="2401" spans="1:6" x14ac:dyDescent="0.25">
      <c r="A2401" s="50" t="s">
        <v>1592</v>
      </c>
      <c r="B2401" s="24" t="s">
        <v>1593</v>
      </c>
      <c r="C2401" s="327"/>
      <c r="D2401" s="50"/>
      <c r="E2401" s="246"/>
      <c r="F2401" s="246"/>
    </row>
    <row r="2402" spans="1:6" ht="45" x14ac:dyDescent="0.25">
      <c r="A2402" s="50"/>
      <c r="B2402" s="24" t="s">
        <v>1587</v>
      </c>
      <c r="C2402" s="327"/>
      <c r="D2402" s="50"/>
      <c r="E2402" s="268"/>
      <c r="F2402" s="246"/>
    </row>
    <row r="2403" spans="1:6" ht="30" x14ac:dyDescent="0.25">
      <c r="A2403" s="50"/>
      <c r="B2403" s="93" t="s">
        <v>1870</v>
      </c>
      <c r="C2403" s="327">
        <v>4</v>
      </c>
      <c r="D2403" s="50">
        <v>24</v>
      </c>
      <c r="E2403" s="246">
        <v>75</v>
      </c>
      <c r="F2403" s="245">
        <v>248747.43</v>
      </c>
    </row>
    <row r="2404" spans="1:6" x14ac:dyDescent="0.25">
      <c r="A2404" s="50" t="s">
        <v>1594</v>
      </c>
      <c r="B2404" s="24" t="s">
        <v>1595</v>
      </c>
      <c r="C2404" s="327"/>
      <c r="D2404" s="50"/>
      <c r="E2404" s="260"/>
      <c r="F2404" s="246"/>
    </row>
    <row r="2405" spans="1:6" ht="30" x14ac:dyDescent="0.25">
      <c r="A2405" s="50"/>
      <c r="B2405" s="24" t="s">
        <v>1596</v>
      </c>
      <c r="C2405" s="327"/>
      <c r="D2405" s="50"/>
      <c r="E2405" s="260"/>
      <c r="F2405" s="246"/>
    </row>
    <row r="2406" spans="1:6" x14ac:dyDescent="0.25">
      <c r="A2406" s="50"/>
      <c r="B2406" s="93" t="s">
        <v>1871</v>
      </c>
      <c r="C2406" s="327"/>
      <c r="D2406" s="50"/>
      <c r="E2406" s="260"/>
      <c r="F2406" s="246"/>
    </row>
    <row r="2407" spans="1:6" ht="45" x14ac:dyDescent="0.25">
      <c r="A2407" s="50"/>
      <c r="B2407" s="24" t="s">
        <v>1597</v>
      </c>
      <c r="C2407" s="327">
        <v>7</v>
      </c>
      <c r="D2407" s="50">
        <v>30</v>
      </c>
      <c r="E2407" s="246">
        <v>17</v>
      </c>
      <c r="F2407" s="245">
        <v>193601.1</v>
      </c>
    </row>
    <row r="2408" spans="1:6" ht="90" x14ac:dyDescent="0.25">
      <c r="A2408" s="50" t="s">
        <v>1598</v>
      </c>
      <c r="B2408" s="94" t="s">
        <v>1599</v>
      </c>
      <c r="C2408" s="327">
        <v>3</v>
      </c>
      <c r="D2408" s="50">
        <v>30</v>
      </c>
      <c r="E2408" s="246">
        <v>17</v>
      </c>
      <c r="F2408" s="245">
        <v>69933.600000000006</v>
      </c>
    </row>
    <row r="2409" spans="1:6" x14ac:dyDescent="0.25">
      <c r="A2409" s="50" t="s">
        <v>1600</v>
      </c>
      <c r="B2409" s="94" t="s">
        <v>1591</v>
      </c>
      <c r="C2409" s="327"/>
      <c r="D2409" s="50"/>
      <c r="E2409" s="246"/>
      <c r="F2409" s="246"/>
    </row>
    <row r="2410" spans="1:6" ht="30" x14ac:dyDescent="0.25">
      <c r="A2410" s="50"/>
      <c r="B2410" s="94" t="s">
        <v>1601</v>
      </c>
      <c r="C2410" s="327">
        <v>1</v>
      </c>
      <c r="D2410" s="49">
        <v>68</v>
      </c>
      <c r="E2410" s="246">
        <v>84</v>
      </c>
      <c r="F2410" s="245">
        <v>68248.03</v>
      </c>
    </row>
    <row r="2411" spans="1:6" x14ac:dyDescent="0.25">
      <c r="A2411" s="50" t="s">
        <v>1602</v>
      </c>
      <c r="B2411" s="94" t="s">
        <v>1603</v>
      </c>
      <c r="C2411" s="327" t="s">
        <v>429</v>
      </c>
      <c r="D2411" s="50"/>
      <c r="E2411" s="246"/>
      <c r="F2411" s="246">
        <v>45000</v>
      </c>
    </row>
    <row r="2412" spans="1:6" x14ac:dyDescent="0.25">
      <c r="A2412" s="50"/>
      <c r="B2412" s="95"/>
      <c r="C2412" s="327"/>
      <c r="D2412" s="50"/>
      <c r="E2412" s="246"/>
      <c r="F2412" s="246"/>
    </row>
    <row r="2413" spans="1:6" ht="15.75" x14ac:dyDescent="0.25">
      <c r="A2413" s="50"/>
      <c r="B2413" s="88" t="s">
        <v>1457</v>
      </c>
      <c r="C2413" s="354"/>
      <c r="D2413" s="89"/>
      <c r="E2413" s="267"/>
      <c r="F2413" s="267">
        <v>1604180.36</v>
      </c>
    </row>
    <row r="2414" spans="1:6" x14ac:dyDescent="0.25">
      <c r="A2414" s="50"/>
      <c r="B2414" s="95"/>
      <c r="C2414" s="327"/>
      <c r="D2414" s="50"/>
      <c r="E2414" s="246"/>
      <c r="F2414" s="246"/>
    </row>
    <row r="2415" spans="1:6" x14ac:dyDescent="0.25">
      <c r="A2415" s="50" t="s">
        <v>202</v>
      </c>
      <c r="B2415" s="95" t="s">
        <v>1605</v>
      </c>
      <c r="C2415" s="327"/>
      <c r="D2415" s="50"/>
      <c r="E2415" s="246"/>
      <c r="F2415" s="246"/>
    </row>
    <row r="2416" spans="1:6" ht="63.75" x14ac:dyDescent="0.25">
      <c r="A2416" s="50" t="s">
        <v>1606</v>
      </c>
      <c r="B2416" s="95" t="s">
        <v>1612</v>
      </c>
      <c r="C2416" s="327"/>
      <c r="D2416" s="50"/>
      <c r="E2416" s="246"/>
      <c r="F2416" s="246"/>
    </row>
    <row r="2417" spans="1:6" x14ac:dyDescent="0.25">
      <c r="A2417" s="50"/>
      <c r="B2417" s="95" t="s">
        <v>1607</v>
      </c>
      <c r="C2417" s="327" t="s">
        <v>668</v>
      </c>
      <c r="D2417" s="50">
        <v>18</v>
      </c>
      <c r="E2417" s="246">
        <v>8500</v>
      </c>
      <c r="F2417" s="246">
        <f>D2417*E2417</f>
        <v>153000</v>
      </c>
    </row>
    <row r="2418" spans="1:6" x14ac:dyDescent="0.25">
      <c r="A2418" s="50"/>
      <c r="B2418" s="95" t="s">
        <v>1608</v>
      </c>
      <c r="C2418" s="327" t="s">
        <v>668</v>
      </c>
      <c r="D2418" s="50">
        <v>11</v>
      </c>
      <c r="E2418" s="246">
        <v>9500</v>
      </c>
      <c r="F2418" s="246">
        <f t="shared" ref="F2418:F2423" si="68">D2418*E2418</f>
        <v>104500</v>
      </c>
    </row>
    <row r="2419" spans="1:6" x14ac:dyDescent="0.25">
      <c r="A2419" s="50"/>
      <c r="B2419" s="95" t="s">
        <v>1609</v>
      </c>
      <c r="C2419" s="327" t="s">
        <v>668</v>
      </c>
      <c r="D2419" s="50">
        <v>14</v>
      </c>
      <c r="E2419" s="246">
        <v>10500</v>
      </c>
      <c r="F2419" s="246">
        <f t="shared" si="68"/>
        <v>147000</v>
      </c>
    </row>
    <row r="2420" spans="1:6" ht="25.5" x14ac:dyDescent="0.25">
      <c r="A2420" s="50" t="s">
        <v>1610</v>
      </c>
      <c r="B2420" s="95" t="s">
        <v>1611</v>
      </c>
      <c r="C2420" s="327"/>
      <c r="D2420" s="50"/>
      <c r="E2420" s="246"/>
      <c r="F2420" s="246"/>
    </row>
    <row r="2421" spans="1:6" x14ac:dyDescent="0.25">
      <c r="A2421" s="50"/>
      <c r="B2421" s="95" t="s">
        <v>1613</v>
      </c>
      <c r="C2421" s="327" t="s">
        <v>668</v>
      </c>
      <c r="D2421" s="50">
        <v>11</v>
      </c>
      <c r="E2421" s="246">
        <v>9850</v>
      </c>
      <c r="F2421" s="246">
        <f t="shared" si="68"/>
        <v>108350</v>
      </c>
    </row>
    <row r="2422" spans="1:6" x14ac:dyDescent="0.25">
      <c r="A2422" s="50"/>
      <c r="B2422" s="95" t="s">
        <v>1614</v>
      </c>
      <c r="C2422" s="327" t="s">
        <v>668</v>
      </c>
      <c r="D2422" s="50">
        <v>6</v>
      </c>
      <c r="E2422" s="246">
        <v>15000</v>
      </c>
      <c r="F2422" s="246">
        <f t="shared" si="68"/>
        <v>90000</v>
      </c>
    </row>
    <row r="2423" spans="1:6" ht="105" x14ac:dyDescent="0.25">
      <c r="A2423" s="73" t="s">
        <v>1615</v>
      </c>
      <c r="B2423" s="29" t="s">
        <v>1616</v>
      </c>
      <c r="C2423" s="360" t="s">
        <v>668</v>
      </c>
      <c r="D2423" s="73">
        <v>1</v>
      </c>
      <c r="E2423" s="269">
        <v>95000</v>
      </c>
      <c r="F2423" s="270">
        <f t="shared" si="68"/>
        <v>95000</v>
      </c>
    </row>
    <row r="2424" spans="1:6" x14ac:dyDescent="0.25">
      <c r="A2424" s="73"/>
      <c r="B2424" s="29"/>
      <c r="C2424" s="360"/>
      <c r="D2424" s="73"/>
      <c r="E2424" s="269"/>
    </row>
    <row r="2425" spans="1:6" ht="15.75" x14ac:dyDescent="0.25">
      <c r="A2425" s="73"/>
      <c r="B2425" s="96" t="s">
        <v>1617</v>
      </c>
      <c r="C2425" s="360"/>
      <c r="D2425" s="73"/>
      <c r="E2425" s="269"/>
      <c r="F2425" s="267">
        <f>SUM(F2417:F2423)</f>
        <v>697850</v>
      </c>
    </row>
    <row r="2426" spans="1:6" x14ac:dyDescent="0.25">
      <c r="A2426" s="73"/>
      <c r="B2426" s="29"/>
      <c r="C2426" s="360"/>
      <c r="D2426" s="73"/>
      <c r="E2426" s="269"/>
      <c r="F2426" s="246"/>
    </row>
    <row r="2427" spans="1:6" x14ac:dyDescent="0.25">
      <c r="A2427" s="73"/>
      <c r="B2427" s="29"/>
      <c r="C2427" s="360"/>
      <c r="D2427" s="73"/>
      <c r="E2427" s="269"/>
      <c r="F2427" s="246"/>
    </row>
    <row r="2428" spans="1:6" x14ac:dyDescent="0.25">
      <c r="A2428" s="73"/>
      <c r="B2428" s="29"/>
      <c r="C2428" s="360"/>
      <c r="D2428" s="73"/>
      <c r="E2428" s="269"/>
      <c r="F2428" s="246"/>
    </row>
    <row r="2429" spans="1:6" x14ac:dyDescent="0.25">
      <c r="A2429" s="73"/>
      <c r="B2429" s="29"/>
      <c r="C2429" s="360"/>
      <c r="D2429" s="73"/>
      <c r="E2429" s="269"/>
      <c r="F2429" s="246"/>
    </row>
    <row r="2430" spans="1:6" x14ac:dyDescent="0.25">
      <c r="A2430" s="73"/>
      <c r="B2430" s="29"/>
      <c r="C2430" s="360"/>
      <c r="D2430" s="73"/>
      <c r="E2430" s="269"/>
      <c r="F2430" s="246"/>
    </row>
    <row r="2431" spans="1:6" x14ac:dyDescent="0.25">
      <c r="A2431" s="73"/>
      <c r="B2431" s="29"/>
      <c r="C2431" s="360"/>
      <c r="D2431" s="73"/>
      <c r="E2431" s="269"/>
      <c r="F2431" s="246"/>
    </row>
    <row r="2432" spans="1:6" x14ac:dyDescent="0.25">
      <c r="A2432" s="73"/>
      <c r="B2432" s="29"/>
      <c r="C2432" s="360"/>
      <c r="D2432" s="73"/>
      <c r="E2432" s="269"/>
      <c r="F2432" s="246"/>
    </row>
    <row r="2433" spans="1:6" x14ac:dyDescent="0.25">
      <c r="A2433" s="73"/>
      <c r="B2433" s="29"/>
      <c r="C2433" s="360"/>
      <c r="D2433" s="73"/>
      <c r="E2433" s="269"/>
      <c r="F2433" s="246"/>
    </row>
    <row r="2434" spans="1:6" x14ac:dyDescent="0.25">
      <c r="A2434" s="73"/>
      <c r="B2434" s="29"/>
      <c r="C2434" s="360"/>
      <c r="D2434" s="73"/>
      <c r="E2434" s="269"/>
      <c r="F2434" s="246"/>
    </row>
    <row r="2435" spans="1:6" x14ac:dyDescent="0.25">
      <c r="A2435" s="73"/>
      <c r="B2435" s="29"/>
      <c r="C2435" s="360"/>
      <c r="D2435" s="73"/>
      <c r="E2435" s="269"/>
      <c r="F2435" s="246"/>
    </row>
    <row r="2436" spans="1:6" x14ac:dyDescent="0.25">
      <c r="A2436" s="73"/>
      <c r="B2436" s="29"/>
      <c r="C2436" s="360"/>
      <c r="D2436" s="73"/>
      <c r="E2436" s="269"/>
      <c r="F2436" s="246"/>
    </row>
    <row r="2437" spans="1:6" x14ac:dyDescent="0.25">
      <c r="A2437" s="73"/>
      <c r="B2437" s="29"/>
      <c r="C2437" s="360"/>
      <c r="D2437" s="73"/>
      <c r="E2437" s="269"/>
      <c r="F2437" s="246"/>
    </row>
    <row r="2438" spans="1:6" x14ac:dyDescent="0.25">
      <c r="A2438" s="73"/>
      <c r="B2438" s="29"/>
      <c r="C2438" s="360"/>
      <c r="D2438" s="73"/>
      <c r="E2438" s="269"/>
      <c r="F2438" s="246"/>
    </row>
    <row r="2439" spans="1:6" x14ac:dyDescent="0.25">
      <c r="A2439" s="73"/>
      <c r="B2439" s="29"/>
      <c r="C2439" s="360"/>
      <c r="D2439" s="73"/>
      <c r="E2439" s="269"/>
      <c r="F2439" s="246"/>
    </row>
    <row r="2440" spans="1:6" x14ac:dyDescent="0.25">
      <c r="A2440" s="73"/>
      <c r="B2440" s="29"/>
      <c r="C2440" s="360"/>
      <c r="D2440" s="73"/>
      <c r="E2440" s="269"/>
      <c r="F2440" s="246"/>
    </row>
    <row r="2441" spans="1:6" x14ac:dyDescent="0.25">
      <c r="A2441" s="73"/>
      <c r="B2441" s="29"/>
      <c r="C2441" s="360"/>
      <c r="D2441" s="73"/>
      <c r="E2441" s="269"/>
      <c r="F2441" s="246"/>
    </row>
    <row r="2442" spans="1:6" x14ac:dyDescent="0.25">
      <c r="A2442" s="73"/>
      <c r="B2442" s="29"/>
      <c r="C2442" s="360"/>
      <c r="D2442" s="73"/>
      <c r="E2442" s="269"/>
      <c r="F2442" s="246"/>
    </row>
    <row r="2443" spans="1:6" x14ac:dyDescent="0.25">
      <c r="A2443" s="73"/>
      <c r="B2443" s="29"/>
      <c r="C2443" s="360"/>
      <c r="D2443" s="73"/>
      <c r="E2443" s="269"/>
      <c r="F2443" s="246"/>
    </row>
    <row r="2444" spans="1:6" x14ac:dyDescent="0.25">
      <c r="A2444" s="73"/>
      <c r="B2444" s="29"/>
      <c r="C2444" s="360"/>
      <c r="D2444" s="73"/>
      <c r="E2444" s="269"/>
      <c r="F2444" s="246"/>
    </row>
    <row r="2445" spans="1:6" x14ac:dyDescent="0.25">
      <c r="A2445" s="590"/>
      <c r="B2445" s="591"/>
      <c r="C2445" s="592"/>
      <c r="D2445" s="590"/>
      <c r="E2445" s="593"/>
      <c r="F2445" s="593"/>
    </row>
    <row r="2446" spans="1:6" x14ac:dyDescent="0.25">
      <c r="A2446" s="590"/>
      <c r="B2446" s="591"/>
      <c r="C2446" s="592"/>
      <c r="D2446" s="590"/>
      <c r="E2446" s="593"/>
      <c r="F2446" s="593"/>
    </row>
    <row r="2447" spans="1:6" x14ac:dyDescent="0.25">
      <c r="A2447" s="590"/>
      <c r="B2447" s="591"/>
      <c r="C2447" s="592"/>
      <c r="D2447" s="590"/>
      <c r="E2447" s="593"/>
      <c r="F2447" s="593"/>
    </row>
    <row r="2448" spans="1:6" x14ac:dyDescent="0.25">
      <c r="A2448" s="590"/>
      <c r="B2448" s="591"/>
      <c r="C2448" s="592"/>
      <c r="D2448" s="590"/>
      <c r="E2448" s="593"/>
      <c r="F2448" s="593"/>
    </row>
    <row r="2449" spans="1:6" x14ac:dyDescent="0.25">
      <c r="A2449" s="590"/>
      <c r="B2449" s="591"/>
      <c r="C2449" s="592"/>
      <c r="D2449" s="590"/>
      <c r="E2449" s="593"/>
      <c r="F2449" s="593"/>
    </row>
    <row r="2450" spans="1:6" x14ac:dyDescent="0.25">
      <c r="A2450" s="590"/>
      <c r="B2450" s="591"/>
      <c r="C2450" s="592"/>
      <c r="D2450" s="590"/>
      <c r="E2450" s="593"/>
      <c r="F2450" s="593"/>
    </row>
    <row r="2451" spans="1:6" x14ac:dyDescent="0.25">
      <c r="A2451" s="590"/>
      <c r="B2451" s="591"/>
      <c r="C2451" s="592"/>
      <c r="D2451" s="590"/>
      <c r="E2451" s="593"/>
      <c r="F2451" s="593"/>
    </row>
    <row r="2452" spans="1:6" x14ac:dyDescent="0.25">
      <c r="A2452" s="590"/>
      <c r="B2452" s="591"/>
      <c r="C2452" s="592"/>
      <c r="D2452" s="590"/>
      <c r="E2452" s="593"/>
      <c r="F2452" s="593"/>
    </row>
    <row r="2453" spans="1:6" x14ac:dyDescent="0.25">
      <c r="A2453" s="590"/>
      <c r="B2453" s="591"/>
      <c r="C2453" s="592"/>
      <c r="D2453" s="590"/>
      <c r="E2453" s="593"/>
      <c r="F2453" s="593"/>
    </row>
    <row r="2454" spans="1:6" x14ac:dyDescent="0.25">
      <c r="A2454" s="590"/>
      <c r="B2454" s="591"/>
      <c r="C2454" s="592"/>
      <c r="D2454" s="590"/>
      <c r="E2454" s="593"/>
      <c r="F2454" s="593"/>
    </row>
    <row r="2455" spans="1:6" x14ac:dyDescent="0.25">
      <c r="A2455" s="590"/>
      <c r="B2455" s="591"/>
      <c r="C2455" s="592"/>
      <c r="D2455" s="590"/>
      <c r="E2455" s="593"/>
      <c r="F2455" s="593"/>
    </row>
    <row r="2456" spans="1:6" x14ac:dyDescent="0.25">
      <c r="A2456" s="590"/>
      <c r="B2456" s="591"/>
      <c r="C2456" s="592"/>
      <c r="D2456" s="590"/>
      <c r="E2456" s="593"/>
      <c r="F2456" s="593"/>
    </row>
    <row r="2457" spans="1:6" x14ac:dyDescent="0.25">
      <c r="A2457" s="590"/>
      <c r="B2457" s="591"/>
      <c r="C2457" s="592"/>
      <c r="D2457" s="590"/>
      <c r="E2457" s="593"/>
      <c r="F2457" s="593"/>
    </row>
    <row r="2458" spans="1:6" x14ac:dyDescent="0.25">
      <c r="A2458" s="590"/>
      <c r="B2458" s="591"/>
      <c r="C2458" s="592"/>
      <c r="D2458" s="590"/>
      <c r="E2458" s="593"/>
      <c r="F2458" s="593"/>
    </row>
    <row r="2459" spans="1:6" x14ac:dyDescent="0.25">
      <c r="A2459" s="590"/>
      <c r="B2459" s="591"/>
      <c r="C2459" s="592"/>
      <c r="D2459" s="590"/>
      <c r="E2459" s="593"/>
      <c r="F2459" s="593"/>
    </row>
    <row r="2460" spans="1:6" x14ac:dyDescent="0.25">
      <c r="A2460" s="590"/>
      <c r="B2460" s="591"/>
      <c r="C2460" s="592"/>
      <c r="D2460" s="590"/>
      <c r="E2460" s="593"/>
      <c r="F2460" s="593"/>
    </row>
    <row r="2461" spans="1:6" x14ac:dyDescent="0.25">
      <c r="A2461" s="590"/>
      <c r="B2461" s="591"/>
      <c r="C2461" s="592"/>
      <c r="D2461" s="590"/>
      <c r="E2461" s="593"/>
      <c r="F2461" s="593"/>
    </row>
    <row r="2462" spans="1:6" x14ac:dyDescent="0.25">
      <c r="A2462" s="590"/>
      <c r="B2462" s="591"/>
      <c r="C2462" s="592"/>
      <c r="D2462" s="590"/>
      <c r="E2462" s="593"/>
      <c r="F2462" s="593"/>
    </row>
    <row r="2463" spans="1:6" x14ac:dyDescent="0.25">
      <c r="A2463" s="590"/>
      <c r="B2463" s="591"/>
      <c r="C2463" s="592"/>
      <c r="D2463" s="590"/>
      <c r="E2463" s="593"/>
      <c r="F2463" s="593"/>
    </row>
    <row r="2464" spans="1:6" x14ac:dyDescent="0.25">
      <c r="A2464" s="590"/>
      <c r="B2464" s="591"/>
      <c r="C2464" s="592"/>
      <c r="D2464" s="590"/>
      <c r="E2464" s="593"/>
      <c r="F2464" s="593"/>
    </row>
    <row r="2465" spans="1:6" x14ac:dyDescent="0.25">
      <c r="A2465" s="590"/>
      <c r="B2465" s="591"/>
      <c r="C2465" s="592"/>
      <c r="D2465" s="590"/>
      <c r="E2465" s="593"/>
      <c r="F2465" s="593"/>
    </row>
    <row r="2466" spans="1:6" x14ac:dyDescent="0.25">
      <c r="A2466" s="73"/>
      <c r="B2466" s="579" t="s">
        <v>230</v>
      </c>
      <c r="C2466" s="579"/>
      <c r="D2466" s="579"/>
      <c r="E2466" s="580" t="s">
        <v>1431</v>
      </c>
      <c r="F2466" s="580"/>
    </row>
    <row r="2467" spans="1:6" x14ac:dyDescent="0.25">
      <c r="A2467" s="86" t="s">
        <v>1432</v>
      </c>
      <c r="B2467" s="576" t="s">
        <v>1433</v>
      </c>
      <c r="C2467" s="576"/>
      <c r="D2467" s="576"/>
      <c r="E2467" s="575">
        <v>515020</v>
      </c>
      <c r="F2467" s="575"/>
    </row>
    <row r="2468" spans="1:6" x14ac:dyDescent="0.25">
      <c r="A2468" s="86" t="s">
        <v>1458</v>
      </c>
      <c r="B2468" s="576" t="s">
        <v>1459</v>
      </c>
      <c r="C2468" s="576"/>
      <c r="D2468" s="576"/>
      <c r="E2468" s="575">
        <v>3641230</v>
      </c>
      <c r="F2468" s="575"/>
    </row>
    <row r="2469" spans="1:6" x14ac:dyDescent="0.25">
      <c r="A2469" s="50" t="s">
        <v>1502</v>
      </c>
      <c r="B2469" s="576" t="s">
        <v>1503</v>
      </c>
      <c r="C2469" s="576"/>
      <c r="D2469" s="576"/>
      <c r="E2469" s="575">
        <v>1030706.25</v>
      </c>
      <c r="F2469" s="575"/>
    </row>
    <row r="2470" spans="1:6" x14ac:dyDescent="0.25">
      <c r="A2470" s="86" t="s">
        <v>1509</v>
      </c>
      <c r="B2470" s="576" t="s">
        <v>1510</v>
      </c>
      <c r="C2470" s="576"/>
      <c r="D2470" s="576"/>
      <c r="E2470" s="575">
        <v>2509840</v>
      </c>
      <c r="F2470" s="575"/>
    </row>
    <row r="2471" spans="1:6" x14ac:dyDescent="0.25">
      <c r="A2471" s="86" t="s">
        <v>1517</v>
      </c>
      <c r="B2471" s="576" t="s">
        <v>1518</v>
      </c>
      <c r="C2471" s="576"/>
      <c r="D2471" s="576"/>
      <c r="E2471" s="575">
        <v>1951340</v>
      </c>
      <c r="F2471" s="575"/>
    </row>
    <row r="2472" spans="1:6" x14ac:dyDescent="0.25">
      <c r="A2472" s="71" t="s">
        <v>1537</v>
      </c>
      <c r="B2472" s="589" t="s">
        <v>1604</v>
      </c>
      <c r="C2472" s="589"/>
      <c r="D2472" s="589"/>
      <c r="E2472" s="575">
        <v>8674400</v>
      </c>
      <c r="F2472" s="575"/>
    </row>
    <row r="2473" spans="1:6" x14ac:dyDescent="0.25">
      <c r="A2473" s="86" t="s">
        <v>1558</v>
      </c>
      <c r="B2473" s="576" t="s">
        <v>1559</v>
      </c>
      <c r="C2473" s="576"/>
      <c r="D2473" s="576"/>
      <c r="E2473" s="575">
        <v>1619920</v>
      </c>
      <c r="F2473" s="575"/>
    </row>
    <row r="2474" spans="1:6" x14ac:dyDescent="0.25">
      <c r="A2474" s="50" t="s">
        <v>1575</v>
      </c>
      <c r="B2474" s="576" t="s">
        <v>1576</v>
      </c>
      <c r="C2474" s="576"/>
      <c r="D2474" s="576"/>
      <c r="E2474" s="575">
        <v>1604180.36</v>
      </c>
      <c r="F2474" s="575"/>
    </row>
    <row r="2475" spans="1:6" x14ac:dyDescent="0.25">
      <c r="A2475" s="50" t="s">
        <v>202</v>
      </c>
      <c r="B2475" s="582" t="s">
        <v>1605</v>
      </c>
      <c r="C2475" s="583"/>
      <c r="D2475" s="584"/>
      <c r="E2475" s="585">
        <v>697850</v>
      </c>
      <c r="F2475" s="586"/>
    </row>
    <row r="2476" spans="1:6" x14ac:dyDescent="0.25">
      <c r="A2476" s="50"/>
      <c r="B2476" s="577"/>
      <c r="C2476" s="577"/>
      <c r="D2476" s="577"/>
      <c r="E2476" s="578"/>
      <c r="F2476" s="578"/>
    </row>
    <row r="2477" spans="1:6" x14ac:dyDescent="0.25">
      <c r="A2477" s="50"/>
      <c r="B2477" s="579" t="s">
        <v>10</v>
      </c>
      <c r="C2477" s="579"/>
      <c r="D2477" s="579"/>
      <c r="E2477" s="580">
        <f>SUM(E2467:F2475)</f>
        <v>22244486.609999999</v>
      </c>
      <c r="F2477" s="580"/>
    </row>
    <row r="2478" spans="1:6" x14ac:dyDescent="0.25">
      <c r="A2478" s="50"/>
      <c r="B2478" s="577"/>
      <c r="C2478" s="577"/>
      <c r="D2478" s="577"/>
      <c r="E2478" s="581"/>
      <c r="F2478" s="581"/>
    </row>
    <row r="2479" spans="1:6" ht="15.75" thickBot="1" x14ac:dyDescent="0.3">
      <c r="A2479" s="26"/>
      <c r="B2479" s="594"/>
      <c r="C2479" s="595"/>
      <c r="D2479" s="53"/>
      <c r="E2479" s="248"/>
      <c r="F2479" s="248">
        <f t="shared" ref="F2479:F2539" si="69">E2479*C2479</f>
        <v>0</v>
      </c>
    </row>
    <row r="2480" spans="1:6" ht="15.75" thickBot="1" x14ac:dyDescent="0.3">
      <c r="A2480" s="56" t="s">
        <v>0</v>
      </c>
      <c r="B2480" s="6" t="s">
        <v>1</v>
      </c>
      <c r="C2480" s="332" t="s">
        <v>2</v>
      </c>
      <c r="D2480" s="6" t="s">
        <v>3</v>
      </c>
      <c r="E2480" s="264" t="s">
        <v>4</v>
      </c>
      <c r="F2480" s="264" t="s">
        <v>5</v>
      </c>
    </row>
    <row r="2481" spans="1:6" x14ac:dyDescent="0.25">
      <c r="A2481" s="13" t="s">
        <v>1618</v>
      </c>
      <c r="B2481" s="587" t="s">
        <v>1619</v>
      </c>
      <c r="C2481" s="588"/>
      <c r="D2481" s="15">
        <v>1</v>
      </c>
      <c r="F2481" s="16">
        <f t="shared" si="69"/>
        <v>0</v>
      </c>
    </row>
    <row r="2482" spans="1:6" x14ac:dyDescent="0.25">
      <c r="B2482" s="587"/>
      <c r="C2482" s="588"/>
      <c r="F2482" s="16">
        <f t="shared" si="69"/>
        <v>0</v>
      </c>
    </row>
    <row r="2483" spans="1:6" x14ac:dyDescent="0.25">
      <c r="B2483" s="587"/>
      <c r="C2483" s="588"/>
      <c r="F2483" s="16">
        <f t="shared" si="69"/>
        <v>0</v>
      </c>
    </row>
    <row r="2484" spans="1:6" x14ac:dyDescent="0.25">
      <c r="B2484" s="587"/>
      <c r="C2484" s="588"/>
      <c r="F2484" s="16">
        <f t="shared" si="69"/>
        <v>0</v>
      </c>
    </row>
    <row r="2485" spans="1:6" x14ac:dyDescent="0.25">
      <c r="B2485" s="587"/>
      <c r="C2485" s="588"/>
      <c r="F2485" s="16">
        <f t="shared" si="69"/>
        <v>0</v>
      </c>
    </row>
    <row r="2486" spans="1:6" x14ac:dyDescent="0.25">
      <c r="B2486" s="587"/>
      <c r="C2486" s="588"/>
      <c r="F2486" s="16">
        <f t="shared" si="69"/>
        <v>0</v>
      </c>
    </row>
    <row r="2487" spans="1:6" x14ac:dyDescent="0.25">
      <c r="B2487" s="587"/>
      <c r="C2487" s="588"/>
      <c r="F2487" s="16">
        <f t="shared" si="69"/>
        <v>0</v>
      </c>
    </row>
    <row r="2488" spans="1:6" x14ac:dyDescent="0.25">
      <c r="B2488" s="587"/>
      <c r="C2488" s="588"/>
      <c r="F2488" s="16">
        <f t="shared" si="69"/>
        <v>0</v>
      </c>
    </row>
    <row r="2489" spans="1:6" x14ac:dyDescent="0.25">
      <c r="B2489" s="587"/>
      <c r="C2489" s="588"/>
      <c r="F2489" s="16">
        <f t="shared" si="69"/>
        <v>0</v>
      </c>
    </row>
    <row r="2490" spans="1:6" x14ac:dyDescent="0.25">
      <c r="B2490" s="587"/>
      <c r="C2490" s="588"/>
      <c r="F2490" s="16">
        <f t="shared" si="69"/>
        <v>0</v>
      </c>
    </row>
    <row r="2491" spans="1:6" x14ac:dyDescent="0.25">
      <c r="B2491" s="587"/>
      <c r="C2491" s="588"/>
      <c r="F2491" s="16">
        <f t="shared" si="69"/>
        <v>0</v>
      </c>
    </row>
    <row r="2492" spans="1:6" x14ac:dyDescent="0.25">
      <c r="B2492" s="587"/>
      <c r="C2492" s="588"/>
      <c r="F2492" s="16">
        <f t="shared" si="69"/>
        <v>0</v>
      </c>
    </row>
    <row r="2493" spans="1:6" x14ac:dyDescent="0.25">
      <c r="B2493" s="587"/>
      <c r="C2493" s="588"/>
      <c r="F2493" s="16">
        <f t="shared" si="69"/>
        <v>0</v>
      </c>
    </row>
    <row r="2494" spans="1:6" x14ac:dyDescent="0.25">
      <c r="B2494" s="587"/>
      <c r="C2494" s="588"/>
      <c r="F2494" s="16">
        <f t="shared" si="69"/>
        <v>0</v>
      </c>
    </row>
    <row r="2495" spans="1:6" x14ac:dyDescent="0.25">
      <c r="B2495" s="587"/>
      <c r="C2495" s="588"/>
      <c r="F2495" s="16">
        <f t="shared" si="69"/>
        <v>0</v>
      </c>
    </row>
    <row r="2496" spans="1:6" x14ac:dyDescent="0.25">
      <c r="B2496" s="587"/>
      <c r="C2496" s="588"/>
      <c r="F2496" s="16">
        <f t="shared" si="69"/>
        <v>0</v>
      </c>
    </row>
    <row r="2497" spans="2:6" x14ac:dyDescent="0.25">
      <c r="B2497" s="587"/>
      <c r="C2497" s="588"/>
      <c r="F2497" s="16">
        <f t="shared" si="69"/>
        <v>0</v>
      </c>
    </row>
    <row r="2498" spans="2:6" x14ac:dyDescent="0.25">
      <c r="B2498" s="587"/>
      <c r="C2498" s="588"/>
      <c r="F2498" s="16">
        <f t="shared" si="69"/>
        <v>0</v>
      </c>
    </row>
    <row r="2499" spans="2:6" x14ac:dyDescent="0.25">
      <c r="B2499" s="587"/>
      <c r="C2499" s="588"/>
      <c r="F2499" s="16">
        <f t="shared" si="69"/>
        <v>0</v>
      </c>
    </row>
    <row r="2500" spans="2:6" x14ac:dyDescent="0.25">
      <c r="B2500" s="587"/>
      <c r="C2500" s="588"/>
      <c r="F2500" s="16">
        <f t="shared" si="69"/>
        <v>0</v>
      </c>
    </row>
    <row r="2501" spans="2:6" x14ac:dyDescent="0.25">
      <c r="B2501" s="587"/>
      <c r="C2501" s="588"/>
      <c r="F2501" s="16">
        <f t="shared" si="69"/>
        <v>0</v>
      </c>
    </row>
    <row r="2502" spans="2:6" x14ac:dyDescent="0.25">
      <c r="B2502" s="587"/>
      <c r="C2502" s="588"/>
      <c r="F2502" s="16">
        <f t="shared" si="69"/>
        <v>0</v>
      </c>
    </row>
    <row r="2503" spans="2:6" x14ac:dyDescent="0.25">
      <c r="B2503" s="587"/>
      <c r="C2503" s="588"/>
      <c r="F2503" s="16">
        <f t="shared" si="69"/>
        <v>0</v>
      </c>
    </row>
    <row r="2504" spans="2:6" x14ac:dyDescent="0.25">
      <c r="B2504" s="587"/>
      <c r="C2504" s="588"/>
      <c r="F2504" s="16">
        <f t="shared" si="69"/>
        <v>0</v>
      </c>
    </row>
    <row r="2505" spans="2:6" x14ac:dyDescent="0.25">
      <c r="B2505" s="587"/>
      <c r="C2505" s="588"/>
      <c r="F2505" s="16">
        <f t="shared" si="69"/>
        <v>0</v>
      </c>
    </row>
    <row r="2506" spans="2:6" x14ac:dyDescent="0.25">
      <c r="B2506" s="587"/>
      <c r="C2506" s="588"/>
      <c r="F2506" s="16">
        <f t="shared" si="69"/>
        <v>0</v>
      </c>
    </row>
    <row r="2507" spans="2:6" x14ac:dyDescent="0.25">
      <c r="B2507" s="587"/>
      <c r="C2507" s="588"/>
      <c r="F2507" s="16">
        <f t="shared" si="69"/>
        <v>0</v>
      </c>
    </row>
    <row r="2508" spans="2:6" x14ac:dyDescent="0.25">
      <c r="B2508" s="587"/>
      <c r="C2508" s="588"/>
      <c r="F2508" s="16">
        <f t="shared" si="69"/>
        <v>0</v>
      </c>
    </row>
    <row r="2509" spans="2:6" x14ac:dyDescent="0.25">
      <c r="B2509" s="587"/>
      <c r="C2509" s="588"/>
      <c r="F2509" s="16">
        <f t="shared" si="69"/>
        <v>0</v>
      </c>
    </row>
    <row r="2510" spans="2:6" x14ac:dyDescent="0.25">
      <c r="B2510" s="587"/>
      <c r="C2510" s="588"/>
      <c r="F2510" s="16">
        <f t="shared" si="69"/>
        <v>0</v>
      </c>
    </row>
    <row r="2511" spans="2:6" x14ac:dyDescent="0.25">
      <c r="B2511" s="587"/>
      <c r="C2511" s="588"/>
      <c r="F2511" s="16">
        <f t="shared" si="69"/>
        <v>0</v>
      </c>
    </row>
    <row r="2512" spans="2:6" x14ac:dyDescent="0.25">
      <c r="B2512" s="587"/>
      <c r="C2512" s="588"/>
      <c r="F2512" s="16">
        <f t="shared" si="69"/>
        <v>0</v>
      </c>
    </row>
    <row r="2513" spans="2:6" x14ac:dyDescent="0.25">
      <c r="B2513" s="587"/>
      <c r="C2513" s="588"/>
      <c r="F2513" s="16">
        <f t="shared" si="69"/>
        <v>0</v>
      </c>
    </row>
    <row r="2514" spans="2:6" x14ac:dyDescent="0.25">
      <c r="B2514" s="587"/>
      <c r="C2514" s="588"/>
      <c r="F2514" s="16">
        <f t="shared" si="69"/>
        <v>0</v>
      </c>
    </row>
    <row r="2515" spans="2:6" x14ac:dyDescent="0.25">
      <c r="B2515" s="587"/>
      <c r="C2515" s="588"/>
      <c r="F2515" s="16">
        <f t="shared" si="69"/>
        <v>0</v>
      </c>
    </row>
    <row r="2516" spans="2:6" x14ac:dyDescent="0.25">
      <c r="B2516" s="587"/>
      <c r="C2516" s="588"/>
      <c r="F2516" s="16">
        <f t="shared" si="69"/>
        <v>0</v>
      </c>
    </row>
    <row r="2517" spans="2:6" x14ac:dyDescent="0.25">
      <c r="B2517" s="587"/>
      <c r="C2517" s="588"/>
      <c r="F2517" s="16">
        <f t="shared" si="69"/>
        <v>0</v>
      </c>
    </row>
    <row r="2518" spans="2:6" x14ac:dyDescent="0.25">
      <c r="B2518" s="587"/>
      <c r="C2518" s="588"/>
      <c r="F2518" s="16">
        <f t="shared" si="69"/>
        <v>0</v>
      </c>
    </row>
    <row r="2519" spans="2:6" x14ac:dyDescent="0.25">
      <c r="B2519" s="587"/>
      <c r="C2519" s="588"/>
      <c r="F2519" s="16">
        <f t="shared" si="69"/>
        <v>0</v>
      </c>
    </row>
    <row r="2520" spans="2:6" x14ac:dyDescent="0.25">
      <c r="B2520" s="587"/>
      <c r="C2520" s="588"/>
      <c r="F2520" s="16">
        <f t="shared" si="69"/>
        <v>0</v>
      </c>
    </row>
    <row r="2521" spans="2:6" x14ac:dyDescent="0.25">
      <c r="B2521" s="587"/>
      <c r="C2521" s="588"/>
      <c r="F2521" s="16">
        <f t="shared" si="69"/>
        <v>0</v>
      </c>
    </row>
    <row r="2522" spans="2:6" x14ac:dyDescent="0.25">
      <c r="B2522" s="587"/>
      <c r="C2522" s="588"/>
      <c r="F2522" s="16">
        <f t="shared" si="69"/>
        <v>0</v>
      </c>
    </row>
    <row r="2523" spans="2:6" x14ac:dyDescent="0.25">
      <c r="B2523" s="587"/>
      <c r="C2523" s="588"/>
      <c r="F2523" s="16">
        <f t="shared" si="69"/>
        <v>0</v>
      </c>
    </row>
    <row r="2524" spans="2:6" x14ac:dyDescent="0.25">
      <c r="B2524" s="587"/>
      <c r="C2524" s="588"/>
      <c r="F2524" s="16">
        <f t="shared" si="69"/>
        <v>0</v>
      </c>
    </row>
    <row r="2525" spans="2:6" x14ac:dyDescent="0.25">
      <c r="B2525" s="587"/>
      <c r="C2525" s="588"/>
      <c r="F2525" s="16">
        <f t="shared" si="69"/>
        <v>0</v>
      </c>
    </row>
    <row r="2526" spans="2:6" x14ac:dyDescent="0.25">
      <c r="B2526" s="587"/>
      <c r="C2526" s="588"/>
      <c r="F2526" s="16">
        <f t="shared" si="69"/>
        <v>0</v>
      </c>
    </row>
    <row r="2527" spans="2:6" x14ac:dyDescent="0.25">
      <c r="B2527" s="587"/>
      <c r="C2527" s="588"/>
      <c r="F2527" s="16">
        <f t="shared" si="69"/>
        <v>0</v>
      </c>
    </row>
    <row r="2528" spans="2:6" x14ac:dyDescent="0.25">
      <c r="B2528" s="587"/>
      <c r="C2528" s="588"/>
      <c r="F2528" s="16">
        <f t="shared" si="69"/>
        <v>0</v>
      </c>
    </row>
    <row r="2529" spans="2:6" x14ac:dyDescent="0.25">
      <c r="B2529" s="587"/>
      <c r="C2529" s="588"/>
      <c r="F2529" s="16">
        <f t="shared" si="69"/>
        <v>0</v>
      </c>
    </row>
    <row r="2530" spans="2:6" x14ac:dyDescent="0.25">
      <c r="B2530" s="587"/>
      <c r="C2530" s="588"/>
      <c r="F2530" s="16">
        <f t="shared" si="69"/>
        <v>0</v>
      </c>
    </row>
    <row r="2531" spans="2:6" x14ac:dyDescent="0.25">
      <c r="B2531" s="587"/>
      <c r="C2531" s="588"/>
      <c r="F2531" s="16">
        <f t="shared" si="69"/>
        <v>0</v>
      </c>
    </row>
    <row r="2532" spans="2:6" x14ac:dyDescent="0.25">
      <c r="B2532" s="587"/>
      <c r="C2532" s="588"/>
      <c r="F2532" s="16">
        <f t="shared" si="69"/>
        <v>0</v>
      </c>
    </row>
    <row r="2533" spans="2:6" x14ac:dyDescent="0.25">
      <c r="B2533" s="587"/>
      <c r="C2533" s="588"/>
      <c r="F2533" s="16">
        <f t="shared" si="69"/>
        <v>0</v>
      </c>
    </row>
    <row r="2534" spans="2:6" x14ac:dyDescent="0.25">
      <c r="B2534" s="587"/>
      <c r="C2534" s="588"/>
      <c r="F2534" s="16">
        <f t="shared" si="69"/>
        <v>0</v>
      </c>
    </row>
    <row r="2535" spans="2:6" x14ac:dyDescent="0.25">
      <c r="B2535" s="587"/>
      <c r="C2535" s="588"/>
      <c r="F2535" s="16">
        <f t="shared" si="69"/>
        <v>0</v>
      </c>
    </row>
    <row r="2536" spans="2:6" x14ac:dyDescent="0.25">
      <c r="B2536" s="587"/>
      <c r="C2536" s="588"/>
      <c r="F2536" s="16">
        <f t="shared" si="69"/>
        <v>0</v>
      </c>
    </row>
    <row r="2537" spans="2:6" x14ac:dyDescent="0.25">
      <c r="B2537" s="587"/>
      <c r="C2537" s="588"/>
      <c r="F2537" s="16">
        <f t="shared" si="69"/>
        <v>0</v>
      </c>
    </row>
    <row r="2538" spans="2:6" x14ac:dyDescent="0.25">
      <c r="B2538" s="587"/>
      <c r="C2538" s="588"/>
      <c r="F2538" s="16">
        <f t="shared" si="69"/>
        <v>0</v>
      </c>
    </row>
    <row r="2539" spans="2:6" x14ac:dyDescent="0.25">
      <c r="B2539" s="587"/>
      <c r="C2539" s="588"/>
      <c r="F2539" s="16">
        <f t="shared" si="69"/>
        <v>0</v>
      </c>
    </row>
    <row r="2540" spans="2:6" x14ac:dyDescent="0.25">
      <c r="B2540" s="587"/>
      <c r="C2540" s="588"/>
      <c r="F2540" s="16">
        <f t="shared" ref="F2540:F2603" si="70">E2540*C2540</f>
        <v>0</v>
      </c>
    </row>
    <row r="2541" spans="2:6" x14ac:dyDescent="0.25">
      <c r="B2541" s="587"/>
      <c r="C2541" s="588"/>
      <c r="F2541" s="16">
        <f t="shared" si="70"/>
        <v>0</v>
      </c>
    </row>
    <row r="2542" spans="2:6" x14ac:dyDescent="0.25">
      <c r="B2542" s="587"/>
      <c r="C2542" s="588"/>
      <c r="F2542" s="16">
        <f t="shared" si="70"/>
        <v>0</v>
      </c>
    </row>
    <row r="2543" spans="2:6" x14ac:dyDescent="0.25">
      <c r="B2543" s="587"/>
      <c r="C2543" s="588"/>
      <c r="F2543" s="16">
        <f t="shared" si="70"/>
        <v>0</v>
      </c>
    </row>
    <row r="2544" spans="2:6" x14ac:dyDescent="0.25">
      <c r="B2544" s="587"/>
      <c r="C2544" s="588"/>
      <c r="F2544" s="16">
        <f t="shared" si="70"/>
        <v>0</v>
      </c>
    </row>
    <row r="2545" spans="2:6" x14ac:dyDescent="0.25">
      <c r="B2545" s="587"/>
      <c r="C2545" s="588"/>
      <c r="F2545" s="16">
        <f t="shared" si="70"/>
        <v>0</v>
      </c>
    </row>
    <row r="2546" spans="2:6" x14ac:dyDescent="0.25">
      <c r="B2546" s="587"/>
      <c r="C2546" s="588"/>
      <c r="F2546" s="16">
        <f t="shared" si="70"/>
        <v>0</v>
      </c>
    </row>
    <row r="2547" spans="2:6" x14ac:dyDescent="0.25">
      <c r="B2547" s="587"/>
      <c r="C2547" s="588"/>
      <c r="F2547" s="16">
        <f t="shared" si="70"/>
        <v>0</v>
      </c>
    </row>
    <row r="2548" spans="2:6" x14ac:dyDescent="0.25">
      <c r="B2548" s="587"/>
      <c r="C2548" s="588"/>
      <c r="F2548" s="16">
        <f t="shared" si="70"/>
        <v>0</v>
      </c>
    </row>
    <row r="2549" spans="2:6" x14ac:dyDescent="0.25">
      <c r="B2549" s="587"/>
      <c r="C2549" s="588"/>
      <c r="F2549" s="16">
        <f t="shared" si="70"/>
        <v>0</v>
      </c>
    </row>
    <row r="2550" spans="2:6" x14ac:dyDescent="0.25">
      <c r="B2550" s="587"/>
      <c r="C2550" s="588"/>
      <c r="F2550" s="16">
        <f t="shared" si="70"/>
        <v>0</v>
      </c>
    </row>
    <row r="2551" spans="2:6" x14ac:dyDescent="0.25">
      <c r="B2551" s="587"/>
      <c r="C2551" s="588"/>
      <c r="F2551" s="16">
        <f t="shared" si="70"/>
        <v>0</v>
      </c>
    </row>
    <row r="2552" spans="2:6" x14ac:dyDescent="0.25">
      <c r="B2552" s="587"/>
      <c r="C2552" s="588"/>
      <c r="F2552" s="16">
        <f t="shared" si="70"/>
        <v>0</v>
      </c>
    </row>
    <row r="2553" spans="2:6" x14ac:dyDescent="0.25">
      <c r="B2553" s="587"/>
      <c r="C2553" s="588"/>
      <c r="F2553" s="16">
        <f t="shared" si="70"/>
        <v>0</v>
      </c>
    </row>
    <row r="2554" spans="2:6" x14ac:dyDescent="0.25">
      <c r="B2554" s="587"/>
      <c r="C2554" s="588"/>
      <c r="F2554" s="16">
        <f t="shared" si="70"/>
        <v>0</v>
      </c>
    </row>
    <row r="2555" spans="2:6" x14ac:dyDescent="0.25">
      <c r="B2555" s="587"/>
      <c r="C2555" s="588"/>
      <c r="F2555" s="16">
        <f t="shared" si="70"/>
        <v>0</v>
      </c>
    </row>
    <row r="2556" spans="2:6" x14ac:dyDescent="0.25">
      <c r="B2556" s="587"/>
      <c r="C2556" s="588"/>
      <c r="F2556" s="16">
        <f t="shared" si="70"/>
        <v>0</v>
      </c>
    </row>
    <row r="2557" spans="2:6" x14ac:dyDescent="0.25">
      <c r="B2557" s="587"/>
      <c r="C2557" s="588"/>
      <c r="F2557" s="16">
        <f t="shared" si="70"/>
        <v>0</v>
      </c>
    </row>
    <row r="2558" spans="2:6" x14ac:dyDescent="0.25">
      <c r="B2558" s="587"/>
      <c r="C2558" s="588"/>
      <c r="F2558" s="16">
        <f t="shared" si="70"/>
        <v>0</v>
      </c>
    </row>
    <row r="2559" spans="2:6" x14ac:dyDescent="0.25">
      <c r="B2559" s="587"/>
      <c r="C2559" s="588"/>
      <c r="F2559" s="16">
        <f t="shared" si="70"/>
        <v>0</v>
      </c>
    </row>
    <row r="2560" spans="2:6" x14ac:dyDescent="0.25">
      <c r="B2560" s="587"/>
      <c r="C2560" s="588"/>
      <c r="F2560" s="16">
        <f t="shared" si="70"/>
        <v>0</v>
      </c>
    </row>
    <row r="2561" spans="2:6" x14ac:dyDescent="0.25">
      <c r="B2561" s="587"/>
      <c r="C2561" s="588"/>
      <c r="F2561" s="16">
        <f t="shared" si="70"/>
        <v>0</v>
      </c>
    </row>
    <row r="2562" spans="2:6" x14ac:dyDescent="0.25">
      <c r="B2562" s="587"/>
      <c r="C2562" s="588"/>
      <c r="F2562" s="16">
        <f t="shared" si="70"/>
        <v>0</v>
      </c>
    </row>
    <row r="2563" spans="2:6" x14ac:dyDescent="0.25">
      <c r="B2563" s="587"/>
      <c r="C2563" s="588"/>
      <c r="F2563" s="16">
        <f t="shared" si="70"/>
        <v>0</v>
      </c>
    </row>
    <row r="2564" spans="2:6" x14ac:dyDescent="0.25">
      <c r="B2564" s="587"/>
      <c r="C2564" s="588"/>
      <c r="F2564" s="16">
        <f t="shared" si="70"/>
        <v>0</v>
      </c>
    </row>
    <row r="2565" spans="2:6" x14ac:dyDescent="0.25">
      <c r="B2565" s="587"/>
      <c r="C2565" s="588"/>
      <c r="F2565" s="16">
        <f t="shared" si="70"/>
        <v>0</v>
      </c>
    </row>
    <row r="2566" spans="2:6" x14ac:dyDescent="0.25">
      <c r="B2566" s="587"/>
      <c r="C2566" s="588"/>
      <c r="F2566" s="16">
        <f t="shared" si="70"/>
        <v>0</v>
      </c>
    </row>
    <row r="2567" spans="2:6" x14ac:dyDescent="0.25">
      <c r="B2567" s="587"/>
      <c r="C2567" s="588"/>
      <c r="F2567" s="16">
        <f t="shared" si="70"/>
        <v>0</v>
      </c>
    </row>
    <row r="2568" spans="2:6" x14ac:dyDescent="0.25">
      <c r="B2568" s="587"/>
      <c r="C2568" s="588"/>
      <c r="F2568" s="16">
        <f t="shared" si="70"/>
        <v>0</v>
      </c>
    </row>
    <row r="2569" spans="2:6" x14ac:dyDescent="0.25">
      <c r="B2569" s="587"/>
      <c r="C2569" s="588"/>
      <c r="F2569" s="16">
        <f t="shared" si="70"/>
        <v>0</v>
      </c>
    </row>
    <row r="2570" spans="2:6" x14ac:dyDescent="0.25">
      <c r="B2570" s="587"/>
      <c r="C2570" s="588"/>
      <c r="F2570" s="16">
        <f t="shared" si="70"/>
        <v>0</v>
      </c>
    </row>
    <row r="2571" spans="2:6" x14ac:dyDescent="0.25">
      <c r="B2571" s="587"/>
      <c r="C2571" s="588"/>
      <c r="F2571" s="16">
        <f t="shared" si="70"/>
        <v>0</v>
      </c>
    </row>
    <row r="2572" spans="2:6" x14ac:dyDescent="0.25">
      <c r="B2572" s="587"/>
      <c r="C2572" s="588"/>
      <c r="F2572" s="16">
        <f t="shared" si="70"/>
        <v>0</v>
      </c>
    </row>
    <row r="2573" spans="2:6" x14ac:dyDescent="0.25">
      <c r="B2573" s="587"/>
      <c r="C2573" s="588"/>
      <c r="F2573" s="16">
        <f t="shared" si="70"/>
        <v>0</v>
      </c>
    </row>
    <row r="2574" spans="2:6" x14ac:dyDescent="0.25">
      <c r="B2574" s="587"/>
      <c r="C2574" s="588"/>
      <c r="F2574" s="16">
        <f t="shared" si="70"/>
        <v>0</v>
      </c>
    </row>
    <row r="2575" spans="2:6" x14ac:dyDescent="0.25">
      <c r="B2575" s="587"/>
      <c r="C2575" s="588"/>
      <c r="F2575" s="16">
        <f t="shared" si="70"/>
        <v>0</v>
      </c>
    </row>
    <row r="2576" spans="2:6" x14ac:dyDescent="0.25">
      <c r="B2576" s="587"/>
      <c r="C2576" s="588"/>
      <c r="F2576" s="16">
        <f t="shared" si="70"/>
        <v>0</v>
      </c>
    </row>
    <row r="2577" spans="2:6" x14ac:dyDescent="0.25">
      <c r="B2577" s="587"/>
      <c r="C2577" s="588"/>
      <c r="F2577" s="16">
        <f t="shared" si="70"/>
        <v>0</v>
      </c>
    </row>
    <row r="2578" spans="2:6" x14ac:dyDescent="0.25">
      <c r="B2578" s="587"/>
      <c r="C2578" s="588"/>
      <c r="F2578" s="16">
        <f t="shared" si="70"/>
        <v>0</v>
      </c>
    </row>
    <row r="2579" spans="2:6" x14ac:dyDescent="0.25">
      <c r="B2579" s="587"/>
      <c r="C2579" s="588"/>
      <c r="F2579" s="16">
        <f t="shared" si="70"/>
        <v>0</v>
      </c>
    </row>
    <row r="2580" spans="2:6" x14ac:dyDescent="0.25">
      <c r="B2580" s="587"/>
      <c r="C2580" s="588"/>
      <c r="F2580" s="16">
        <f t="shared" si="70"/>
        <v>0</v>
      </c>
    </row>
    <row r="2581" spans="2:6" x14ac:dyDescent="0.25">
      <c r="B2581" s="587"/>
      <c r="C2581" s="588"/>
      <c r="F2581" s="16">
        <f t="shared" si="70"/>
        <v>0</v>
      </c>
    </row>
    <row r="2582" spans="2:6" x14ac:dyDescent="0.25">
      <c r="B2582" s="587"/>
      <c r="C2582" s="588"/>
      <c r="F2582" s="16">
        <f t="shared" si="70"/>
        <v>0</v>
      </c>
    </row>
    <row r="2583" spans="2:6" x14ac:dyDescent="0.25">
      <c r="B2583" s="587"/>
      <c r="C2583" s="588"/>
      <c r="F2583" s="16">
        <f t="shared" si="70"/>
        <v>0</v>
      </c>
    </row>
    <row r="2584" spans="2:6" x14ac:dyDescent="0.25">
      <c r="B2584" s="587"/>
      <c r="C2584" s="588"/>
      <c r="F2584" s="16">
        <f t="shared" si="70"/>
        <v>0</v>
      </c>
    </row>
    <row r="2585" spans="2:6" x14ac:dyDescent="0.25">
      <c r="B2585" s="587"/>
      <c r="C2585" s="588"/>
      <c r="F2585" s="16">
        <f t="shared" si="70"/>
        <v>0</v>
      </c>
    </row>
    <row r="2586" spans="2:6" x14ac:dyDescent="0.25">
      <c r="B2586" s="587"/>
      <c r="C2586" s="588"/>
      <c r="F2586" s="16">
        <f t="shared" si="70"/>
        <v>0</v>
      </c>
    </row>
    <row r="2587" spans="2:6" x14ac:dyDescent="0.25">
      <c r="B2587" s="587"/>
      <c r="C2587" s="588"/>
      <c r="F2587" s="16">
        <f t="shared" si="70"/>
        <v>0</v>
      </c>
    </row>
    <row r="2588" spans="2:6" x14ac:dyDescent="0.25">
      <c r="B2588" s="587"/>
      <c r="C2588" s="588"/>
      <c r="F2588" s="16">
        <f t="shared" si="70"/>
        <v>0</v>
      </c>
    </row>
    <row r="2589" spans="2:6" x14ac:dyDescent="0.25">
      <c r="B2589" s="587"/>
      <c r="C2589" s="588"/>
      <c r="F2589" s="16">
        <f t="shared" si="70"/>
        <v>0</v>
      </c>
    </row>
    <row r="2590" spans="2:6" x14ac:dyDescent="0.25">
      <c r="B2590" s="587"/>
      <c r="C2590" s="588"/>
      <c r="F2590" s="16">
        <f t="shared" si="70"/>
        <v>0</v>
      </c>
    </row>
    <row r="2591" spans="2:6" x14ac:dyDescent="0.25">
      <c r="B2591" s="587"/>
      <c r="C2591" s="588"/>
      <c r="F2591" s="16">
        <f t="shared" si="70"/>
        <v>0</v>
      </c>
    </row>
    <row r="2592" spans="2:6" x14ac:dyDescent="0.25">
      <c r="B2592" s="587"/>
      <c r="C2592" s="588"/>
      <c r="F2592" s="16">
        <f t="shared" si="70"/>
        <v>0</v>
      </c>
    </row>
    <row r="2593" spans="2:6" x14ac:dyDescent="0.25">
      <c r="B2593" s="587"/>
      <c r="C2593" s="588"/>
      <c r="F2593" s="16">
        <f t="shared" si="70"/>
        <v>0</v>
      </c>
    </row>
    <row r="2594" spans="2:6" x14ac:dyDescent="0.25">
      <c r="B2594" s="587"/>
      <c r="C2594" s="588"/>
      <c r="F2594" s="16">
        <f t="shared" si="70"/>
        <v>0</v>
      </c>
    </row>
    <row r="2595" spans="2:6" x14ac:dyDescent="0.25">
      <c r="B2595" s="587"/>
      <c r="C2595" s="588"/>
      <c r="F2595" s="16">
        <f t="shared" si="70"/>
        <v>0</v>
      </c>
    </row>
    <row r="2596" spans="2:6" x14ac:dyDescent="0.25">
      <c r="B2596" s="587"/>
      <c r="C2596" s="588"/>
      <c r="F2596" s="16">
        <f t="shared" si="70"/>
        <v>0</v>
      </c>
    </row>
    <row r="2597" spans="2:6" x14ac:dyDescent="0.25">
      <c r="B2597" s="587"/>
      <c r="C2597" s="588"/>
      <c r="F2597" s="16">
        <f t="shared" si="70"/>
        <v>0</v>
      </c>
    </row>
    <row r="2598" spans="2:6" x14ac:dyDescent="0.25">
      <c r="B2598" s="587"/>
      <c r="C2598" s="588"/>
      <c r="F2598" s="16">
        <f t="shared" si="70"/>
        <v>0</v>
      </c>
    </row>
    <row r="2599" spans="2:6" x14ac:dyDescent="0.25">
      <c r="B2599" s="587"/>
      <c r="C2599" s="588"/>
      <c r="F2599" s="16">
        <f t="shared" si="70"/>
        <v>0</v>
      </c>
    </row>
    <row r="2600" spans="2:6" x14ac:dyDescent="0.25">
      <c r="B2600" s="587"/>
      <c r="C2600" s="588"/>
      <c r="F2600" s="16">
        <f t="shared" si="70"/>
        <v>0</v>
      </c>
    </row>
    <row r="2601" spans="2:6" x14ac:dyDescent="0.25">
      <c r="B2601" s="587"/>
      <c r="C2601" s="588"/>
      <c r="F2601" s="16">
        <f t="shared" si="70"/>
        <v>0</v>
      </c>
    </row>
    <row r="2602" spans="2:6" x14ac:dyDescent="0.25">
      <c r="B2602" s="587"/>
      <c r="C2602" s="588"/>
      <c r="F2602" s="16">
        <f t="shared" si="70"/>
        <v>0</v>
      </c>
    </row>
    <row r="2603" spans="2:6" x14ac:dyDescent="0.25">
      <c r="B2603" s="587"/>
      <c r="C2603" s="588"/>
      <c r="F2603" s="16">
        <f t="shared" si="70"/>
        <v>0</v>
      </c>
    </row>
    <row r="2604" spans="2:6" x14ac:dyDescent="0.25">
      <c r="B2604" s="587"/>
      <c r="C2604" s="588"/>
      <c r="F2604" s="16">
        <f t="shared" ref="F2604:F2667" si="71">E2604*C2604</f>
        <v>0</v>
      </c>
    </row>
    <row r="2605" spans="2:6" x14ac:dyDescent="0.25">
      <c r="B2605" s="587"/>
      <c r="C2605" s="588"/>
      <c r="F2605" s="16">
        <f t="shared" si="71"/>
        <v>0</v>
      </c>
    </row>
    <row r="2606" spans="2:6" x14ac:dyDescent="0.25">
      <c r="B2606" s="587"/>
      <c r="C2606" s="588"/>
      <c r="F2606" s="16">
        <f t="shared" si="71"/>
        <v>0</v>
      </c>
    </row>
    <row r="2607" spans="2:6" x14ac:dyDescent="0.25">
      <c r="B2607" s="587"/>
      <c r="C2607" s="588"/>
      <c r="F2607" s="16">
        <f t="shared" si="71"/>
        <v>0</v>
      </c>
    </row>
    <row r="2608" spans="2:6" x14ac:dyDescent="0.25">
      <c r="B2608" s="587"/>
      <c r="C2608" s="588"/>
      <c r="F2608" s="16">
        <f t="shared" si="71"/>
        <v>0</v>
      </c>
    </row>
    <row r="2609" spans="2:6" x14ac:dyDescent="0.25">
      <c r="B2609" s="587"/>
      <c r="C2609" s="588"/>
      <c r="F2609" s="16">
        <f t="shared" si="71"/>
        <v>0</v>
      </c>
    </row>
    <row r="2610" spans="2:6" x14ac:dyDescent="0.25">
      <c r="B2610" s="587"/>
      <c r="C2610" s="588"/>
      <c r="F2610" s="16">
        <f t="shared" si="71"/>
        <v>0</v>
      </c>
    </row>
    <row r="2611" spans="2:6" x14ac:dyDescent="0.25">
      <c r="B2611" s="587"/>
      <c r="C2611" s="588"/>
      <c r="F2611" s="16">
        <f t="shared" si="71"/>
        <v>0</v>
      </c>
    </row>
    <row r="2612" spans="2:6" x14ac:dyDescent="0.25">
      <c r="B2612" s="587"/>
      <c r="C2612" s="588"/>
      <c r="F2612" s="16">
        <f t="shared" si="71"/>
        <v>0</v>
      </c>
    </row>
    <row r="2613" spans="2:6" x14ac:dyDescent="0.25">
      <c r="B2613" s="587"/>
      <c r="C2613" s="588"/>
      <c r="F2613" s="16">
        <f t="shared" si="71"/>
        <v>0</v>
      </c>
    </row>
    <row r="2614" spans="2:6" x14ac:dyDescent="0.25">
      <c r="B2614" s="587"/>
      <c r="C2614" s="588"/>
      <c r="F2614" s="16">
        <f t="shared" si="71"/>
        <v>0</v>
      </c>
    </row>
    <row r="2615" spans="2:6" x14ac:dyDescent="0.25">
      <c r="B2615" s="587"/>
      <c r="C2615" s="588"/>
      <c r="F2615" s="16">
        <f t="shared" si="71"/>
        <v>0</v>
      </c>
    </row>
    <row r="2616" spans="2:6" x14ac:dyDescent="0.25">
      <c r="B2616" s="587"/>
      <c r="C2616" s="588"/>
      <c r="F2616" s="16">
        <f t="shared" si="71"/>
        <v>0</v>
      </c>
    </row>
    <row r="2617" spans="2:6" x14ac:dyDescent="0.25">
      <c r="B2617" s="587"/>
      <c r="C2617" s="588"/>
      <c r="F2617" s="16">
        <f t="shared" si="71"/>
        <v>0</v>
      </c>
    </row>
    <row r="2618" spans="2:6" x14ac:dyDescent="0.25">
      <c r="B2618" s="587"/>
      <c r="C2618" s="588"/>
      <c r="F2618" s="16">
        <f t="shared" si="71"/>
        <v>0</v>
      </c>
    </row>
    <row r="2619" spans="2:6" x14ac:dyDescent="0.25">
      <c r="B2619" s="587"/>
      <c r="C2619" s="588"/>
      <c r="F2619" s="16">
        <f t="shared" si="71"/>
        <v>0</v>
      </c>
    </row>
    <row r="2620" spans="2:6" x14ac:dyDescent="0.25">
      <c r="B2620" s="587"/>
      <c r="C2620" s="588"/>
      <c r="F2620" s="16">
        <f t="shared" si="71"/>
        <v>0</v>
      </c>
    </row>
    <row r="2621" spans="2:6" x14ac:dyDescent="0.25">
      <c r="B2621" s="587"/>
      <c r="C2621" s="588"/>
      <c r="F2621" s="16">
        <f t="shared" si="71"/>
        <v>0</v>
      </c>
    </row>
    <row r="2622" spans="2:6" x14ac:dyDescent="0.25">
      <c r="B2622" s="587"/>
      <c r="C2622" s="588"/>
      <c r="F2622" s="16">
        <f t="shared" si="71"/>
        <v>0</v>
      </c>
    </row>
    <row r="2623" spans="2:6" x14ac:dyDescent="0.25">
      <c r="B2623" s="587"/>
      <c r="C2623" s="588"/>
      <c r="F2623" s="16">
        <f t="shared" si="71"/>
        <v>0</v>
      </c>
    </row>
    <row r="2624" spans="2:6" x14ac:dyDescent="0.25">
      <c r="B2624" s="587"/>
      <c r="C2624" s="588"/>
      <c r="F2624" s="16">
        <f t="shared" si="71"/>
        <v>0</v>
      </c>
    </row>
    <row r="2625" spans="2:6" x14ac:dyDescent="0.25">
      <c r="B2625" s="587"/>
      <c r="C2625" s="588"/>
      <c r="F2625" s="16">
        <f t="shared" si="71"/>
        <v>0</v>
      </c>
    </row>
    <row r="2626" spans="2:6" x14ac:dyDescent="0.25">
      <c r="B2626" s="587"/>
      <c r="C2626" s="588"/>
      <c r="F2626" s="16">
        <f t="shared" si="71"/>
        <v>0</v>
      </c>
    </row>
    <row r="2627" spans="2:6" x14ac:dyDescent="0.25">
      <c r="B2627" s="587"/>
      <c r="C2627" s="588"/>
      <c r="F2627" s="16">
        <f t="shared" si="71"/>
        <v>0</v>
      </c>
    </row>
    <row r="2628" spans="2:6" x14ac:dyDescent="0.25">
      <c r="B2628" s="587"/>
      <c r="C2628" s="588"/>
      <c r="F2628" s="16">
        <f t="shared" si="71"/>
        <v>0</v>
      </c>
    </row>
    <row r="2629" spans="2:6" x14ac:dyDescent="0.25">
      <c r="B2629" s="587"/>
      <c r="C2629" s="588"/>
      <c r="F2629" s="16">
        <f t="shared" si="71"/>
        <v>0</v>
      </c>
    </row>
    <row r="2630" spans="2:6" x14ac:dyDescent="0.25">
      <c r="B2630" s="587"/>
      <c r="C2630" s="588"/>
      <c r="F2630" s="16">
        <f t="shared" si="71"/>
        <v>0</v>
      </c>
    </row>
    <row r="2631" spans="2:6" x14ac:dyDescent="0.25">
      <c r="B2631" s="587"/>
      <c r="C2631" s="588"/>
      <c r="F2631" s="16">
        <f t="shared" si="71"/>
        <v>0</v>
      </c>
    </row>
    <row r="2632" spans="2:6" x14ac:dyDescent="0.25">
      <c r="B2632" s="587"/>
      <c r="C2632" s="588"/>
      <c r="F2632" s="16">
        <f t="shared" si="71"/>
        <v>0</v>
      </c>
    </row>
    <row r="2633" spans="2:6" x14ac:dyDescent="0.25">
      <c r="B2633" s="587"/>
      <c r="C2633" s="588"/>
      <c r="F2633" s="16">
        <f t="shared" si="71"/>
        <v>0</v>
      </c>
    </row>
    <row r="2634" spans="2:6" x14ac:dyDescent="0.25">
      <c r="B2634" s="587"/>
      <c r="C2634" s="588"/>
      <c r="F2634" s="16">
        <f t="shared" si="71"/>
        <v>0</v>
      </c>
    </row>
    <row r="2635" spans="2:6" x14ac:dyDescent="0.25">
      <c r="B2635" s="587"/>
      <c r="C2635" s="588"/>
      <c r="F2635" s="16">
        <f t="shared" si="71"/>
        <v>0</v>
      </c>
    </row>
    <row r="2636" spans="2:6" x14ac:dyDescent="0.25">
      <c r="B2636" s="587"/>
      <c r="C2636" s="588"/>
      <c r="F2636" s="16">
        <f t="shared" si="71"/>
        <v>0</v>
      </c>
    </row>
    <row r="2637" spans="2:6" x14ac:dyDescent="0.25">
      <c r="B2637" s="587"/>
      <c r="C2637" s="588"/>
      <c r="F2637" s="16">
        <f t="shared" si="71"/>
        <v>0</v>
      </c>
    </row>
    <row r="2638" spans="2:6" x14ac:dyDescent="0.25">
      <c r="B2638" s="587"/>
      <c r="C2638" s="588"/>
      <c r="F2638" s="16">
        <f t="shared" si="71"/>
        <v>0</v>
      </c>
    </row>
    <row r="2639" spans="2:6" x14ac:dyDescent="0.25">
      <c r="B2639" s="587"/>
      <c r="C2639" s="588"/>
      <c r="F2639" s="16">
        <f t="shared" si="71"/>
        <v>0</v>
      </c>
    </row>
    <row r="2640" spans="2:6" x14ac:dyDescent="0.25">
      <c r="B2640" s="587"/>
      <c r="C2640" s="588"/>
      <c r="F2640" s="16">
        <f t="shared" si="71"/>
        <v>0</v>
      </c>
    </row>
    <row r="2641" spans="2:6" x14ac:dyDescent="0.25">
      <c r="B2641" s="587"/>
      <c r="C2641" s="588"/>
      <c r="F2641" s="16">
        <f t="shared" si="71"/>
        <v>0</v>
      </c>
    </row>
    <row r="2642" spans="2:6" x14ac:dyDescent="0.25">
      <c r="B2642" s="587"/>
      <c r="C2642" s="588"/>
      <c r="F2642" s="16">
        <f t="shared" si="71"/>
        <v>0</v>
      </c>
    </row>
    <row r="2643" spans="2:6" x14ac:dyDescent="0.25">
      <c r="B2643" s="587"/>
      <c r="C2643" s="588"/>
      <c r="F2643" s="16">
        <f t="shared" si="71"/>
        <v>0</v>
      </c>
    </row>
    <row r="2644" spans="2:6" x14ac:dyDescent="0.25">
      <c r="B2644" s="587"/>
      <c r="C2644" s="588"/>
      <c r="F2644" s="16">
        <f t="shared" si="71"/>
        <v>0</v>
      </c>
    </row>
    <row r="2645" spans="2:6" x14ac:dyDescent="0.25">
      <c r="B2645" s="587"/>
      <c r="C2645" s="588"/>
      <c r="F2645" s="16">
        <f t="shared" si="71"/>
        <v>0</v>
      </c>
    </row>
    <row r="2646" spans="2:6" x14ac:dyDescent="0.25">
      <c r="B2646" s="587"/>
      <c r="C2646" s="588"/>
      <c r="F2646" s="16">
        <f t="shared" si="71"/>
        <v>0</v>
      </c>
    </row>
    <row r="2647" spans="2:6" x14ac:dyDescent="0.25">
      <c r="B2647" s="587"/>
      <c r="C2647" s="588"/>
      <c r="F2647" s="16">
        <f t="shared" si="71"/>
        <v>0</v>
      </c>
    </row>
    <row r="2648" spans="2:6" x14ac:dyDescent="0.25">
      <c r="B2648" s="587"/>
      <c r="C2648" s="588"/>
      <c r="F2648" s="16">
        <f t="shared" si="71"/>
        <v>0</v>
      </c>
    </row>
    <row r="2649" spans="2:6" x14ac:dyDescent="0.25">
      <c r="B2649" s="587"/>
      <c r="C2649" s="588"/>
      <c r="F2649" s="16">
        <f t="shared" si="71"/>
        <v>0</v>
      </c>
    </row>
    <row r="2650" spans="2:6" x14ac:dyDescent="0.25">
      <c r="B2650" s="587"/>
      <c r="C2650" s="588"/>
      <c r="F2650" s="16">
        <f t="shared" si="71"/>
        <v>0</v>
      </c>
    </row>
    <row r="2651" spans="2:6" x14ac:dyDescent="0.25">
      <c r="B2651" s="587"/>
      <c r="C2651" s="588"/>
      <c r="F2651" s="16">
        <f t="shared" si="71"/>
        <v>0</v>
      </c>
    </row>
    <row r="2652" spans="2:6" x14ac:dyDescent="0.25">
      <c r="B2652" s="587"/>
      <c r="C2652" s="588"/>
      <c r="F2652" s="16">
        <f t="shared" si="71"/>
        <v>0</v>
      </c>
    </row>
    <row r="2653" spans="2:6" x14ac:dyDescent="0.25">
      <c r="B2653" s="587"/>
      <c r="C2653" s="588"/>
      <c r="F2653" s="16">
        <f t="shared" si="71"/>
        <v>0</v>
      </c>
    </row>
    <row r="2654" spans="2:6" x14ac:dyDescent="0.25">
      <c r="B2654" s="587"/>
      <c r="C2654" s="588"/>
      <c r="F2654" s="16">
        <f t="shared" si="71"/>
        <v>0</v>
      </c>
    </row>
    <row r="2655" spans="2:6" x14ac:dyDescent="0.25">
      <c r="B2655" s="587"/>
      <c r="C2655" s="588"/>
      <c r="F2655" s="16">
        <f t="shared" si="71"/>
        <v>0</v>
      </c>
    </row>
    <row r="2656" spans="2:6" x14ac:dyDescent="0.25">
      <c r="B2656" s="587"/>
      <c r="C2656" s="588"/>
      <c r="F2656" s="16">
        <f t="shared" si="71"/>
        <v>0</v>
      </c>
    </row>
    <row r="2657" spans="2:6" x14ac:dyDescent="0.25">
      <c r="B2657" s="587"/>
      <c r="C2657" s="588"/>
      <c r="F2657" s="16">
        <f t="shared" si="71"/>
        <v>0</v>
      </c>
    </row>
    <row r="2658" spans="2:6" x14ac:dyDescent="0.25">
      <c r="B2658" s="587"/>
      <c r="C2658" s="588"/>
      <c r="F2658" s="16">
        <f t="shared" si="71"/>
        <v>0</v>
      </c>
    </row>
    <row r="2659" spans="2:6" x14ac:dyDescent="0.25">
      <c r="B2659" s="587"/>
      <c r="C2659" s="588"/>
      <c r="F2659" s="16">
        <f t="shared" si="71"/>
        <v>0</v>
      </c>
    </row>
    <row r="2660" spans="2:6" x14ac:dyDescent="0.25">
      <c r="B2660" s="587"/>
      <c r="C2660" s="588"/>
      <c r="F2660" s="16">
        <f t="shared" si="71"/>
        <v>0</v>
      </c>
    </row>
    <row r="2661" spans="2:6" x14ac:dyDescent="0.25">
      <c r="B2661" s="587"/>
      <c r="C2661" s="588"/>
      <c r="F2661" s="16">
        <f t="shared" si="71"/>
        <v>0</v>
      </c>
    </row>
    <row r="2662" spans="2:6" x14ac:dyDescent="0.25">
      <c r="B2662" s="587"/>
      <c r="C2662" s="588"/>
      <c r="F2662" s="16">
        <f t="shared" si="71"/>
        <v>0</v>
      </c>
    </row>
    <row r="2663" spans="2:6" x14ac:dyDescent="0.25">
      <c r="B2663" s="587"/>
      <c r="C2663" s="588"/>
      <c r="F2663" s="16">
        <f t="shared" si="71"/>
        <v>0</v>
      </c>
    </row>
    <row r="2664" spans="2:6" x14ac:dyDescent="0.25">
      <c r="B2664" s="587"/>
      <c r="C2664" s="588"/>
      <c r="F2664" s="16">
        <f t="shared" si="71"/>
        <v>0</v>
      </c>
    </row>
    <row r="2665" spans="2:6" x14ac:dyDescent="0.25">
      <c r="B2665" s="587"/>
      <c r="C2665" s="588"/>
      <c r="F2665" s="16">
        <f t="shared" si="71"/>
        <v>0</v>
      </c>
    </row>
    <row r="2666" spans="2:6" x14ac:dyDescent="0.25">
      <c r="B2666" s="587"/>
      <c r="C2666" s="588"/>
      <c r="F2666" s="16">
        <f t="shared" si="71"/>
        <v>0</v>
      </c>
    </row>
    <row r="2667" spans="2:6" x14ac:dyDescent="0.25">
      <c r="B2667" s="587"/>
      <c r="C2667" s="588"/>
      <c r="F2667" s="16">
        <f t="shared" si="71"/>
        <v>0</v>
      </c>
    </row>
    <row r="2668" spans="2:6" x14ac:dyDescent="0.25">
      <c r="B2668" s="587"/>
      <c r="C2668" s="588"/>
      <c r="F2668" s="16">
        <f t="shared" ref="F2668:F2733" si="72">E2668*C2668</f>
        <v>0</v>
      </c>
    </row>
    <row r="2669" spans="2:6" x14ac:dyDescent="0.25">
      <c r="B2669" s="587"/>
      <c r="C2669" s="588"/>
      <c r="F2669" s="16">
        <f t="shared" si="72"/>
        <v>0</v>
      </c>
    </row>
    <row r="2670" spans="2:6" x14ac:dyDescent="0.25">
      <c r="B2670" s="587"/>
      <c r="C2670" s="588"/>
      <c r="F2670" s="16">
        <f t="shared" si="72"/>
        <v>0</v>
      </c>
    </row>
    <row r="2671" spans="2:6" x14ac:dyDescent="0.25">
      <c r="B2671" s="587"/>
      <c r="C2671" s="588"/>
      <c r="F2671" s="16">
        <f t="shared" si="72"/>
        <v>0</v>
      </c>
    </row>
    <row r="2672" spans="2:6" x14ac:dyDescent="0.25">
      <c r="B2672" s="587"/>
      <c r="C2672" s="588"/>
      <c r="F2672" s="16">
        <f t="shared" si="72"/>
        <v>0</v>
      </c>
    </row>
    <row r="2673" spans="1:6" x14ac:dyDescent="0.25">
      <c r="B2673" s="587"/>
      <c r="C2673" s="588"/>
      <c r="F2673" s="16">
        <f t="shared" si="72"/>
        <v>0</v>
      </c>
    </row>
    <row r="2674" spans="1:6" x14ac:dyDescent="0.25">
      <c r="B2674" s="587"/>
      <c r="C2674" s="588"/>
      <c r="F2674" s="16">
        <f t="shared" si="72"/>
        <v>0</v>
      </c>
    </row>
    <row r="2675" spans="1:6" ht="15.75" thickBot="1" x14ac:dyDescent="0.3">
      <c r="B2675" s="587"/>
      <c r="C2675" s="588"/>
      <c r="F2675" s="16">
        <f t="shared" si="72"/>
        <v>0</v>
      </c>
    </row>
    <row r="2676" spans="1:6" ht="15.75" thickBot="1" x14ac:dyDescent="0.3">
      <c r="A2676" s="56" t="s">
        <v>0</v>
      </c>
      <c r="B2676" s="6" t="s">
        <v>1</v>
      </c>
      <c r="C2676" s="333" t="s">
        <v>2</v>
      </c>
      <c r="D2676" s="6" t="s">
        <v>3</v>
      </c>
      <c r="E2676" s="264" t="s">
        <v>4</v>
      </c>
      <c r="F2676" s="264" t="s">
        <v>5</v>
      </c>
    </row>
    <row r="2677" spans="1:6" ht="30" x14ac:dyDescent="0.25">
      <c r="A2677" s="13" t="s">
        <v>1618</v>
      </c>
      <c r="B2677" s="97" t="s">
        <v>1619</v>
      </c>
      <c r="C2677" s="316">
        <v>1</v>
      </c>
      <c r="D2677" s="15" t="s">
        <v>945</v>
      </c>
      <c r="E2677" s="16">
        <v>7500</v>
      </c>
      <c r="F2677" s="16">
        <f>E2677*C2677</f>
        <v>7500</v>
      </c>
    </row>
    <row r="2678" spans="1:6" ht="75" x14ac:dyDescent="0.25">
      <c r="A2678" s="13" t="s">
        <v>1620</v>
      </c>
      <c r="B2678" s="14" t="s">
        <v>1624</v>
      </c>
      <c r="C2678" s="316">
        <v>1</v>
      </c>
      <c r="D2678" s="15" t="s">
        <v>945</v>
      </c>
      <c r="E2678" s="16">
        <v>46000</v>
      </c>
      <c r="F2678" s="16">
        <f t="shared" si="72"/>
        <v>46000</v>
      </c>
    </row>
    <row r="2679" spans="1:6" x14ac:dyDescent="0.25">
      <c r="A2679" s="13" t="s">
        <v>1621</v>
      </c>
      <c r="B2679" s="14" t="s">
        <v>1622</v>
      </c>
      <c r="C2679" s="316">
        <v>1</v>
      </c>
      <c r="D2679" s="15" t="s">
        <v>945</v>
      </c>
      <c r="E2679" s="16">
        <v>6000</v>
      </c>
      <c r="F2679" s="16">
        <f t="shared" si="72"/>
        <v>6000</v>
      </c>
    </row>
    <row r="2680" spans="1:6" ht="60" x14ac:dyDescent="0.25">
      <c r="A2680" s="13" t="s">
        <v>1623</v>
      </c>
      <c r="B2680" s="14" t="s">
        <v>1625</v>
      </c>
      <c r="C2680" s="316">
        <v>1</v>
      </c>
      <c r="D2680" s="15" t="s">
        <v>945</v>
      </c>
      <c r="E2680" s="16">
        <v>93600</v>
      </c>
      <c r="F2680" s="16">
        <f t="shared" si="72"/>
        <v>93600</v>
      </c>
    </row>
    <row r="2682" spans="1:6" x14ac:dyDescent="0.25">
      <c r="B2682" s="17" t="s">
        <v>224</v>
      </c>
      <c r="C2682" s="31"/>
      <c r="D2682" s="18"/>
      <c r="E2682" s="239"/>
      <c r="F2682" s="239">
        <f>SUM(F2677:F2680,F2680)</f>
        <v>246700</v>
      </c>
    </row>
    <row r="2683" spans="1:6" ht="15.75" thickBot="1" x14ac:dyDescent="0.3"/>
    <row r="2684" spans="1:6" ht="15.75" thickBot="1" x14ac:dyDescent="0.3">
      <c r="A2684" s="56" t="s">
        <v>0</v>
      </c>
      <c r="B2684" s="6" t="s">
        <v>1</v>
      </c>
      <c r="C2684" s="333" t="s">
        <v>2</v>
      </c>
      <c r="D2684" s="6" t="s">
        <v>3</v>
      </c>
      <c r="E2684" s="264" t="s">
        <v>4</v>
      </c>
      <c r="F2684" s="264" t="s">
        <v>5</v>
      </c>
    </row>
    <row r="2685" spans="1:6" ht="150" x14ac:dyDescent="0.25">
      <c r="B2685" s="14" t="s">
        <v>1626</v>
      </c>
      <c r="C2685" s="316">
        <v>880</v>
      </c>
      <c r="D2685" s="15" t="s">
        <v>769</v>
      </c>
      <c r="E2685" s="16">
        <v>590</v>
      </c>
      <c r="F2685" s="16">
        <f t="shared" si="72"/>
        <v>519200</v>
      </c>
    </row>
    <row r="2687" spans="1:6" x14ac:dyDescent="0.25">
      <c r="B2687" s="17" t="s">
        <v>224</v>
      </c>
      <c r="F2687" s="239">
        <f>SUM(F2685)</f>
        <v>519200</v>
      </c>
    </row>
    <row r="2689" spans="1:13" x14ac:dyDescent="0.25">
      <c r="F2689" s="16">
        <f t="shared" si="72"/>
        <v>0</v>
      </c>
    </row>
    <row r="2690" spans="1:13" x14ac:dyDescent="0.25">
      <c r="B2690" s="17" t="s">
        <v>1628</v>
      </c>
      <c r="F2690" s="16">
        <f t="shared" si="72"/>
        <v>0</v>
      </c>
    </row>
    <row r="2691" spans="1:13" x14ac:dyDescent="0.25">
      <c r="B2691" s="17" t="s">
        <v>1627</v>
      </c>
      <c r="F2691" s="16">
        <f t="shared" si="72"/>
        <v>0</v>
      </c>
    </row>
    <row r="2692" spans="1:13" ht="15.75" thickBot="1" x14ac:dyDescent="0.3">
      <c r="F2692" s="16">
        <f t="shared" si="72"/>
        <v>0</v>
      </c>
    </row>
    <row r="2693" spans="1:13" ht="15.75" thickBot="1" x14ac:dyDescent="0.3">
      <c r="A2693" s="56" t="s">
        <v>0</v>
      </c>
      <c r="B2693" s="6" t="s">
        <v>1</v>
      </c>
      <c r="C2693" s="333" t="s">
        <v>2</v>
      </c>
      <c r="D2693" s="6" t="s">
        <v>3</v>
      </c>
      <c r="E2693" s="264" t="s">
        <v>4</v>
      </c>
      <c r="F2693" s="264" t="s">
        <v>5</v>
      </c>
    </row>
    <row r="2694" spans="1:13" ht="60" x14ac:dyDescent="0.25">
      <c r="A2694" s="13" t="s">
        <v>1618</v>
      </c>
      <c r="B2694" s="14" t="s">
        <v>1640</v>
      </c>
      <c r="C2694" s="316">
        <v>1275</v>
      </c>
      <c r="D2694" s="15" t="s">
        <v>769</v>
      </c>
      <c r="E2694" s="16">
        <v>175</v>
      </c>
      <c r="F2694" s="16">
        <f t="shared" si="72"/>
        <v>223125</v>
      </c>
      <c r="K2694" s="33" t="s">
        <v>1630</v>
      </c>
      <c r="M2694" s="215">
        <v>1032</v>
      </c>
    </row>
    <row r="2695" spans="1:13" ht="60" x14ac:dyDescent="0.25">
      <c r="A2695" s="13" t="s">
        <v>1620</v>
      </c>
      <c r="B2695" s="14" t="s">
        <v>1641</v>
      </c>
      <c r="C2695" s="316">
        <v>4100</v>
      </c>
      <c r="D2695" s="15" t="s">
        <v>769</v>
      </c>
      <c r="E2695" s="16">
        <v>165</v>
      </c>
      <c r="F2695" s="16">
        <f t="shared" si="72"/>
        <v>676500</v>
      </c>
      <c r="H2695" s="99"/>
    </row>
    <row r="2696" spans="1:13" ht="60" x14ac:dyDescent="0.25">
      <c r="A2696" s="13" t="s">
        <v>1621</v>
      </c>
      <c r="B2696" s="14" t="s">
        <v>1642</v>
      </c>
      <c r="C2696" s="316">
        <v>1125</v>
      </c>
      <c r="D2696" s="15" t="s">
        <v>769</v>
      </c>
      <c r="E2696" s="16">
        <v>375</v>
      </c>
      <c r="F2696" s="16">
        <f>E2696*C2696</f>
        <v>421875</v>
      </c>
      <c r="H2696" s="99"/>
    </row>
    <row r="2697" spans="1:13" ht="45" x14ac:dyDescent="0.25">
      <c r="A2697" s="13" t="s">
        <v>1623</v>
      </c>
      <c r="B2697" s="14" t="s">
        <v>1643</v>
      </c>
      <c r="C2697" s="316">
        <v>1125</v>
      </c>
      <c r="D2697" s="15" t="s">
        <v>769</v>
      </c>
      <c r="E2697" s="16">
        <v>195</v>
      </c>
      <c r="F2697" s="16">
        <f t="shared" si="72"/>
        <v>219375</v>
      </c>
      <c r="K2697" s="33" t="s">
        <v>1629</v>
      </c>
      <c r="M2697" s="215">
        <v>242.87</v>
      </c>
    </row>
    <row r="2698" spans="1:13" ht="30" x14ac:dyDescent="0.25">
      <c r="A2698" s="13" t="s">
        <v>1631</v>
      </c>
      <c r="B2698" s="14" t="s">
        <v>1644</v>
      </c>
      <c r="C2698" s="316">
        <v>620</v>
      </c>
      <c r="D2698" s="15" t="s">
        <v>769</v>
      </c>
      <c r="E2698" s="16">
        <v>110</v>
      </c>
      <c r="F2698" s="16">
        <f t="shared" si="72"/>
        <v>68200</v>
      </c>
    </row>
    <row r="2699" spans="1:13" ht="75" x14ac:dyDescent="0.25">
      <c r="A2699" s="13" t="s">
        <v>1632</v>
      </c>
      <c r="B2699" s="14" t="s">
        <v>1645</v>
      </c>
      <c r="C2699" s="316">
        <v>1</v>
      </c>
      <c r="D2699" s="15" t="s">
        <v>11</v>
      </c>
      <c r="E2699" s="16">
        <v>165000</v>
      </c>
      <c r="F2699" s="16">
        <f>E2699*C2699</f>
        <v>165000</v>
      </c>
    </row>
    <row r="2700" spans="1:13" ht="45" x14ac:dyDescent="0.25">
      <c r="A2700" s="13" t="s">
        <v>1633</v>
      </c>
      <c r="B2700" s="14" t="s">
        <v>291</v>
      </c>
      <c r="C2700" s="316">
        <v>492</v>
      </c>
      <c r="D2700" s="15" t="s">
        <v>769</v>
      </c>
      <c r="E2700" s="16">
        <v>210</v>
      </c>
      <c r="F2700" s="16">
        <f t="shared" si="72"/>
        <v>103320</v>
      </c>
      <c r="L2700" s="33">
        <v>154</v>
      </c>
    </row>
    <row r="2701" spans="1:13" ht="60" x14ac:dyDescent="0.25">
      <c r="A2701" s="13" t="s">
        <v>1634</v>
      </c>
      <c r="B2701" s="14" t="s">
        <v>1639</v>
      </c>
      <c r="C2701" s="316">
        <v>1</v>
      </c>
      <c r="D2701" s="15" t="s">
        <v>641</v>
      </c>
      <c r="E2701" s="16">
        <v>430000</v>
      </c>
      <c r="F2701" s="16">
        <f t="shared" si="72"/>
        <v>430000</v>
      </c>
      <c r="J2701" s="99">
        <f>SUM(F2694:F2751)</f>
        <v>6165022.6500000004</v>
      </c>
      <c r="L2701" s="33">
        <v>182</v>
      </c>
    </row>
    <row r="2702" spans="1:13" ht="45" x14ac:dyDescent="0.25">
      <c r="A2702" s="13" t="s">
        <v>1635</v>
      </c>
      <c r="B2702" s="14" t="s">
        <v>1646</v>
      </c>
      <c r="C2702" s="316">
        <v>1</v>
      </c>
      <c r="D2702" s="15" t="s">
        <v>641</v>
      </c>
      <c r="E2702" s="16">
        <v>55000</v>
      </c>
      <c r="F2702" s="16">
        <f t="shared" si="72"/>
        <v>55000</v>
      </c>
      <c r="L2702" s="33">
        <v>154</v>
      </c>
    </row>
    <row r="2703" spans="1:13" ht="45" x14ac:dyDescent="0.25">
      <c r="A2703" s="13" t="s">
        <v>1385</v>
      </c>
      <c r="B2703" s="14" t="s">
        <v>1647</v>
      </c>
      <c r="C2703" s="316">
        <v>1</v>
      </c>
      <c r="D2703" s="15" t="s">
        <v>11</v>
      </c>
      <c r="E2703" s="16">
        <v>68000</v>
      </c>
      <c r="F2703" s="16">
        <f t="shared" si="72"/>
        <v>68000</v>
      </c>
      <c r="H2703" s="99"/>
    </row>
    <row r="2704" spans="1:13" x14ac:dyDescent="0.25">
      <c r="B2704" s="84" t="s">
        <v>1638</v>
      </c>
    </row>
    <row r="2705" spans="1:8" ht="75" x14ac:dyDescent="0.25">
      <c r="A2705" s="13" t="s">
        <v>1398</v>
      </c>
      <c r="B2705" s="14" t="s">
        <v>1648</v>
      </c>
      <c r="C2705" s="316">
        <v>1</v>
      </c>
      <c r="D2705" s="15" t="s">
        <v>11</v>
      </c>
      <c r="E2705" s="16">
        <v>68000</v>
      </c>
      <c r="F2705" s="16">
        <f t="shared" si="72"/>
        <v>68000</v>
      </c>
    </row>
    <row r="2706" spans="1:8" ht="45" x14ac:dyDescent="0.25">
      <c r="A2706" s="13" t="s">
        <v>1637</v>
      </c>
      <c r="B2706" s="14" t="s">
        <v>1636</v>
      </c>
      <c r="C2706" s="316">
        <v>1</v>
      </c>
      <c r="D2706" s="15" t="s">
        <v>11</v>
      </c>
      <c r="E2706" s="16">
        <v>120000</v>
      </c>
      <c r="F2706" s="16">
        <f t="shared" si="72"/>
        <v>120000</v>
      </c>
      <c r="H2706" s="99"/>
    </row>
    <row r="2707" spans="1:8" x14ac:dyDescent="0.25">
      <c r="H2707" s="99"/>
    </row>
    <row r="2708" spans="1:8" x14ac:dyDescent="0.25">
      <c r="B2708" s="17" t="s">
        <v>224</v>
      </c>
      <c r="C2708" s="31"/>
      <c r="D2708" s="18"/>
      <c r="E2708" s="239"/>
      <c r="F2708" s="239">
        <f>SUM(F2694:F2706)</f>
        <v>2618395</v>
      </c>
    </row>
    <row r="2709" spans="1:8" ht="15.75" thickBot="1" x14ac:dyDescent="0.3"/>
    <row r="2710" spans="1:8" ht="15.75" thickBot="1" x14ac:dyDescent="0.3">
      <c r="A2710" s="56" t="s">
        <v>0</v>
      </c>
      <c r="B2710" s="6" t="s">
        <v>1</v>
      </c>
      <c r="C2710" s="333" t="s">
        <v>2</v>
      </c>
      <c r="D2710" s="6" t="s">
        <v>3</v>
      </c>
      <c r="E2710" s="264" t="s">
        <v>4</v>
      </c>
      <c r="F2710" s="264" t="s">
        <v>5</v>
      </c>
    </row>
    <row r="2711" spans="1:8" ht="45" x14ac:dyDescent="0.25">
      <c r="A2711" s="13" t="s">
        <v>1618</v>
      </c>
      <c r="B2711" s="14" t="s">
        <v>1649</v>
      </c>
      <c r="C2711" s="316">
        <v>1</v>
      </c>
      <c r="D2711" s="15" t="s">
        <v>429</v>
      </c>
      <c r="E2711" s="16">
        <v>22500</v>
      </c>
      <c r="F2711" s="16">
        <f t="shared" ref="F2711:F2719" si="73">E2711*C2711</f>
        <v>22500</v>
      </c>
    </row>
    <row r="2712" spans="1:8" ht="45" x14ac:dyDescent="0.25">
      <c r="A2712" s="13" t="s">
        <v>1620</v>
      </c>
      <c r="B2712" s="14" t="s">
        <v>1650</v>
      </c>
      <c r="C2712" s="316">
        <v>9</v>
      </c>
      <c r="D2712" s="15" t="s">
        <v>33</v>
      </c>
      <c r="E2712" s="16">
        <v>1650</v>
      </c>
      <c r="F2712" s="16">
        <f t="shared" si="73"/>
        <v>14850</v>
      </c>
    </row>
    <row r="2713" spans="1:8" ht="45" x14ac:dyDescent="0.25">
      <c r="A2713" s="13" t="s">
        <v>1621</v>
      </c>
      <c r="B2713" s="14" t="s">
        <v>1651</v>
      </c>
      <c r="C2713" s="316">
        <v>37</v>
      </c>
      <c r="D2713" s="15" t="s">
        <v>9</v>
      </c>
      <c r="E2713" s="16">
        <v>420</v>
      </c>
      <c r="F2713" s="16">
        <f t="shared" si="73"/>
        <v>15540</v>
      </c>
    </row>
    <row r="2714" spans="1:8" ht="60" x14ac:dyDescent="0.25">
      <c r="A2714" s="13" t="s">
        <v>1623</v>
      </c>
      <c r="B2714" s="14" t="s">
        <v>1652</v>
      </c>
      <c r="C2714" s="316">
        <v>85</v>
      </c>
      <c r="D2714" s="15" t="s">
        <v>9</v>
      </c>
      <c r="E2714" s="16">
        <v>140</v>
      </c>
      <c r="F2714" s="16">
        <f t="shared" si="73"/>
        <v>11900</v>
      </c>
    </row>
    <row r="2715" spans="1:8" ht="75" x14ac:dyDescent="0.25">
      <c r="A2715" s="13" t="s">
        <v>1631</v>
      </c>
      <c r="B2715" s="14" t="s">
        <v>1653</v>
      </c>
      <c r="C2715" s="316">
        <v>1</v>
      </c>
      <c r="D2715" s="15" t="s">
        <v>11</v>
      </c>
      <c r="E2715" s="16">
        <v>62000</v>
      </c>
      <c r="F2715" s="16">
        <f t="shared" si="73"/>
        <v>62000</v>
      </c>
    </row>
    <row r="2716" spans="1:8" ht="45" x14ac:dyDescent="0.25">
      <c r="A2716" s="13" t="s">
        <v>1632</v>
      </c>
      <c r="B2716" s="14" t="s">
        <v>1654</v>
      </c>
      <c r="C2716" s="316">
        <v>44</v>
      </c>
      <c r="D2716" s="15" t="s">
        <v>9</v>
      </c>
      <c r="E2716" s="16">
        <v>360</v>
      </c>
      <c r="F2716" s="16">
        <f t="shared" si="73"/>
        <v>15840</v>
      </c>
    </row>
    <row r="2717" spans="1:8" ht="60" x14ac:dyDescent="0.25">
      <c r="A2717" s="13" t="s">
        <v>1633</v>
      </c>
      <c r="B2717" s="14" t="s">
        <v>1655</v>
      </c>
      <c r="C2717" s="316">
        <v>22</v>
      </c>
      <c r="D2717" s="15" t="s">
        <v>9</v>
      </c>
      <c r="E2717" s="16">
        <v>750</v>
      </c>
      <c r="F2717" s="16">
        <f t="shared" si="73"/>
        <v>16500</v>
      </c>
    </row>
    <row r="2718" spans="1:8" ht="60" x14ac:dyDescent="0.25">
      <c r="A2718" s="13" t="s">
        <v>1634</v>
      </c>
      <c r="B2718" s="14" t="s">
        <v>1656</v>
      </c>
      <c r="C2718" s="316">
        <v>78</v>
      </c>
      <c r="D2718" s="15" t="s">
        <v>9</v>
      </c>
      <c r="E2718" s="16">
        <v>140</v>
      </c>
      <c r="F2718" s="16">
        <f t="shared" si="73"/>
        <v>10920</v>
      </c>
    </row>
    <row r="2719" spans="1:8" ht="45" x14ac:dyDescent="0.25">
      <c r="A2719" s="13" t="s">
        <v>1635</v>
      </c>
      <c r="B2719" s="14" t="s">
        <v>1657</v>
      </c>
      <c r="C2719" s="316">
        <v>40</v>
      </c>
      <c r="D2719" s="15" t="s">
        <v>9</v>
      </c>
      <c r="E2719" s="16">
        <v>160</v>
      </c>
      <c r="F2719" s="16">
        <f t="shared" si="73"/>
        <v>6400</v>
      </c>
    </row>
    <row r="2721" spans="1:10" x14ac:dyDescent="0.25">
      <c r="B2721" s="17" t="s">
        <v>10</v>
      </c>
      <c r="C2721" s="31"/>
      <c r="D2721" s="18"/>
      <c r="E2721" s="239"/>
      <c r="F2721" s="239">
        <f>SUM(F2711:F2719)</f>
        <v>176450</v>
      </c>
    </row>
    <row r="2722" spans="1:10" ht="15.75" thickBot="1" x14ac:dyDescent="0.3"/>
    <row r="2723" spans="1:10" ht="15.75" thickBot="1" x14ac:dyDescent="0.3">
      <c r="A2723" s="56" t="s">
        <v>0</v>
      </c>
      <c r="B2723" s="6" t="s">
        <v>1</v>
      </c>
      <c r="C2723" s="333" t="s">
        <v>2</v>
      </c>
      <c r="D2723" s="6" t="s">
        <v>3</v>
      </c>
      <c r="E2723" s="264" t="s">
        <v>4</v>
      </c>
      <c r="F2723" s="264" t="s">
        <v>5</v>
      </c>
    </row>
    <row r="2724" spans="1:10" ht="30" x14ac:dyDescent="0.25">
      <c r="A2724" s="13" t="s">
        <v>1618</v>
      </c>
      <c r="B2724" s="14" t="s">
        <v>1658</v>
      </c>
      <c r="C2724" s="316">
        <v>2.6</v>
      </c>
      <c r="D2724" s="15" t="s">
        <v>30</v>
      </c>
      <c r="E2724" s="16">
        <v>1695</v>
      </c>
      <c r="F2724" s="16">
        <f t="shared" si="72"/>
        <v>4407</v>
      </c>
    </row>
    <row r="2725" spans="1:10" x14ac:dyDescent="0.25">
      <c r="A2725" s="13" t="s">
        <v>1620</v>
      </c>
      <c r="B2725" s="14" t="s">
        <v>1674</v>
      </c>
      <c r="C2725" s="316">
        <v>1.7</v>
      </c>
      <c r="D2725" s="15" t="s">
        <v>30</v>
      </c>
      <c r="E2725" s="16">
        <v>1236</v>
      </c>
      <c r="F2725" s="16">
        <f t="shared" si="72"/>
        <v>2101.1999999999998</v>
      </c>
    </row>
    <row r="2726" spans="1:10" ht="30" x14ac:dyDescent="0.25">
      <c r="A2726" s="13" t="s">
        <v>1621</v>
      </c>
      <c r="B2726" s="14" t="s">
        <v>1659</v>
      </c>
      <c r="C2726" s="316">
        <v>5</v>
      </c>
      <c r="D2726" s="15" t="s">
        <v>33</v>
      </c>
      <c r="E2726" s="16">
        <v>770</v>
      </c>
      <c r="F2726" s="16">
        <f t="shared" si="72"/>
        <v>3850</v>
      </c>
    </row>
    <row r="2727" spans="1:10" ht="30" x14ac:dyDescent="0.25">
      <c r="A2727" s="13" t="s">
        <v>1623</v>
      </c>
      <c r="B2727" s="14" t="s">
        <v>1691</v>
      </c>
      <c r="C2727" s="316">
        <v>1.62</v>
      </c>
      <c r="D2727" s="15" t="s">
        <v>30</v>
      </c>
      <c r="E2727" s="16">
        <v>3885</v>
      </c>
      <c r="F2727" s="16">
        <f t="shared" si="72"/>
        <v>6293.7000000000007</v>
      </c>
    </row>
    <row r="2728" spans="1:10" x14ac:dyDescent="0.25">
      <c r="A2728" s="13" t="s">
        <v>1631</v>
      </c>
      <c r="B2728" s="14" t="s">
        <v>1042</v>
      </c>
      <c r="C2728" s="316">
        <v>46</v>
      </c>
      <c r="D2728" s="15" t="s">
        <v>33</v>
      </c>
      <c r="E2728" s="16">
        <v>55</v>
      </c>
      <c r="F2728" s="16">
        <f t="shared" si="72"/>
        <v>2530</v>
      </c>
    </row>
    <row r="2729" spans="1:10" ht="45" x14ac:dyDescent="0.25">
      <c r="A2729" s="13" t="s">
        <v>1632</v>
      </c>
      <c r="B2729" s="14" t="s">
        <v>1690</v>
      </c>
      <c r="C2729" s="316">
        <v>432</v>
      </c>
      <c r="D2729" s="15" t="s">
        <v>9</v>
      </c>
      <c r="E2729" s="16">
        <v>120</v>
      </c>
      <c r="F2729" s="16">
        <f t="shared" si="72"/>
        <v>51840</v>
      </c>
    </row>
    <row r="2730" spans="1:10" x14ac:dyDescent="0.25">
      <c r="A2730" s="13" t="s">
        <v>1633</v>
      </c>
      <c r="B2730" s="14" t="s">
        <v>1678</v>
      </c>
      <c r="C2730" s="316">
        <v>5</v>
      </c>
      <c r="D2730" s="15" t="s">
        <v>33</v>
      </c>
      <c r="E2730" s="16">
        <v>290</v>
      </c>
      <c r="F2730" s="16">
        <f t="shared" si="72"/>
        <v>1450</v>
      </c>
    </row>
    <row r="2731" spans="1:10" ht="45" x14ac:dyDescent="0.25">
      <c r="A2731" s="13" t="s">
        <v>1634</v>
      </c>
      <c r="B2731" s="14" t="s">
        <v>1675</v>
      </c>
      <c r="C2731" s="316">
        <v>46</v>
      </c>
      <c r="D2731" s="15" t="s">
        <v>33</v>
      </c>
      <c r="E2731" s="16">
        <v>115</v>
      </c>
      <c r="F2731" s="16">
        <f t="shared" si="72"/>
        <v>5290</v>
      </c>
    </row>
    <row r="2732" spans="1:10" ht="30" x14ac:dyDescent="0.25">
      <c r="A2732" s="13" t="s">
        <v>1635</v>
      </c>
      <c r="B2732" s="14" t="s">
        <v>1693</v>
      </c>
      <c r="C2732" s="316">
        <v>25</v>
      </c>
      <c r="D2732" s="15" t="s">
        <v>9</v>
      </c>
      <c r="E2732" s="16">
        <v>90</v>
      </c>
      <c r="F2732" s="16">
        <f t="shared" si="72"/>
        <v>2250</v>
      </c>
    </row>
    <row r="2733" spans="1:10" ht="30" x14ac:dyDescent="0.25">
      <c r="A2733" s="13" t="s">
        <v>1385</v>
      </c>
      <c r="B2733" s="14" t="s">
        <v>1695</v>
      </c>
      <c r="C2733" s="316">
        <v>246.4</v>
      </c>
      <c r="D2733" s="15" t="s">
        <v>9</v>
      </c>
      <c r="E2733" s="16">
        <v>65</v>
      </c>
      <c r="F2733" s="16">
        <f t="shared" si="72"/>
        <v>16016</v>
      </c>
    </row>
    <row r="2734" spans="1:10" ht="30" x14ac:dyDescent="0.25">
      <c r="A2734" s="13" t="s">
        <v>1398</v>
      </c>
      <c r="B2734" s="14" t="s">
        <v>1694</v>
      </c>
      <c r="C2734" s="316">
        <v>246.4</v>
      </c>
      <c r="D2734" s="15" t="s">
        <v>9</v>
      </c>
      <c r="E2734" s="16">
        <v>75</v>
      </c>
      <c r="F2734" s="16">
        <f t="shared" ref="F2734:F2761" si="74">E2734*C2734</f>
        <v>18480</v>
      </c>
      <c r="J2734" s="33" t="s">
        <v>1683</v>
      </c>
    </row>
    <row r="2735" spans="1:10" ht="30" x14ac:dyDescent="0.25">
      <c r="A2735" s="13" t="s">
        <v>1637</v>
      </c>
      <c r="B2735" s="14" t="s">
        <v>1689</v>
      </c>
      <c r="C2735" s="316">
        <v>468</v>
      </c>
      <c r="D2735" s="15" t="s">
        <v>9</v>
      </c>
      <c r="E2735" s="16">
        <v>95</v>
      </c>
      <c r="F2735" s="16">
        <f t="shared" si="74"/>
        <v>44460</v>
      </c>
    </row>
    <row r="2736" spans="1:10" ht="30" x14ac:dyDescent="0.25">
      <c r="A2736" s="13" t="s">
        <v>1660</v>
      </c>
      <c r="B2736" s="14" t="s">
        <v>1688</v>
      </c>
      <c r="C2736" s="316">
        <v>487</v>
      </c>
      <c r="D2736" s="15" t="s">
        <v>9</v>
      </c>
      <c r="E2736" s="16">
        <v>75</v>
      </c>
      <c r="F2736" s="16">
        <f t="shared" si="74"/>
        <v>36525</v>
      </c>
    </row>
    <row r="2737" spans="1:6" ht="30" x14ac:dyDescent="0.25">
      <c r="A2737" s="13" t="s">
        <v>1661</v>
      </c>
      <c r="B2737" s="14" t="s">
        <v>1004</v>
      </c>
      <c r="C2737" s="316">
        <v>468</v>
      </c>
      <c r="D2737" s="15" t="s">
        <v>9</v>
      </c>
      <c r="E2737" s="16">
        <v>28</v>
      </c>
      <c r="F2737" s="16">
        <f t="shared" si="74"/>
        <v>13104</v>
      </c>
    </row>
    <row r="2738" spans="1:6" ht="30" x14ac:dyDescent="0.25">
      <c r="A2738" s="13" t="s">
        <v>1662</v>
      </c>
      <c r="B2738" s="14" t="s">
        <v>1687</v>
      </c>
      <c r="C2738" s="316">
        <v>468</v>
      </c>
      <c r="D2738" s="15" t="s">
        <v>9</v>
      </c>
      <c r="E2738" s="16">
        <v>38</v>
      </c>
      <c r="F2738" s="16">
        <f t="shared" si="74"/>
        <v>17784</v>
      </c>
    </row>
    <row r="2739" spans="1:6" ht="45" x14ac:dyDescent="0.25">
      <c r="A2739" s="13" t="s">
        <v>1663</v>
      </c>
      <c r="B2739" s="14" t="s">
        <v>1686</v>
      </c>
      <c r="C2739" s="316">
        <v>487</v>
      </c>
      <c r="D2739" s="15" t="s">
        <v>9</v>
      </c>
      <c r="E2739" s="16">
        <v>38</v>
      </c>
      <c r="F2739" s="16">
        <f t="shared" si="74"/>
        <v>18506</v>
      </c>
    </row>
    <row r="2740" spans="1:6" ht="30" x14ac:dyDescent="0.25">
      <c r="A2740" s="13" t="s">
        <v>1664</v>
      </c>
      <c r="B2740" s="14" t="s">
        <v>1697</v>
      </c>
      <c r="C2740" s="316">
        <v>408</v>
      </c>
      <c r="D2740" s="15" t="s">
        <v>9</v>
      </c>
      <c r="E2740" s="16">
        <v>280</v>
      </c>
      <c r="F2740" s="16">
        <f t="shared" si="74"/>
        <v>114240</v>
      </c>
    </row>
    <row r="2741" spans="1:6" ht="30" x14ac:dyDescent="0.25">
      <c r="A2741" s="13" t="s">
        <v>1665</v>
      </c>
      <c r="B2741" s="14" t="s">
        <v>1696</v>
      </c>
      <c r="C2741" s="316">
        <v>408</v>
      </c>
      <c r="D2741" s="15" t="s">
        <v>9</v>
      </c>
      <c r="E2741" s="16">
        <v>190</v>
      </c>
      <c r="F2741" s="16">
        <f t="shared" si="74"/>
        <v>77520</v>
      </c>
    </row>
    <row r="2742" spans="1:6" x14ac:dyDescent="0.25">
      <c r="A2742" s="13" t="s">
        <v>1666</v>
      </c>
      <c r="B2742" s="14" t="s">
        <v>1685</v>
      </c>
      <c r="C2742" s="316">
        <v>408</v>
      </c>
      <c r="D2742" s="15" t="s">
        <v>9</v>
      </c>
      <c r="E2742" s="16">
        <v>135</v>
      </c>
      <c r="F2742" s="16">
        <f t="shared" si="74"/>
        <v>55080</v>
      </c>
    </row>
    <row r="2743" spans="1:6" x14ac:dyDescent="0.25">
      <c r="A2743" s="13" t="s">
        <v>1667</v>
      </c>
      <c r="B2743" s="14" t="s">
        <v>1698</v>
      </c>
      <c r="C2743" s="316">
        <v>60</v>
      </c>
      <c r="D2743" s="15" t="s">
        <v>33</v>
      </c>
      <c r="E2743" s="16">
        <v>200</v>
      </c>
      <c r="F2743" s="16">
        <f t="shared" si="74"/>
        <v>12000</v>
      </c>
    </row>
    <row r="2744" spans="1:6" x14ac:dyDescent="0.25">
      <c r="A2744" s="13" t="s">
        <v>1668</v>
      </c>
      <c r="B2744" s="14" t="s">
        <v>1684</v>
      </c>
      <c r="C2744" s="316">
        <v>60</v>
      </c>
      <c r="D2744" s="15" t="s">
        <v>33</v>
      </c>
      <c r="E2744" s="16">
        <v>75</v>
      </c>
      <c r="F2744" s="16">
        <f t="shared" si="74"/>
        <v>4500</v>
      </c>
    </row>
    <row r="2745" spans="1:6" ht="30" x14ac:dyDescent="0.25">
      <c r="A2745" s="13" t="s">
        <v>1669</v>
      </c>
      <c r="B2745" s="14" t="s">
        <v>1682</v>
      </c>
      <c r="C2745" s="316">
        <v>1</v>
      </c>
      <c r="D2745" s="15" t="s">
        <v>11</v>
      </c>
      <c r="E2745" s="16">
        <v>6500</v>
      </c>
      <c r="F2745" s="16">
        <f t="shared" si="74"/>
        <v>6500</v>
      </c>
    </row>
    <row r="2746" spans="1:6" x14ac:dyDescent="0.25">
      <c r="A2746" s="13" t="s">
        <v>1670</v>
      </c>
      <c r="B2746" s="14" t="s">
        <v>1681</v>
      </c>
      <c r="C2746" s="316">
        <v>246.45</v>
      </c>
      <c r="D2746" s="15" t="s">
        <v>9</v>
      </c>
      <c r="E2746" s="16">
        <v>35</v>
      </c>
      <c r="F2746" s="16">
        <f t="shared" si="74"/>
        <v>8625.75</v>
      </c>
    </row>
    <row r="2747" spans="1:6" ht="30" x14ac:dyDescent="0.25">
      <c r="A2747" s="13" t="s">
        <v>1671</v>
      </c>
      <c r="B2747" s="14" t="s">
        <v>1680</v>
      </c>
      <c r="C2747" s="316">
        <v>18</v>
      </c>
      <c r="D2747" s="15" t="s">
        <v>33</v>
      </c>
      <c r="E2747" s="16">
        <v>230</v>
      </c>
      <c r="F2747" s="16">
        <f t="shared" si="74"/>
        <v>4140</v>
      </c>
    </row>
    <row r="2748" spans="1:6" ht="30" x14ac:dyDescent="0.25">
      <c r="A2748" s="13" t="s">
        <v>1672</v>
      </c>
      <c r="B2748" s="14" t="s">
        <v>1679</v>
      </c>
      <c r="C2748" s="316">
        <v>104</v>
      </c>
      <c r="D2748" s="15" t="s">
        <v>9</v>
      </c>
      <c r="E2748" s="16">
        <v>130</v>
      </c>
      <c r="F2748" s="16">
        <f t="shared" si="74"/>
        <v>13520</v>
      </c>
    </row>
    <row r="2749" spans="1:6" x14ac:dyDescent="0.25">
      <c r="A2749" s="13" t="s">
        <v>1673</v>
      </c>
      <c r="B2749" s="14" t="s">
        <v>1676</v>
      </c>
      <c r="C2749" s="316">
        <v>104</v>
      </c>
      <c r="D2749" s="15" t="s">
        <v>9</v>
      </c>
      <c r="E2749" s="16">
        <v>140</v>
      </c>
      <c r="F2749" s="16">
        <f t="shared" si="74"/>
        <v>14560</v>
      </c>
    </row>
    <row r="2750" spans="1:6" x14ac:dyDescent="0.25">
      <c r="A2750" s="13" t="s">
        <v>1692</v>
      </c>
      <c r="B2750" s="14" t="s">
        <v>1677</v>
      </c>
      <c r="C2750" s="316">
        <v>208</v>
      </c>
      <c r="D2750" s="15" t="s">
        <v>9</v>
      </c>
      <c r="E2750" s="16">
        <v>95</v>
      </c>
      <c r="F2750" s="16">
        <f t="shared" si="74"/>
        <v>19760</v>
      </c>
    </row>
    <row r="2752" spans="1:6" x14ac:dyDescent="0.25">
      <c r="B2752" s="17" t="s">
        <v>10</v>
      </c>
      <c r="C2752" s="31"/>
      <c r="D2752" s="18"/>
      <c r="E2752" s="239"/>
      <c r="F2752" s="239">
        <f>SUM(F2724:F2750)</f>
        <v>575332.65</v>
      </c>
    </row>
    <row r="2753" spans="1:6" ht="15.75" thickBot="1" x14ac:dyDescent="0.3"/>
    <row r="2754" spans="1:6" ht="15.75" thickBot="1" x14ac:dyDescent="0.3">
      <c r="A2754" s="56" t="s">
        <v>0</v>
      </c>
      <c r="B2754" s="6" t="s">
        <v>1</v>
      </c>
      <c r="C2754" s="333" t="s">
        <v>2</v>
      </c>
      <c r="D2754" s="6" t="s">
        <v>3</v>
      </c>
      <c r="E2754" s="264" t="s">
        <v>4</v>
      </c>
      <c r="F2754" s="264" t="s">
        <v>5</v>
      </c>
    </row>
    <row r="2755" spans="1:6" ht="30" x14ac:dyDescent="0.25">
      <c r="A2755" s="13" t="s">
        <v>1618</v>
      </c>
      <c r="B2755" s="14" t="s">
        <v>1702</v>
      </c>
      <c r="C2755" s="316">
        <v>216</v>
      </c>
      <c r="D2755" s="15" t="s">
        <v>32</v>
      </c>
      <c r="E2755" s="16">
        <v>75</v>
      </c>
      <c r="F2755" s="16">
        <f t="shared" si="74"/>
        <v>16200</v>
      </c>
    </row>
    <row r="2756" spans="1:6" x14ac:dyDescent="0.25">
      <c r="A2756" s="13" t="s">
        <v>1620</v>
      </c>
      <c r="B2756" s="14" t="s">
        <v>1699</v>
      </c>
      <c r="C2756" s="316">
        <v>195</v>
      </c>
      <c r="D2756" s="15" t="s">
        <v>32</v>
      </c>
      <c r="E2756" s="16">
        <v>60</v>
      </c>
      <c r="F2756" s="16">
        <f t="shared" si="74"/>
        <v>11700</v>
      </c>
    </row>
    <row r="2757" spans="1:6" ht="75" x14ac:dyDescent="0.25">
      <c r="A2757" s="13" t="s">
        <v>1621</v>
      </c>
      <c r="B2757" s="14" t="s">
        <v>1703</v>
      </c>
      <c r="C2757" s="316">
        <v>54</v>
      </c>
      <c r="D2757" s="15" t="s">
        <v>32</v>
      </c>
      <c r="E2757" s="16">
        <v>1850</v>
      </c>
      <c r="F2757" s="16">
        <f t="shared" si="74"/>
        <v>99900</v>
      </c>
    </row>
    <row r="2758" spans="1:6" ht="45" x14ac:dyDescent="0.25">
      <c r="A2758" s="13" t="s">
        <v>1623</v>
      </c>
      <c r="B2758" s="14" t="s">
        <v>1700</v>
      </c>
      <c r="C2758" s="316">
        <v>90</v>
      </c>
      <c r="D2758" s="15" t="s">
        <v>33</v>
      </c>
      <c r="E2758" s="16">
        <v>1850</v>
      </c>
      <c r="F2758" s="16">
        <f t="shared" si="74"/>
        <v>166500</v>
      </c>
    </row>
    <row r="2759" spans="1:6" ht="45" x14ac:dyDescent="0.25">
      <c r="A2759" s="13" t="s">
        <v>1631</v>
      </c>
      <c r="B2759" s="14" t="s">
        <v>1701</v>
      </c>
      <c r="C2759" s="316">
        <v>42</v>
      </c>
      <c r="D2759" s="15" t="s">
        <v>33</v>
      </c>
      <c r="E2759" s="16">
        <v>2100</v>
      </c>
      <c r="F2759" s="16">
        <f t="shared" si="74"/>
        <v>88200</v>
      </c>
    </row>
    <row r="2760" spans="1:6" ht="30" x14ac:dyDescent="0.25">
      <c r="A2760" s="13" t="s">
        <v>1632</v>
      </c>
      <c r="B2760" s="14" t="s">
        <v>1704</v>
      </c>
      <c r="C2760" s="316">
        <v>42</v>
      </c>
      <c r="D2760" s="15" t="s">
        <v>33</v>
      </c>
      <c r="E2760" s="16">
        <v>650</v>
      </c>
      <c r="F2760" s="16">
        <f t="shared" si="74"/>
        <v>27300</v>
      </c>
    </row>
    <row r="2761" spans="1:6" ht="45" x14ac:dyDescent="0.25">
      <c r="A2761" s="13" t="s">
        <v>1633</v>
      </c>
      <c r="B2761" s="14" t="s">
        <v>1651</v>
      </c>
      <c r="C2761" s="316">
        <v>510</v>
      </c>
      <c r="D2761" s="15" t="s">
        <v>9</v>
      </c>
      <c r="E2761" s="16">
        <v>620</v>
      </c>
      <c r="F2761" s="16">
        <f t="shared" si="74"/>
        <v>316200</v>
      </c>
    </row>
    <row r="2762" spans="1:6" ht="45" x14ac:dyDescent="0.25">
      <c r="A2762" s="13" t="s">
        <v>1634</v>
      </c>
      <c r="B2762" s="14" t="s">
        <v>1705</v>
      </c>
      <c r="C2762" s="316">
        <v>610</v>
      </c>
      <c r="D2762" s="15" t="s">
        <v>9</v>
      </c>
      <c r="E2762" s="16">
        <v>160</v>
      </c>
      <c r="F2762" s="16">
        <f>E2762*C2762</f>
        <v>97600</v>
      </c>
    </row>
    <row r="2764" spans="1:6" x14ac:dyDescent="0.25">
      <c r="B2764" s="17" t="s">
        <v>10</v>
      </c>
      <c r="C2764" s="31"/>
      <c r="D2764" s="18"/>
      <c r="E2764" s="239"/>
      <c r="F2764" s="239">
        <f>SUM(F2755:F2762)</f>
        <v>823600</v>
      </c>
    </row>
    <row r="2766" spans="1:6" x14ac:dyDescent="0.25">
      <c r="A2766" s="19"/>
      <c r="B2766" s="20"/>
      <c r="C2766" s="320"/>
      <c r="D2766" s="21"/>
      <c r="E2766" s="243"/>
      <c r="F2766" s="243">
        <f>E2766*C2766</f>
        <v>0</v>
      </c>
    </row>
    <row r="2767" spans="1:6" x14ac:dyDescent="0.25">
      <c r="A2767" s="28" t="s">
        <v>0</v>
      </c>
      <c r="B2767" s="28" t="s">
        <v>1</v>
      </c>
      <c r="C2767" s="329" t="s">
        <v>2</v>
      </c>
      <c r="D2767" s="28" t="s">
        <v>3</v>
      </c>
      <c r="E2767" s="262" t="s">
        <v>4</v>
      </c>
      <c r="F2767" s="262" t="s">
        <v>5</v>
      </c>
    </row>
    <row r="2768" spans="1:6" x14ac:dyDescent="0.25">
      <c r="A2768" s="25">
        <v>1</v>
      </c>
      <c r="B2768" s="24" t="s">
        <v>1040</v>
      </c>
      <c r="C2768" s="326">
        <v>1</v>
      </c>
      <c r="D2768" s="25" t="s">
        <v>407</v>
      </c>
      <c r="E2768" s="259">
        <v>14000</v>
      </c>
      <c r="F2768" s="259">
        <f>C2768*E2768</f>
        <v>14000</v>
      </c>
    </row>
    <row r="2769" spans="1:6" ht="30" x14ac:dyDescent="0.25">
      <c r="A2769" s="25">
        <v>2</v>
      </c>
      <c r="B2769" s="24" t="s">
        <v>1658</v>
      </c>
      <c r="C2769" s="326">
        <v>87</v>
      </c>
      <c r="D2769" s="25" t="s">
        <v>32</v>
      </c>
      <c r="E2769" s="259">
        <v>120</v>
      </c>
      <c r="F2769" s="259">
        <f t="shared" ref="F2769:F2813" si="75">C2769*E2769</f>
        <v>10440</v>
      </c>
    </row>
    <row r="2770" spans="1:6" x14ac:dyDescent="0.25">
      <c r="A2770" s="25">
        <v>3</v>
      </c>
      <c r="B2770" s="24" t="s">
        <v>1674</v>
      </c>
      <c r="C2770" s="326">
        <v>220</v>
      </c>
      <c r="D2770" s="25" t="s">
        <v>32</v>
      </c>
      <c r="E2770" s="259">
        <v>35</v>
      </c>
      <c r="F2770" s="259">
        <f t="shared" si="75"/>
        <v>7700</v>
      </c>
    </row>
    <row r="2771" spans="1:6" ht="30" x14ac:dyDescent="0.25">
      <c r="A2771" s="25">
        <v>4</v>
      </c>
      <c r="B2771" s="24" t="s">
        <v>1044</v>
      </c>
      <c r="C2771" s="326">
        <v>1</v>
      </c>
      <c r="D2771" s="25" t="s">
        <v>772</v>
      </c>
      <c r="E2771" s="259">
        <v>7000</v>
      </c>
      <c r="F2771" s="259">
        <f t="shared" si="75"/>
        <v>7000</v>
      </c>
    </row>
    <row r="2772" spans="1:6" ht="30" x14ac:dyDescent="0.25">
      <c r="A2772" s="25">
        <v>5</v>
      </c>
      <c r="B2772" s="24" t="s">
        <v>1046</v>
      </c>
      <c r="C2772" s="326">
        <v>1</v>
      </c>
      <c r="D2772" s="25" t="s">
        <v>772</v>
      </c>
      <c r="E2772" s="259">
        <v>8000</v>
      </c>
      <c r="F2772" s="259">
        <f t="shared" si="75"/>
        <v>8000</v>
      </c>
    </row>
    <row r="2773" spans="1:6" ht="30" x14ac:dyDescent="0.25">
      <c r="A2773" s="25">
        <v>6</v>
      </c>
      <c r="B2773" s="24" t="s">
        <v>1706</v>
      </c>
      <c r="C2773" s="326">
        <v>5</v>
      </c>
      <c r="D2773" s="25" t="s">
        <v>33</v>
      </c>
      <c r="E2773" s="259">
        <v>770</v>
      </c>
      <c r="F2773" s="259">
        <f t="shared" si="75"/>
        <v>3850</v>
      </c>
    </row>
    <row r="2774" spans="1:6" ht="30" x14ac:dyDescent="0.25">
      <c r="A2774" s="25">
        <v>7</v>
      </c>
      <c r="B2774" s="24" t="s">
        <v>1707</v>
      </c>
      <c r="C2774" s="326">
        <v>272</v>
      </c>
      <c r="D2774" s="25" t="s">
        <v>32</v>
      </c>
      <c r="E2774" s="259">
        <v>120</v>
      </c>
      <c r="F2774" s="259">
        <f t="shared" si="75"/>
        <v>32640</v>
      </c>
    </row>
    <row r="2775" spans="1:6" x14ac:dyDescent="0.25">
      <c r="A2775" s="25">
        <v>8</v>
      </c>
      <c r="B2775" s="24" t="s">
        <v>1042</v>
      </c>
      <c r="C2775" s="326">
        <v>78</v>
      </c>
      <c r="D2775" s="25" t="s">
        <v>9</v>
      </c>
      <c r="E2775" s="259">
        <v>55</v>
      </c>
      <c r="F2775" s="259">
        <f t="shared" si="75"/>
        <v>4290</v>
      </c>
    </row>
    <row r="2776" spans="1:6" ht="30" x14ac:dyDescent="0.25">
      <c r="A2776" s="25">
        <v>9</v>
      </c>
      <c r="B2776" s="24" t="s">
        <v>1708</v>
      </c>
      <c r="C2776" s="326">
        <v>1</v>
      </c>
      <c r="D2776" s="25" t="s">
        <v>407</v>
      </c>
      <c r="E2776" s="259">
        <v>16000</v>
      </c>
      <c r="F2776" s="259">
        <f t="shared" si="75"/>
        <v>16000</v>
      </c>
    </row>
    <row r="2777" spans="1:6" ht="30" x14ac:dyDescent="0.25">
      <c r="A2777" s="25">
        <v>10</v>
      </c>
      <c r="B2777" s="24" t="s">
        <v>1709</v>
      </c>
      <c r="C2777" s="326">
        <v>1</v>
      </c>
      <c r="D2777" s="25" t="s">
        <v>407</v>
      </c>
      <c r="E2777" s="259">
        <v>10500</v>
      </c>
      <c r="F2777" s="259">
        <f t="shared" si="75"/>
        <v>10500</v>
      </c>
    </row>
    <row r="2778" spans="1:6" ht="60" x14ac:dyDescent="0.25">
      <c r="A2778" s="25">
        <v>11</v>
      </c>
      <c r="B2778" s="24" t="s">
        <v>1710</v>
      </c>
      <c r="C2778" s="326">
        <v>432</v>
      </c>
      <c r="D2778" s="25" t="s">
        <v>9</v>
      </c>
      <c r="E2778" s="259">
        <v>130</v>
      </c>
      <c r="F2778" s="259">
        <f t="shared" si="75"/>
        <v>56160</v>
      </c>
    </row>
    <row r="2779" spans="1:6" x14ac:dyDescent="0.25">
      <c r="A2779" s="25">
        <v>12</v>
      </c>
      <c r="B2779" s="24" t="s">
        <v>1711</v>
      </c>
      <c r="C2779" s="326">
        <v>5</v>
      </c>
      <c r="D2779" s="25" t="s">
        <v>33</v>
      </c>
      <c r="E2779" s="259">
        <v>290</v>
      </c>
      <c r="F2779" s="259">
        <f t="shared" si="75"/>
        <v>1450</v>
      </c>
    </row>
    <row r="2780" spans="1:6" x14ac:dyDescent="0.25">
      <c r="A2780" s="25">
        <v>13</v>
      </c>
      <c r="B2780" s="24" t="s">
        <v>1712</v>
      </c>
      <c r="C2780" s="326">
        <v>43.5</v>
      </c>
      <c r="D2780" s="25" t="s">
        <v>33</v>
      </c>
      <c r="E2780" s="259">
        <v>90</v>
      </c>
      <c r="F2780" s="259">
        <f t="shared" si="75"/>
        <v>3915</v>
      </c>
    </row>
    <row r="2781" spans="1:6" ht="45" x14ac:dyDescent="0.25">
      <c r="A2781" s="25">
        <v>14</v>
      </c>
      <c r="B2781" s="24" t="s">
        <v>1713</v>
      </c>
      <c r="C2781" s="326">
        <v>46</v>
      </c>
      <c r="D2781" s="25" t="s">
        <v>33</v>
      </c>
      <c r="E2781" s="259">
        <v>115</v>
      </c>
      <c r="F2781" s="259">
        <f t="shared" si="75"/>
        <v>5290</v>
      </c>
    </row>
    <row r="2782" spans="1:6" ht="30" x14ac:dyDescent="0.25">
      <c r="A2782" s="25">
        <v>15</v>
      </c>
      <c r="B2782" s="24" t="s">
        <v>1714</v>
      </c>
      <c r="C2782" s="326">
        <v>25</v>
      </c>
      <c r="D2782" s="25" t="s">
        <v>9</v>
      </c>
      <c r="E2782" s="259">
        <v>90</v>
      </c>
      <c r="F2782" s="259">
        <f t="shared" si="75"/>
        <v>2250</v>
      </c>
    </row>
    <row r="2783" spans="1:6" ht="30" x14ac:dyDescent="0.25">
      <c r="A2783" s="25">
        <v>16</v>
      </c>
      <c r="B2783" s="100" t="s">
        <v>1695</v>
      </c>
      <c r="C2783" s="326">
        <v>246.4</v>
      </c>
      <c r="D2783" s="25" t="s">
        <v>9</v>
      </c>
      <c r="E2783" s="259">
        <v>65</v>
      </c>
      <c r="F2783" s="259">
        <f t="shared" si="75"/>
        <v>16016</v>
      </c>
    </row>
    <row r="2784" spans="1:6" x14ac:dyDescent="0.25">
      <c r="A2784" s="101">
        <v>17</v>
      </c>
      <c r="B2784" s="24" t="s">
        <v>1279</v>
      </c>
      <c r="C2784" s="334">
        <v>246.4</v>
      </c>
      <c r="D2784" s="25" t="s">
        <v>9</v>
      </c>
      <c r="E2784" s="259">
        <v>75</v>
      </c>
      <c r="F2784" s="259">
        <f t="shared" si="75"/>
        <v>18480</v>
      </c>
    </row>
    <row r="2785" spans="1:6" x14ac:dyDescent="0.25">
      <c r="A2785" s="101">
        <v>18</v>
      </c>
      <c r="B2785" s="24" t="s">
        <v>1721</v>
      </c>
      <c r="C2785" s="334">
        <v>246.4</v>
      </c>
      <c r="D2785" s="25" t="s">
        <v>9</v>
      </c>
      <c r="E2785" s="259">
        <v>55</v>
      </c>
      <c r="F2785" s="259">
        <f t="shared" si="75"/>
        <v>13552</v>
      </c>
    </row>
    <row r="2786" spans="1:6" ht="30" x14ac:dyDescent="0.25">
      <c r="A2786" s="25">
        <v>19</v>
      </c>
      <c r="B2786" s="102" t="s">
        <v>1715</v>
      </c>
      <c r="C2786" s="326">
        <v>468</v>
      </c>
      <c r="D2786" s="25" t="s">
        <v>9</v>
      </c>
      <c r="E2786" s="259">
        <v>95</v>
      </c>
      <c r="F2786" s="259">
        <f t="shared" si="75"/>
        <v>44460</v>
      </c>
    </row>
    <row r="2787" spans="1:6" ht="30" x14ac:dyDescent="0.25">
      <c r="A2787" s="25">
        <v>20</v>
      </c>
      <c r="B2787" s="24" t="s">
        <v>1716</v>
      </c>
      <c r="C2787" s="326">
        <v>487</v>
      </c>
      <c r="D2787" s="25" t="s">
        <v>9</v>
      </c>
      <c r="E2787" s="259">
        <v>75</v>
      </c>
      <c r="F2787" s="259">
        <f t="shared" si="75"/>
        <v>36525</v>
      </c>
    </row>
    <row r="2788" spans="1:6" ht="30" x14ac:dyDescent="0.25">
      <c r="A2788" s="25">
        <v>21</v>
      </c>
      <c r="B2788" s="24" t="s">
        <v>1004</v>
      </c>
      <c r="C2788" s="326">
        <v>468</v>
      </c>
      <c r="D2788" s="25" t="s">
        <v>9</v>
      </c>
      <c r="E2788" s="259">
        <v>28</v>
      </c>
      <c r="F2788" s="259">
        <f t="shared" si="75"/>
        <v>13104</v>
      </c>
    </row>
    <row r="2789" spans="1:6" ht="30" x14ac:dyDescent="0.25">
      <c r="A2789" s="25">
        <v>22</v>
      </c>
      <c r="B2789" s="24" t="s">
        <v>1687</v>
      </c>
      <c r="C2789" s="326">
        <v>468</v>
      </c>
      <c r="D2789" s="25" t="s">
        <v>9</v>
      </c>
      <c r="E2789" s="259">
        <v>38</v>
      </c>
      <c r="F2789" s="259">
        <f t="shared" si="75"/>
        <v>17784</v>
      </c>
    </row>
    <row r="2790" spans="1:6" ht="45" x14ac:dyDescent="0.25">
      <c r="A2790" s="25">
        <v>23</v>
      </c>
      <c r="B2790" s="24" t="s">
        <v>1686</v>
      </c>
      <c r="C2790" s="326">
        <v>487</v>
      </c>
      <c r="D2790" s="25" t="s">
        <v>9</v>
      </c>
      <c r="E2790" s="259">
        <v>38</v>
      </c>
      <c r="F2790" s="259">
        <f t="shared" si="75"/>
        <v>18506</v>
      </c>
    </row>
    <row r="2791" spans="1:6" ht="30" x14ac:dyDescent="0.25">
      <c r="A2791" s="25">
        <v>24</v>
      </c>
      <c r="B2791" s="24" t="s">
        <v>1717</v>
      </c>
      <c r="C2791" s="326">
        <v>408</v>
      </c>
      <c r="D2791" s="25" t="s">
        <v>9</v>
      </c>
      <c r="E2791" s="259">
        <v>280</v>
      </c>
      <c r="F2791" s="259">
        <f t="shared" si="75"/>
        <v>114240</v>
      </c>
    </row>
    <row r="2792" spans="1:6" ht="30" x14ac:dyDescent="0.25">
      <c r="A2792" s="25">
        <v>25</v>
      </c>
      <c r="B2792" s="24" t="s">
        <v>1718</v>
      </c>
      <c r="C2792" s="326">
        <v>408</v>
      </c>
      <c r="D2792" s="25" t="s">
        <v>9</v>
      </c>
      <c r="E2792" s="259">
        <v>190</v>
      </c>
      <c r="F2792" s="259">
        <f t="shared" si="75"/>
        <v>77520</v>
      </c>
    </row>
    <row r="2793" spans="1:6" x14ac:dyDescent="0.25">
      <c r="A2793" s="25">
        <v>26</v>
      </c>
      <c r="B2793" s="24" t="s">
        <v>1685</v>
      </c>
      <c r="C2793" s="326">
        <v>408</v>
      </c>
      <c r="D2793" s="25" t="s">
        <v>9</v>
      </c>
      <c r="E2793" s="259">
        <v>135</v>
      </c>
      <c r="F2793" s="259">
        <f t="shared" si="75"/>
        <v>55080</v>
      </c>
    </row>
    <row r="2794" spans="1:6" x14ac:dyDescent="0.25">
      <c r="A2794" s="25">
        <v>27</v>
      </c>
      <c r="B2794" s="24" t="s">
        <v>1698</v>
      </c>
      <c r="C2794" s="326">
        <v>60</v>
      </c>
      <c r="D2794" s="25" t="s">
        <v>33</v>
      </c>
      <c r="E2794" s="259">
        <v>200</v>
      </c>
      <c r="F2794" s="259">
        <f t="shared" si="75"/>
        <v>12000</v>
      </c>
    </row>
    <row r="2795" spans="1:6" x14ac:dyDescent="0.25">
      <c r="A2795" s="25">
        <v>28</v>
      </c>
      <c r="B2795" s="24" t="s">
        <v>1684</v>
      </c>
      <c r="C2795" s="326">
        <v>60</v>
      </c>
      <c r="D2795" s="25" t="s">
        <v>33</v>
      </c>
      <c r="E2795" s="259">
        <v>75</v>
      </c>
      <c r="F2795" s="259">
        <f t="shared" si="75"/>
        <v>4500</v>
      </c>
    </row>
    <row r="2796" spans="1:6" ht="30" x14ac:dyDescent="0.25">
      <c r="A2796" s="25">
        <v>29</v>
      </c>
      <c r="B2796" s="24" t="s">
        <v>1719</v>
      </c>
      <c r="C2796" s="326">
        <v>1</v>
      </c>
      <c r="D2796" s="25" t="s">
        <v>11</v>
      </c>
      <c r="E2796" s="259">
        <v>6500</v>
      </c>
      <c r="F2796" s="259">
        <f t="shared" si="75"/>
        <v>6500</v>
      </c>
    </row>
    <row r="2797" spans="1:6" x14ac:dyDescent="0.25">
      <c r="A2797" s="25">
        <v>30</v>
      </c>
      <c r="B2797" s="24" t="s">
        <v>1681</v>
      </c>
      <c r="C2797" s="326">
        <v>246.45</v>
      </c>
      <c r="D2797" s="25" t="s">
        <v>9</v>
      </c>
      <c r="E2797" s="259">
        <v>35</v>
      </c>
      <c r="F2797" s="259">
        <f t="shared" si="75"/>
        <v>8625.75</v>
      </c>
    </row>
    <row r="2798" spans="1:6" ht="30" x14ac:dyDescent="0.25">
      <c r="A2798" s="25">
        <v>31</v>
      </c>
      <c r="B2798" s="24" t="s">
        <v>1680</v>
      </c>
      <c r="C2798" s="326">
        <v>18</v>
      </c>
      <c r="D2798" s="25" t="s">
        <v>33</v>
      </c>
      <c r="E2798" s="259">
        <v>230</v>
      </c>
      <c r="F2798" s="259">
        <f t="shared" si="75"/>
        <v>4140</v>
      </c>
    </row>
    <row r="2799" spans="1:6" ht="30" x14ac:dyDescent="0.25">
      <c r="A2799" s="25">
        <v>32</v>
      </c>
      <c r="B2799" s="24" t="s">
        <v>1720</v>
      </c>
      <c r="C2799" s="326">
        <v>104</v>
      </c>
      <c r="D2799" s="25" t="s">
        <v>9</v>
      </c>
      <c r="E2799" s="259">
        <v>130</v>
      </c>
      <c r="F2799" s="259">
        <f t="shared" si="75"/>
        <v>13520</v>
      </c>
    </row>
    <row r="2800" spans="1:6" x14ac:dyDescent="0.25">
      <c r="A2800" s="25">
        <v>33</v>
      </c>
      <c r="B2800" s="24" t="s">
        <v>1676</v>
      </c>
      <c r="C2800" s="326">
        <v>104</v>
      </c>
      <c r="D2800" s="25" t="s">
        <v>9</v>
      </c>
      <c r="E2800" s="259">
        <v>140</v>
      </c>
      <c r="F2800" s="259">
        <f t="shared" si="75"/>
        <v>14560</v>
      </c>
    </row>
    <row r="2801" spans="1:6" x14ac:dyDescent="0.25">
      <c r="A2801" s="25">
        <v>34</v>
      </c>
      <c r="B2801" s="24" t="s">
        <v>1677</v>
      </c>
      <c r="C2801" s="326">
        <v>208</v>
      </c>
      <c r="D2801" s="25" t="s">
        <v>9</v>
      </c>
      <c r="E2801" s="259">
        <v>95</v>
      </c>
      <c r="F2801" s="259">
        <f t="shared" si="75"/>
        <v>19760</v>
      </c>
    </row>
    <row r="2802" spans="1:6" x14ac:dyDescent="0.25">
      <c r="A2802" s="25"/>
      <c r="B2802" s="24"/>
      <c r="C2802" s="326"/>
      <c r="D2802" s="25"/>
      <c r="E2802" s="259"/>
      <c r="F2802" s="259"/>
    </row>
    <row r="2803" spans="1:6" x14ac:dyDescent="0.25">
      <c r="A2803" s="25"/>
      <c r="B2803" s="103" t="s">
        <v>330</v>
      </c>
      <c r="C2803" s="335"/>
      <c r="D2803" s="104"/>
      <c r="E2803" s="271"/>
      <c r="F2803" s="259"/>
    </row>
    <row r="2804" spans="1:6" ht="30" x14ac:dyDescent="0.25">
      <c r="A2804" s="101">
        <v>35</v>
      </c>
      <c r="B2804" s="24" t="s">
        <v>1038</v>
      </c>
      <c r="C2804" s="326">
        <v>1</v>
      </c>
      <c r="D2804" s="25" t="s">
        <v>407</v>
      </c>
      <c r="E2804" s="259">
        <v>26500</v>
      </c>
      <c r="F2804" s="259">
        <f t="shared" si="75"/>
        <v>26500</v>
      </c>
    </row>
    <row r="2805" spans="1:6" ht="30" x14ac:dyDescent="0.25">
      <c r="A2805" s="101">
        <v>36</v>
      </c>
      <c r="B2805" s="24" t="s">
        <v>1031</v>
      </c>
      <c r="C2805" s="326">
        <v>1</v>
      </c>
      <c r="D2805" s="25" t="s">
        <v>407</v>
      </c>
      <c r="E2805" s="259">
        <v>3500</v>
      </c>
      <c r="F2805" s="259">
        <f t="shared" si="75"/>
        <v>3500</v>
      </c>
    </row>
    <row r="2806" spans="1:6" x14ac:dyDescent="0.25">
      <c r="A2806" s="101">
        <v>37</v>
      </c>
      <c r="B2806" s="24" t="s">
        <v>1032</v>
      </c>
      <c r="C2806" s="326">
        <v>1</v>
      </c>
      <c r="D2806" s="25" t="s">
        <v>407</v>
      </c>
      <c r="E2806" s="259">
        <v>8500</v>
      </c>
      <c r="F2806" s="259">
        <f t="shared" si="75"/>
        <v>8500</v>
      </c>
    </row>
    <row r="2807" spans="1:6" x14ac:dyDescent="0.25">
      <c r="A2807" s="101">
        <v>38</v>
      </c>
      <c r="B2807" s="24" t="s">
        <v>1033</v>
      </c>
      <c r="C2807" s="326">
        <v>48</v>
      </c>
      <c r="D2807" s="25" t="s">
        <v>9</v>
      </c>
      <c r="E2807" s="259">
        <v>125</v>
      </c>
      <c r="F2807" s="259">
        <f t="shared" si="75"/>
        <v>6000</v>
      </c>
    </row>
    <row r="2808" spans="1:6" x14ac:dyDescent="0.25">
      <c r="A2808" s="101">
        <v>39</v>
      </c>
      <c r="B2808" s="24" t="s">
        <v>998</v>
      </c>
      <c r="C2808" s="326">
        <v>345</v>
      </c>
      <c r="D2808" s="25" t="s">
        <v>9</v>
      </c>
      <c r="E2808" s="259">
        <v>75</v>
      </c>
      <c r="F2808" s="259">
        <f t="shared" si="75"/>
        <v>25875</v>
      </c>
    </row>
    <row r="2809" spans="1:6" x14ac:dyDescent="0.25">
      <c r="A2809" s="101">
        <v>40</v>
      </c>
      <c r="B2809" s="24" t="s">
        <v>1036</v>
      </c>
      <c r="C2809" s="326">
        <v>345</v>
      </c>
      <c r="D2809" s="25" t="s">
        <v>9</v>
      </c>
      <c r="E2809" s="259">
        <v>195</v>
      </c>
      <c r="F2809" s="259">
        <f t="shared" si="75"/>
        <v>67275</v>
      </c>
    </row>
    <row r="2810" spans="1:6" x14ac:dyDescent="0.25">
      <c r="A2810" s="101">
        <v>41</v>
      </c>
      <c r="B2810" s="24" t="s">
        <v>1034</v>
      </c>
      <c r="C2810" s="326">
        <v>75</v>
      </c>
      <c r="D2810" s="25" t="s">
        <v>9</v>
      </c>
      <c r="E2810" s="259">
        <v>90</v>
      </c>
      <c r="F2810" s="259">
        <f t="shared" si="75"/>
        <v>6750</v>
      </c>
    </row>
    <row r="2811" spans="1:6" x14ac:dyDescent="0.25">
      <c r="A2811" s="101">
        <v>42</v>
      </c>
      <c r="B2811" s="24" t="s">
        <v>1035</v>
      </c>
      <c r="C2811" s="326">
        <v>75</v>
      </c>
      <c r="D2811" s="25" t="s">
        <v>9</v>
      </c>
      <c r="E2811" s="259">
        <v>75</v>
      </c>
      <c r="F2811" s="259">
        <f t="shared" si="75"/>
        <v>5625</v>
      </c>
    </row>
    <row r="2812" spans="1:6" x14ac:dyDescent="0.25">
      <c r="A2812" s="101">
        <v>43</v>
      </c>
      <c r="B2812" s="24" t="s">
        <v>1037</v>
      </c>
      <c r="C2812" s="326">
        <v>75</v>
      </c>
      <c r="D2812" s="25" t="s">
        <v>9</v>
      </c>
      <c r="E2812" s="259">
        <v>185</v>
      </c>
      <c r="F2812" s="259">
        <f t="shared" si="75"/>
        <v>13875</v>
      </c>
    </row>
    <row r="2813" spans="1:6" ht="30" x14ac:dyDescent="0.25">
      <c r="A2813" s="101">
        <v>44</v>
      </c>
      <c r="B2813" s="24" t="s">
        <v>1039</v>
      </c>
      <c r="C2813" s="326">
        <v>1</v>
      </c>
      <c r="D2813" s="25" t="s">
        <v>407</v>
      </c>
      <c r="E2813" s="259">
        <v>8500</v>
      </c>
      <c r="F2813" s="259">
        <f t="shared" si="75"/>
        <v>8500</v>
      </c>
    </row>
    <row r="2814" spans="1:6" x14ac:dyDescent="0.25">
      <c r="B2814" s="52"/>
      <c r="C2814" s="322"/>
      <c r="D2814" s="53"/>
      <c r="E2814" s="248"/>
      <c r="F2814" s="248"/>
    </row>
    <row r="2815" spans="1:6" x14ac:dyDescent="0.25">
      <c r="B2815" s="17" t="s">
        <v>10</v>
      </c>
      <c r="C2815" s="31"/>
      <c r="D2815" s="18"/>
      <c r="E2815" s="239"/>
      <c r="F2815" s="239">
        <f>SUM(F2768:F2813)</f>
        <v>864757.75</v>
      </c>
    </row>
    <row r="2817" spans="1:6" x14ac:dyDescent="0.25">
      <c r="A2817" s="19"/>
      <c r="B2817" s="20"/>
      <c r="C2817" s="320"/>
      <c r="D2817" s="21"/>
      <c r="E2817" s="243"/>
      <c r="F2817" s="243"/>
    </row>
    <row r="2818" spans="1:6" x14ac:dyDescent="0.25">
      <c r="A2818" s="28" t="s">
        <v>0</v>
      </c>
      <c r="B2818" s="28" t="s">
        <v>1</v>
      </c>
      <c r="C2818" s="329" t="s">
        <v>2</v>
      </c>
      <c r="D2818" s="28" t="s">
        <v>3</v>
      </c>
      <c r="E2818" s="262" t="s">
        <v>4</v>
      </c>
      <c r="F2818" s="262" t="s">
        <v>5</v>
      </c>
    </row>
    <row r="2819" spans="1:6" x14ac:dyDescent="0.25">
      <c r="A2819" s="25">
        <v>1</v>
      </c>
      <c r="B2819" s="24" t="s">
        <v>1040</v>
      </c>
      <c r="C2819" s="326">
        <v>1</v>
      </c>
      <c r="D2819" s="25" t="s">
        <v>407</v>
      </c>
      <c r="E2819" s="259">
        <v>14000</v>
      </c>
      <c r="F2819" s="259">
        <f>C2819*E2819</f>
        <v>14000</v>
      </c>
    </row>
    <row r="2820" spans="1:6" ht="30" x14ac:dyDescent="0.25">
      <c r="A2820" s="25">
        <v>2</v>
      </c>
      <c r="B2820" s="24" t="s">
        <v>1658</v>
      </c>
      <c r="C2820" s="326">
        <v>87</v>
      </c>
      <c r="D2820" s="25" t="s">
        <v>32</v>
      </c>
      <c r="E2820" s="259">
        <v>120</v>
      </c>
      <c r="F2820" s="259">
        <f t="shared" ref="F2820:F2864" si="76">C2820*E2820</f>
        <v>10440</v>
      </c>
    </row>
    <row r="2821" spans="1:6" x14ac:dyDescent="0.25">
      <c r="A2821" s="25">
        <v>3</v>
      </c>
      <c r="B2821" s="24" t="s">
        <v>1674</v>
      </c>
      <c r="C2821" s="326">
        <v>220</v>
      </c>
      <c r="D2821" s="25" t="s">
        <v>32</v>
      </c>
      <c r="E2821" s="259">
        <v>35</v>
      </c>
      <c r="F2821" s="259">
        <f t="shared" si="76"/>
        <v>7700</v>
      </c>
    </row>
    <row r="2822" spans="1:6" ht="30" x14ac:dyDescent="0.25">
      <c r="A2822" s="25">
        <v>4</v>
      </c>
      <c r="B2822" s="24" t="s">
        <v>1044</v>
      </c>
      <c r="C2822" s="326">
        <v>1</v>
      </c>
      <c r="D2822" s="25" t="s">
        <v>772</v>
      </c>
      <c r="E2822" s="259">
        <v>7000</v>
      </c>
      <c r="F2822" s="259">
        <f t="shared" si="76"/>
        <v>7000</v>
      </c>
    </row>
    <row r="2823" spans="1:6" ht="30" x14ac:dyDescent="0.25">
      <c r="A2823" s="25">
        <v>5</v>
      </c>
      <c r="B2823" s="24" t="s">
        <v>1046</v>
      </c>
      <c r="C2823" s="326">
        <v>1</v>
      </c>
      <c r="D2823" s="25" t="s">
        <v>772</v>
      </c>
      <c r="E2823" s="259">
        <v>8000</v>
      </c>
      <c r="F2823" s="259">
        <f t="shared" si="76"/>
        <v>8000</v>
      </c>
    </row>
    <row r="2824" spans="1:6" ht="30" x14ac:dyDescent="0.25">
      <c r="A2824" s="25">
        <v>6</v>
      </c>
      <c r="B2824" s="24" t="s">
        <v>1706</v>
      </c>
      <c r="C2824" s="326">
        <v>5</v>
      </c>
      <c r="D2824" s="25" t="s">
        <v>33</v>
      </c>
      <c r="E2824" s="259">
        <v>770</v>
      </c>
      <c r="F2824" s="259">
        <f t="shared" si="76"/>
        <v>3850</v>
      </c>
    </row>
    <row r="2825" spans="1:6" ht="30" x14ac:dyDescent="0.25">
      <c r="A2825" s="25">
        <v>7</v>
      </c>
      <c r="B2825" s="24" t="s">
        <v>1707</v>
      </c>
      <c r="C2825" s="326">
        <v>272</v>
      </c>
      <c r="D2825" s="25" t="s">
        <v>32</v>
      </c>
      <c r="E2825" s="259">
        <v>90</v>
      </c>
      <c r="F2825" s="259">
        <f t="shared" si="76"/>
        <v>24480</v>
      </c>
    </row>
    <row r="2826" spans="1:6" x14ac:dyDescent="0.25">
      <c r="A2826" s="25">
        <v>8</v>
      </c>
      <c r="B2826" s="24" t="s">
        <v>1042</v>
      </c>
      <c r="C2826" s="326">
        <v>78</v>
      </c>
      <c r="D2826" s="25" t="s">
        <v>9</v>
      </c>
      <c r="E2826" s="259">
        <v>49</v>
      </c>
      <c r="F2826" s="259">
        <f t="shared" si="76"/>
        <v>3822</v>
      </c>
    </row>
    <row r="2827" spans="1:6" ht="30" x14ac:dyDescent="0.25">
      <c r="A2827" s="25">
        <v>9</v>
      </c>
      <c r="B2827" s="24" t="s">
        <v>1708</v>
      </c>
      <c r="C2827" s="326">
        <v>1</v>
      </c>
      <c r="D2827" s="25" t="s">
        <v>407</v>
      </c>
      <c r="E2827" s="259">
        <v>16000</v>
      </c>
      <c r="F2827" s="259">
        <f t="shared" si="76"/>
        <v>16000</v>
      </c>
    </row>
    <row r="2828" spans="1:6" ht="30" x14ac:dyDescent="0.25">
      <c r="A2828" s="25">
        <v>10</v>
      </c>
      <c r="B2828" s="24" t="s">
        <v>1709</v>
      </c>
      <c r="C2828" s="326">
        <v>1</v>
      </c>
      <c r="D2828" s="25" t="s">
        <v>407</v>
      </c>
      <c r="E2828" s="259">
        <v>10500</v>
      </c>
      <c r="F2828" s="259">
        <f t="shared" si="76"/>
        <v>10500</v>
      </c>
    </row>
    <row r="2829" spans="1:6" ht="60" x14ac:dyDescent="0.25">
      <c r="A2829" s="25">
        <v>11</v>
      </c>
      <c r="B2829" s="24" t="s">
        <v>1710</v>
      </c>
      <c r="C2829" s="326">
        <v>432</v>
      </c>
      <c r="D2829" s="25" t="s">
        <v>9</v>
      </c>
      <c r="E2829" s="259">
        <v>130</v>
      </c>
      <c r="F2829" s="259">
        <f t="shared" si="76"/>
        <v>56160</v>
      </c>
    </row>
    <row r="2830" spans="1:6" x14ac:dyDescent="0.25">
      <c r="A2830" s="25">
        <v>12</v>
      </c>
      <c r="B2830" s="24" t="s">
        <v>1711</v>
      </c>
      <c r="C2830" s="326">
        <v>5</v>
      </c>
      <c r="D2830" s="25" t="s">
        <v>33</v>
      </c>
      <c r="E2830" s="259">
        <v>120</v>
      </c>
      <c r="F2830" s="259">
        <f t="shared" si="76"/>
        <v>600</v>
      </c>
    </row>
    <row r="2831" spans="1:6" x14ac:dyDescent="0.25">
      <c r="A2831" s="25">
        <v>13</v>
      </c>
      <c r="B2831" s="24" t="s">
        <v>1712</v>
      </c>
      <c r="C2831" s="326">
        <v>43.5</v>
      </c>
      <c r="D2831" s="25" t="s">
        <v>33</v>
      </c>
      <c r="E2831" s="259">
        <v>39</v>
      </c>
      <c r="F2831" s="259">
        <f t="shared" si="76"/>
        <v>1696.5</v>
      </c>
    </row>
    <row r="2832" spans="1:6" ht="45" x14ac:dyDescent="0.25">
      <c r="A2832" s="25">
        <v>14</v>
      </c>
      <c r="B2832" s="24" t="s">
        <v>1713</v>
      </c>
      <c r="C2832" s="326">
        <v>46</v>
      </c>
      <c r="D2832" s="25" t="s">
        <v>33</v>
      </c>
      <c r="E2832" s="259">
        <v>59</v>
      </c>
      <c r="F2832" s="259">
        <f t="shared" si="76"/>
        <v>2714</v>
      </c>
    </row>
    <row r="2833" spans="1:6" ht="30" x14ac:dyDescent="0.25">
      <c r="A2833" s="25">
        <v>15</v>
      </c>
      <c r="B2833" s="24" t="s">
        <v>1714</v>
      </c>
      <c r="C2833" s="326">
        <v>25</v>
      </c>
      <c r="D2833" s="25" t="s">
        <v>9</v>
      </c>
      <c r="E2833" s="259">
        <v>69</v>
      </c>
      <c r="F2833" s="259">
        <f t="shared" si="76"/>
        <v>1725</v>
      </c>
    </row>
    <row r="2834" spans="1:6" ht="30" x14ac:dyDescent="0.25">
      <c r="A2834" s="25">
        <v>16</v>
      </c>
      <c r="B2834" s="24" t="s">
        <v>1695</v>
      </c>
      <c r="C2834" s="326">
        <v>246.4</v>
      </c>
      <c r="D2834" s="25" t="s">
        <v>9</v>
      </c>
      <c r="E2834" s="259">
        <v>59</v>
      </c>
      <c r="F2834" s="259">
        <f t="shared" si="76"/>
        <v>14537.6</v>
      </c>
    </row>
    <row r="2835" spans="1:6" x14ac:dyDescent="0.25">
      <c r="A2835" s="25">
        <v>17</v>
      </c>
      <c r="B2835" s="24" t="s">
        <v>1279</v>
      </c>
      <c r="C2835" s="326">
        <v>246.4</v>
      </c>
      <c r="D2835" s="25" t="s">
        <v>9</v>
      </c>
      <c r="E2835" s="259">
        <v>75</v>
      </c>
      <c r="F2835" s="259">
        <f t="shared" si="76"/>
        <v>18480</v>
      </c>
    </row>
    <row r="2836" spans="1:6" x14ac:dyDescent="0.25">
      <c r="A2836" s="25">
        <v>18</v>
      </c>
      <c r="B2836" s="24" t="s">
        <v>1721</v>
      </c>
      <c r="C2836" s="326">
        <v>246.4</v>
      </c>
      <c r="D2836" s="25" t="s">
        <v>9</v>
      </c>
      <c r="E2836" s="259">
        <v>55</v>
      </c>
      <c r="F2836" s="259">
        <f t="shared" si="76"/>
        <v>13552</v>
      </c>
    </row>
    <row r="2837" spans="1:6" ht="30" x14ac:dyDescent="0.25">
      <c r="A2837" s="25">
        <v>19</v>
      </c>
      <c r="B2837" s="24" t="s">
        <v>1715</v>
      </c>
      <c r="C2837" s="326">
        <v>468</v>
      </c>
      <c r="D2837" s="25" t="s">
        <v>9</v>
      </c>
      <c r="E2837" s="259">
        <v>75</v>
      </c>
      <c r="F2837" s="259">
        <f t="shared" si="76"/>
        <v>35100</v>
      </c>
    </row>
    <row r="2838" spans="1:6" ht="30" x14ac:dyDescent="0.25">
      <c r="A2838" s="25">
        <v>20</v>
      </c>
      <c r="B2838" s="24" t="s">
        <v>1716</v>
      </c>
      <c r="C2838" s="326">
        <v>487</v>
      </c>
      <c r="D2838" s="25" t="s">
        <v>9</v>
      </c>
      <c r="E2838" s="259">
        <v>55</v>
      </c>
      <c r="F2838" s="259">
        <f t="shared" si="76"/>
        <v>26785</v>
      </c>
    </row>
    <row r="2839" spans="1:6" ht="30" x14ac:dyDescent="0.25">
      <c r="A2839" s="25">
        <v>21</v>
      </c>
      <c r="B2839" s="24" t="s">
        <v>1004</v>
      </c>
      <c r="C2839" s="326">
        <v>468</v>
      </c>
      <c r="D2839" s="25" t="s">
        <v>9</v>
      </c>
      <c r="E2839" s="259">
        <v>25</v>
      </c>
      <c r="F2839" s="259">
        <f t="shared" si="76"/>
        <v>11700</v>
      </c>
    </row>
    <row r="2840" spans="1:6" ht="30" x14ac:dyDescent="0.25">
      <c r="A2840" s="25">
        <v>22</v>
      </c>
      <c r="B2840" s="24" t="s">
        <v>1687</v>
      </c>
      <c r="C2840" s="326">
        <v>468</v>
      </c>
      <c r="D2840" s="25" t="s">
        <v>9</v>
      </c>
      <c r="E2840" s="259">
        <v>32</v>
      </c>
      <c r="F2840" s="259">
        <f t="shared" si="76"/>
        <v>14976</v>
      </c>
    </row>
    <row r="2841" spans="1:6" ht="45" x14ac:dyDescent="0.25">
      <c r="A2841" s="25">
        <v>23</v>
      </c>
      <c r="B2841" s="24" t="s">
        <v>1686</v>
      </c>
      <c r="C2841" s="326">
        <v>487</v>
      </c>
      <c r="D2841" s="25" t="s">
        <v>9</v>
      </c>
      <c r="E2841" s="259">
        <v>32</v>
      </c>
      <c r="F2841" s="259">
        <f t="shared" si="76"/>
        <v>15584</v>
      </c>
    </row>
    <row r="2842" spans="1:6" ht="30" x14ac:dyDescent="0.25">
      <c r="A2842" s="25">
        <v>24</v>
      </c>
      <c r="B2842" s="24" t="s">
        <v>1717</v>
      </c>
      <c r="C2842" s="326">
        <v>408</v>
      </c>
      <c r="D2842" s="25" t="s">
        <v>9</v>
      </c>
      <c r="E2842" s="259">
        <v>185</v>
      </c>
      <c r="F2842" s="259">
        <f t="shared" si="76"/>
        <v>75480</v>
      </c>
    </row>
    <row r="2843" spans="1:6" ht="30" x14ac:dyDescent="0.25">
      <c r="A2843" s="25">
        <v>25</v>
      </c>
      <c r="B2843" s="24" t="s">
        <v>1718</v>
      </c>
      <c r="C2843" s="326">
        <v>408</v>
      </c>
      <c r="D2843" s="25" t="s">
        <v>9</v>
      </c>
      <c r="E2843" s="259">
        <v>190</v>
      </c>
      <c r="F2843" s="259">
        <f t="shared" si="76"/>
        <v>77520</v>
      </c>
    </row>
    <row r="2844" spans="1:6" x14ac:dyDescent="0.25">
      <c r="A2844" s="25">
        <v>26</v>
      </c>
      <c r="B2844" s="24" t="s">
        <v>1685</v>
      </c>
      <c r="C2844" s="326">
        <v>408</v>
      </c>
      <c r="D2844" s="25" t="s">
        <v>9</v>
      </c>
      <c r="E2844" s="259">
        <v>39</v>
      </c>
      <c r="F2844" s="259">
        <f t="shared" si="76"/>
        <v>15912</v>
      </c>
    </row>
    <row r="2845" spans="1:6" x14ac:dyDescent="0.25">
      <c r="A2845" s="25">
        <v>27</v>
      </c>
      <c r="B2845" s="24" t="s">
        <v>1698</v>
      </c>
      <c r="C2845" s="326">
        <v>60</v>
      </c>
      <c r="D2845" s="25" t="s">
        <v>33</v>
      </c>
      <c r="E2845" s="259">
        <v>200</v>
      </c>
      <c r="F2845" s="259">
        <f t="shared" si="76"/>
        <v>12000</v>
      </c>
    </row>
    <row r="2846" spans="1:6" x14ac:dyDescent="0.25">
      <c r="A2846" s="25">
        <v>28</v>
      </c>
      <c r="B2846" s="24" t="s">
        <v>1684</v>
      </c>
      <c r="C2846" s="326">
        <v>60</v>
      </c>
      <c r="D2846" s="25" t="s">
        <v>33</v>
      </c>
      <c r="E2846" s="259">
        <v>14</v>
      </c>
      <c r="F2846" s="259">
        <f t="shared" si="76"/>
        <v>840</v>
      </c>
    </row>
    <row r="2847" spans="1:6" ht="30" x14ac:dyDescent="0.25">
      <c r="A2847" s="25">
        <v>29</v>
      </c>
      <c r="B2847" s="24" t="s">
        <v>1719</v>
      </c>
      <c r="C2847" s="326">
        <v>1</v>
      </c>
      <c r="D2847" s="25" t="s">
        <v>11</v>
      </c>
      <c r="E2847" s="259">
        <v>6500</v>
      </c>
      <c r="F2847" s="259">
        <f t="shared" si="76"/>
        <v>6500</v>
      </c>
    </row>
    <row r="2848" spans="1:6" x14ac:dyDescent="0.25">
      <c r="A2848" s="25">
        <v>30</v>
      </c>
      <c r="B2848" s="24" t="s">
        <v>1681</v>
      </c>
      <c r="C2848" s="326">
        <v>246.45</v>
      </c>
      <c r="D2848" s="25" t="s">
        <v>9</v>
      </c>
      <c r="E2848" s="259">
        <v>19</v>
      </c>
      <c r="F2848" s="259">
        <f t="shared" si="76"/>
        <v>4682.55</v>
      </c>
    </row>
    <row r="2849" spans="1:6" ht="30" x14ac:dyDescent="0.25">
      <c r="A2849" s="25">
        <v>31</v>
      </c>
      <c r="B2849" s="24" t="s">
        <v>1680</v>
      </c>
      <c r="C2849" s="326">
        <v>18</v>
      </c>
      <c r="D2849" s="25" t="s">
        <v>33</v>
      </c>
      <c r="E2849" s="259">
        <v>130</v>
      </c>
      <c r="F2849" s="259">
        <f t="shared" si="76"/>
        <v>2340</v>
      </c>
    </row>
    <row r="2850" spans="1:6" ht="30" x14ac:dyDescent="0.25">
      <c r="A2850" s="25">
        <v>32</v>
      </c>
      <c r="B2850" s="24" t="s">
        <v>1720</v>
      </c>
      <c r="C2850" s="326">
        <v>104</v>
      </c>
      <c r="D2850" s="25" t="s">
        <v>9</v>
      </c>
      <c r="E2850" s="259">
        <v>100</v>
      </c>
      <c r="F2850" s="259">
        <f t="shared" si="76"/>
        <v>10400</v>
      </c>
    </row>
    <row r="2851" spans="1:6" x14ac:dyDescent="0.25">
      <c r="A2851" s="25">
        <v>33</v>
      </c>
      <c r="B2851" s="24" t="s">
        <v>1676</v>
      </c>
      <c r="C2851" s="326">
        <v>104</v>
      </c>
      <c r="D2851" s="25" t="s">
        <v>9</v>
      </c>
      <c r="E2851" s="259">
        <v>109</v>
      </c>
      <c r="F2851" s="259">
        <f t="shared" si="76"/>
        <v>11336</v>
      </c>
    </row>
    <row r="2852" spans="1:6" x14ac:dyDescent="0.25">
      <c r="A2852" s="25">
        <v>34</v>
      </c>
      <c r="B2852" s="24" t="s">
        <v>1677</v>
      </c>
      <c r="C2852" s="326">
        <v>208</v>
      </c>
      <c r="D2852" s="25" t="s">
        <v>9</v>
      </c>
      <c r="E2852" s="259">
        <v>95</v>
      </c>
      <c r="F2852" s="259">
        <f t="shared" si="76"/>
        <v>19760</v>
      </c>
    </row>
    <row r="2853" spans="1:6" x14ac:dyDescent="0.25">
      <c r="A2853" s="25"/>
      <c r="B2853" s="24"/>
      <c r="C2853" s="326"/>
      <c r="D2853" s="25"/>
      <c r="E2853" s="259"/>
      <c r="F2853" s="259"/>
    </row>
    <row r="2854" spans="1:6" x14ac:dyDescent="0.25">
      <c r="A2854" s="25"/>
      <c r="B2854" s="71" t="s">
        <v>330</v>
      </c>
      <c r="C2854" s="326"/>
      <c r="D2854" s="25"/>
      <c r="E2854" s="259"/>
      <c r="F2854" s="259"/>
    </row>
    <row r="2855" spans="1:6" ht="30" x14ac:dyDescent="0.25">
      <c r="A2855" s="25">
        <v>35</v>
      </c>
      <c r="B2855" s="24" t="s">
        <v>1038</v>
      </c>
      <c r="C2855" s="326">
        <v>1</v>
      </c>
      <c r="D2855" s="25" t="s">
        <v>407</v>
      </c>
      <c r="E2855" s="259">
        <v>26500</v>
      </c>
      <c r="F2855" s="259">
        <f t="shared" si="76"/>
        <v>26500</v>
      </c>
    </row>
    <row r="2856" spans="1:6" ht="30" x14ac:dyDescent="0.25">
      <c r="A2856" s="25">
        <v>36</v>
      </c>
      <c r="B2856" s="24" t="s">
        <v>1031</v>
      </c>
      <c r="C2856" s="326">
        <v>1</v>
      </c>
      <c r="D2856" s="25" t="s">
        <v>407</v>
      </c>
      <c r="E2856" s="259">
        <v>3500</v>
      </c>
      <c r="F2856" s="259">
        <f t="shared" si="76"/>
        <v>3500</v>
      </c>
    </row>
    <row r="2857" spans="1:6" x14ac:dyDescent="0.25">
      <c r="A2857" s="25">
        <v>37</v>
      </c>
      <c r="B2857" s="24" t="s">
        <v>1032</v>
      </c>
      <c r="C2857" s="326">
        <v>1</v>
      </c>
      <c r="D2857" s="25" t="s">
        <v>407</v>
      </c>
      <c r="E2857" s="259">
        <v>8500</v>
      </c>
      <c r="F2857" s="259">
        <f t="shared" si="76"/>
        <v>8500</v>
      </c>
    </row>
    <row r="2858" spans="1:6" x14ac:dyDescent="0.25">
      <c r="A2858" s="25">
        <v>38</v>
      </c>
      <c r="B2858" s="24" t="s">
        <v>1033</v>
      </c>
      <c r="C2858" s="326">
        <v>48</v>
      </c>
      <c r="D2858" s="25" t="s">
        <v>9</v>
      </c>
      <c r="E2858" s="259">
        <v>80</v>
      </c>
      <c r="F2858" s="259">
        <f t="shared" si="76"/>
        <v>3840</v>
      </c>
    </row>
    <row r="2859" spans="1:6" x14ac:dyDescent="0.25">
      <c r="A2859" s="25">
        <v>39</v>
      </c>
      <c r="B2859" s="24" t="s">
        <v>998</v>
      </c>
      <c r="C2859" s="326">
        <v>345</v>
      </c>
      <c r="D2859" s="25" t="s">
        <v>9</v>
      </c>
      <c r="E2859" s="259">
        <v>75</v>
      </c>
      <c r="F2859" s="259">
        <f t="shared" si="76"/>
        <v>25875</v>
      </c>
    </row>
    <row r="2860" spans="1:6" x14ac:dyDescent="0.25">
      <c r="A2860" s="25">
        <v>40</v>
      </c>
      <c r="B2860" s="24" t="s">
        <v>1036</v>
      </c>
      <c r="C2860" s="326">
        <v>345</v>
      </c>
      <c r="D2860" s="25" t="s">
        <v>9</v>
      </c>
      <c r="E2860" s="259">
        <v>195</v>
      </c>
      <c r="F2860" s="259">
        <f t="shared" si="76"/>
        <v>67275</v>
      </c>
    </row>
    <row r="2861" spans="1:6" x14ac:dyDescent="0.25">
      <c r="A2861" s="25">
        <v>41</v>
      </c>
      <c r="B2861" s="24" t="s">
        <v>1034</v>
      </c>
      <c r="C2861" s="326">
        <v>75</v>
      </c>
      <c r="D2861" s="25" t="s">
        <v>9</v>
      </c>
      <c r="E2861" s="259">
        <v>90</v>
      </c>
      <c r="F2861" s="259">
        <f t="shared" si="76"/>
        <v>6750</v>
      </c>
    </row>
    <row r="2862" spans="1:6" x14ac:dyDescent="0.25">
      <c r="A2862" s="25">
        <v>42</v>
      </c>
      <c r="B2862" s="24" t="s">
        <v>1035</v>
      </c>
      <c r="C2862" s="326">
        <v>75</v>
      </c>
      <c r="D2862" s="25" t="s">
        <v>9</v>
      </c>
      <c r="E2862" s="259">
        <v>75</v>
      </c>
      <c r="F2862" s="259">
        <f t="shared" si="76"/>
        <v>5625</v>
      </c>
    </row>
    <row r="2863" spans="1:6" x14ac:dyDescent="0.25">
      <c r="A2863" s="25">
        <v>43</v>
      </c>
      <c r="B2863" s="24" t="s">
        <v>1037</v>
      </c>
      <c r="C2863" s="326">
        <v>75</v>
      </c>
      <c r="D2863" s="25" t="s">
        <v>9</v>
      </c>
      <c r="E2863" s="259">
        <v>185</v>
      </c>
      <c r="F2863" s="259">
        <f t="shared" si="76"/>
        <v>13875</v>
      </c>
    </row>
    <row r="2864" spans="1:6" ht="30" x14ac:dyDescent="0.25">
      <c r="A2864" s="25">
        <v>44</v>
      </c>
      <c r="B2864" s="24" t="s">
        <v>1039</v>
      </c>
      <c r="C2864" s="326">
        <v>1</v>
      </c>
      <c r="D2864" s="25" t="s">
        <v>407</v>
      </c>
      <c r="E2864" s="259">
        <v>8500</v>
      </c>
      <c r="F2864" s="259">
        <f t="shared" si="76"/>
        <v>8500</v>
      </c>
    </row>
    <row r="2865" spans="1:6" x14ac:dyDescent="0.25">
      <c r="A2865" s="25"/>
      <c r="B2865" s="24"/>
      <c r="C2865" s="326"/>
      <c r="D2865" s="25"/>
      <c r="E2865" s="259"/>
      <c r="F2865" s="259"/>
    </row>
    <row r="2866" spans="1:6" x14ac:dyDescent="0.25">
      <c r="A2866" s="25"/>
      <c r="B2866" s="71" t="s">
        <v>10</v>
      </c>
      <c r="C2866" s="329"/>
      <c r="D2866" s="28"/>
      <c r="E2866" s="262"/>
      <c r="F2866" s="262">
        <f>SUM(F2819:F2864)</f>
        <v>726412.64999999991</v>
      </c>
    </row>
    <row r="2867" spans="1:6" x14ac:dyDescent="0.25">
      <c r="A2867" s="25"/>
      <c r="B2867" s="24"/>
      <c r="C2867" s="326"/>
      <c r="D2867" s="25"/>
      <c r="E2867" s="259"/>
      <c r="F2867" s="259"/>
    </row>
    <row r="2868" spans="1:6" x14ac:dyDescent="0.25">
      <c r="A2868" s="28" t="s">
        <v>0</v>
      </c>
      <c r="B2868" s="28" t="s">
        <v>1</v>
      </c>
      <c r="C2868" s="329" t="s">
        <v>2</v>
      </c>
      <c r="D2868" s="28" t="s">
        <v>3</v>
      </c>
      <c r="E2868" s="262" t="s">
        <v>4</v>
      </c>
      <c r="F2868" s="262" t="s">
        <v>5</v>
      </c>
    </row>
    <row r="2869" spans="1:6" x14ac:dyDescent="0.25">
      <c r="A2869" s="13" t="s">
        <v>1618</v>
      </c>
      <c r="B2869" s="14" t="s">
        <v>1722</v>
      </c>
      <c r="C2869" s="316">
        <v>1</v>
      </c>
      <c r="D2869" s="15" t="s">
        <v>11</v>
      </c>
      <c r="E2869" s="16">
        <v>15000</v>
      </c>
      <c r="F2869" s="16">
        <f>C2869*E2869</f>
        <v>15000</v>
      </c>
    </row>
    <row r="2870" spans="1:6" ht="30" x14ac:dyDescent="0.25">
      <c r="A2870" s="13" t="s">
        <v>1620</v>
      </c>
      <c r="B2870" s="14" t="s">
        <v>1729</v>
      </c>
      <c r="C2870" s="316">
        <v>1</v>
      </c>
      <c r="D2870" s="15" t="s">
        <v>11</v>
      </c>
      <c r="E2870" s="16">
        <v>60000</v>
      </c>
      <c r="F2870" s="16">
        <f t="shared" ref="F2870:F2887" si="77">C2870*E2870</f>
        <v>60000</v>
      </c>
    </row>
    <row r="2871" spans="1:6" x14ac:dyDescent="0.25">
      <c r="A2871" s="13" t="s">
        <v>1621</v>
      </c>
      <c r="B2871" s="14" t="s">
        <v>993</v>
      </c>
      <c r="C2871" s="316">
        <v>6.21</v>
      </c>
      <c r="D2871" s="15" t="s">
        <v>30</v>
      </c>
      <c r="E2871" s="16">
        <v>9500</v>
      </c>
      <c r="F2871" s="16">
        <f t="shared" si="77"/>
        <v>58995</v>
      </c>
    </row>
    <row r="2872" spans="1:6" x14ac:dyDescent="0.25">
      <c r="A2872" s="13" t="s">
        <v>1623</v>
      </c>
      <c r="B2872" s="14" t="s">
        <v>1730</v>
      </c>
      <c r="C2872" s="316">
        <v>12.5</v>
      </c>
      <c r="D2872" s="15" t="s">
        <v>30</v>
      </c>
      <c r="E2872" s="16">
        <v>8500</v>
      </c>
      <c r="F2872" s="16">
        <f t="shared" si="77"/>
        <v>106250</v>
      </c>
    </row>
    <row r="2873" spans="1:6" ht="45" x14ac:dyDescent="0.25">
      <c r="A2873" s="13" t="s">
        <v>1631</v>
      </c>
      <c r="B2873" s="14" t="s">
        <v>1723</v>
      </c>
      <c r="C2873" s="316">
        <v>16</v>
      </c>
      <c r="D2873" s="15" t="s">
        <v>180</v>
      </c>
      <c r="E2873" s="16">
        <v>19500</v>
      </c>
      <c r="F2873" s="16">
        <f t="shared" si="77"/>
        <v>312000</v>
      </c>
    </row>
    <row r="2874" spans="1:6" ht="60" x14ac:dyDescent="0.25">
      <c r="A2874" s="13" t="s">
        <v>1632</v>
      </c>
      <c r="B2874" s="14" t="s">
        <v>1724</v>
      </c>
      <c r="C2874" s="316">
        <v>224</v>
      </c>
      <c r="D2874" s="15" t="s">
        <v>33</v>
      </c>
      <c r="E2874" s="16">
        <v>2100</v>
      </c>
      <c r="F2874" s="16">
        <f t="shared" si="77"/>
        <v>470400</v>
      </c>
    </row>
    <row r="2875" spans="1:6" ht="45" x14ac:dyDescent="0.25">
      <c r="A2875" s="13" t="s">
        <v>1633</v>
      </c>
      <c r="B2875" s="14" t="s">
        <v>1725</v>
      </c>
      <c r="C2875" s="316">
        <v>310</v>
      </c>
      <c r="D2875" s="15" t="s">
        <v>33</v>
      </c>
      <c r="E2875" s="16">
        <v>1750</v>
      </c>
      <c r="F2875" s="16">
        <f t="shared" si="77"/>
        <v>542500</v>
      </c>
    </row>
    <row r="2876" spans="1:6" ht="45" x14ac:dyDescent="0.25">
      <c r="A2876" s="13" t="s">
        <v>1634</v>
      </c>
      <c r="B2876" s="14" t="s">
        <v>1726</v>
      </c>
      <c r="C2876" s="316">
        <v>328</v>
      </c>
      <c r="D2876" s="15" t="s">
        <v>33</v>
      </c>
      <c r="E2876" s="16">
        <v>1850</v>
      </c>
      <c r="F2876" s="16">
        <f t="shared" si="77"/>
        <v>606800</v>
      </c>
    </row>
    <row r="2877" spans="1:6" ht="45" x14ac:dyDescent="0.25">
      <c r="A2877" s="13" t="s">
        <v>1635</v>
      </c>
      <c r="B2877" s="14" t="s">
        <v>1727</v>
      </c>
      <c r="C2877" s="316">
        <v>1330</v>
      </c>
      <c r="D2877" s="15" t="s">
        <v>9</v>
      </c>
      <c r="E2877" s="16">
        <v>1450</v>
      </c>
      <c r="F2877" s="16">
        <f t="shared" si="77"/>
        <v>1928500</v>
      </c>
    </row>
    <row r="2878" spans="1:6" ht="60" x14ac:dyDescent="0.25">
      <c r="A2878" s="13" t="s">
        <v>1385</v>
      </c>
      <c r="B2878" s="14" t="s">
        <v>1728</v>
      </c>
      <c r="C2878" s="316">
        <v>1</v>
      </c>
      <c r="D2878" s="15" t="s">
        <v>11</v>
      </c>
      <c r="E2878" s="16">
        <v>310000</v>
      </c>
      <c r="F2878" s="16">
        <f t="shared" si="77"/>
        <v>310000</v>
      </c>
    </row>
    <row r="2879" spans="1:6" ht="45" x14ac:dyDescent="0.25">
      <c r="A2879" s="13" t="s">
        <v>1398</v>
      </c>
      <c r="B2879" s="14" t="s">
        <v>128</v>
      </c>
      <c r="C2879" s="316">
        <v>1620</v>
      </c>
      <c r="D2879" s="15" t="s">
        <v>9</v>
      </c>
      <c r="E2879" s="16">
        <v>590</v>
      </c>
      <c r="F2879" s="16">
        <f t="shared" si="77"/>
        <v>955800</v>
      </c>
    </row>
    <row r="2880" spans="1:6" ht="30" x14ac:dyDescent="0.25">
      <c r="A2880" s="13" t="s">
        <v>1637</v>
      </c>
      <c r="B2880" s="14" t="s">
        <v>1731</v>
      </c>
      <c r="C2880" s="316">
        <v>1321</v>
      </c>
      <c r="D2880" s="15" t="s">
        <v>9</v>
      </c>
      <c r="E2880" s="16">
        <v>480</v>
      </c>
      <c r="F2880" s="16">
        <f t="shared" si="77"/>
        <v>634080</v>
      </c>
    </row>
    <row r="2881" spans="1:8" ht="30" x14ac:dyDescent="0.25">
      <c r="A2881" s="13" t="s">
        <v>1660</v>
      </c>
      <c r="B2881" s="14" t="s">
        <v>1733</v>
      </c>
      <c r="C2881" s="316">
        <v>1750</v>
      </c>
      <c r="D2881" s="15" t="s">
        <v>9</v>
      </c>
      <c r="E2881" s="16">
        <v>155</v>
      </c>
      <c r="F2881" s="16">
        <f t="shared" si="77"/>
        <v>271250</v>
      </c>
    </row>
    <row r="2882" spans="1:8" ht="30" x14ac:dyDescent="0.25">
      <c r="A2882" s="13" t="s">
        <v>1661</v>
      </c>
      <c r="B2882" s="14" t="s">
        <v>1732</v>
      </c>
      <c r="C2882" s="316">
        <v>960</v>
      </c>
      <c r="D2882" s="15" t="s">
        <v>9</v>
      </c>
      <c r="E2882" s="16">
        <v>165</v>
      </c>
      <c r="F2882" s="16">
        <f t="shared" si="77"/>
        <v>158400</v>
      </c>
    </row>
    <row r="2883" spans="1:8" ht="45" x14ac:dyDescent="0.25">
      <c r="A2883" s="13" t="s">
        <v>1662</v>
      </c>
      <c r="B2883" s="14" t="s">
        <v>1734</v>
      </c>
      <c r="C2883" s="316">
        <v>1330</v>
      </c>
      <c r="D2883" s="15" t="s">
        <v>9</v>
      </c>
      <c r="E2883" s="16">
        <v>190</v>
      </c>
      <c r="F2883" s="16">
        <f t="shared" si="77"/>
        <v>252700</v>
      </c>
    </row>
    <row r="2884" spans="1:8" ht="45" x14ac:dyDescent="0.25">
      <c r="A2884" s="13" t="s">
        <v>1663</v>
      </c>
      <c r="B2884" s="14" t="s">
        <v>1735</v>
      </c>
      <c r="C2884" s="316">
        <v>1750</v>
      </c>
      <c r="D2884" s="15" t="s">
        <v>9</v>
      </c>
      <c r="E2884" s="16">
        <v>180</v>
      </c>
      <c r="F2884" s="16">
        <f t="shared" si="77"/>
        <v>315000</v>
      </c>
    </row>
    <row r="2885" spans="1:8" ht="60" x14ac:dyDescent="0.25">
      <c r="A2885" s="13" t="s">
        <v>1664</v>
      </c>
      <c r="B2885" s="14" t="s">
        <v>1737</v>
      </c>
      <c r="C2885" s="316">
        <v>1321</v>
      </c>
      <c r="D2885" s="15" t="s">
        <v>9</v>
      </c>
      <c r="E2885" s="16">
        <v>345</v>
      </c>
      <c r="F2885" s="16">
        <f t="shared" si="77"/>
        <v>455745</v>
      </c>
      <c r="H2885" s="99"/>
    </row>
    <row r="2886" spans="1:8" ht="60" x14ac:dyDescent="0.25">
      <c r="A2886" s="13" t="s">
        <v>1665</v>
      </c>
      <c r="B2886" s="14" t="s">
        <v>1736</v>
      </c>
      <c r="C2886" s="316">
        <v>234</v>
      </c>
      <c r="D2886" s="15" t="s">
        <v>9</v>
      </c>
      <c r="E2886" s="16">
        <v>225</v>
      </c>
      <c r="F2886" s="16">
        <f t="shared" si="77"/>
        <v>52650</v>
      </c>
    </row>
    <row r="2887" spans="1:8" ht="75" x14ac:dyDescent="0.25">
      <c r="A2887" s="13" t="s">
        <v>1666</v>
      </c>
      <c r="B2887" s="14" t="s">
        <v>1738</v>
      </c>
      <c r="C2887" s="316">
        <v>1</v>
      </c>
      <c r="D2887" s="15" t="s">
        <v>407</v>
      </c>
      <c r="E2887" s="16">
        <v>125000</v>
      </c>
      <c r="F2887" s="16">
        <f t="shared" si="77"/>
        <v>125000</v>
      </c>
    </row>
    <row r="2889" spans="1:8" x14ac:dyDescent="0.25">
      <c r="B2889" s="17" t="s">
        <v>10</v>
      </c>
      <c r="C2889" s="31"/>
      <c r="D2889" s="18"/>
      <c r="E2889" s="239"/>
      <c r="F2889" s="239">
        <f>SUM(F2869:F2887)</f>
        <v>7631070</v>
      </c>
    </row>
    <row r="2891" spans="1:8" x14ac:dyDescent="0.25">
      <c r="A2891" s="28" t="s">
        <v>0</v>
      </c>
      <c r="B2891" s="28" t="s">
        <v>1</v>
      </c>
      <c r="C2891" s="329" t="s">
        <v>2</v>
      </c>
      <c r="D2891" s="28" t="s">
        <v>3</v>
      </c>
      <c r="E2891" s="262" t="s">
        <v>4</v>
      </c>
      <c r="F2891" s="262" t="s">
        <v>5</v>
      </c>
    </row>
    <row r="2892" spans="1:8" ht="60" x14ac:dyDescent="0.25">
      <c r="A2892" s="13" t="s">
        <v>1618</v>
      </c>
      <c r="B2892" s="14" t="s">
        <v>1739</v>
      </c>
      <c r="C2892" s="316">
        <v>130</v>
      </c>
      <c r="D2892" s="15" t="s">
        <v>33</v>
      </c>
      <c r="E2892" s="16">
        <v>3100</v>
      </c>
      <c r="F2892" s="16">
        <f>C2892*E2892</f>
        <v>403000</v>
      </c>
    </row>
    <row r="2893" spans="1:8" ht="60" x14ac:dyDescent="0.25">
      <c r="A2893" s="13" t="s">
        <v>1620</v>
      </c>
      <c r="B2893" s="14" t="s">
        <v>1740</v>
      </c>
      <c r="C2893" s="316">
        <v>320</v>
      </c>
      <c r="D2893" s="15" t="s">
        <v>33</v>
      </c>
      <c r="E2893" s="16">
        <v>3100</v>
      </c>
      <c r="F2893" s="16">
        <f>C2893*E2893</f>
        <v>992000</v>
      </c>
    </row>
    <row r="2894" spans="1:8" ht="75" x14ac:dyDescent="0.25">
      <c r="A2894" s="13" t="s">
        <v>1621</v>
      </c>
      <c r="B2894" s="14" t="s">
        <v>1741</v>
      </c>
      <c r="C2894" s="316">
        <v>1430</v>
      </c>
      <c r="D2894" s="15" t="s">
        <v>9</v>
      </c>
      <c r="E2894" s="16">
        <v>1750</v>
      </c>
      <c r="F2894" s="16">
        <f>C2894*E2894</f>
        <v>2502500</v>
      </c>
    </row>
    <row r="2895" spans="1:8" ht="60" x14ac:dyDescent="0.25">
      <c r="A2895" s="13" t="s">
        <v>1623</v>
      </c>
      <c r="B2895" s="14" t="s">
        <v>1742</v>
      </c>
      <c r="C2895" s="316">
        <v>1</v>
      </c>
      <c r="D2895" s="15" t="s">
        <v>11</v>
      </c>
      <c r="E2895" s="16">
        <v>325000</v>
      </c>
      <c r="F2895" s="16">
        <f>C2895*E2895</f>
        <v>325000</v>
      </c>
    </row>
    <row r="2897" spans="1:6" x14ac:dyDescent="0.25">
      <c r="B2897" s="17" t="s">
        <v>10</v>
      </c>
      <c r="C2897" s="31"/>
      <c r="D2897" s="18"/>
      <c r="E2897" s="239"/>
      <c r="F2897" s="239">
        <f>SUM(F2892:F2895)</f>
        <v>4222500</v>
      </c>
    </row>
    <row r="2898" spans="1:6" ht="15.75" thickBot="1" x14ac:dyDescent="0.3"/>
    <row r="2899" spans="1:6" ht="15.75" thickBot="1" x14ac:dyDescent="0.3">
      <c r="A2899" s="5" t="s">
        <v>0</v>
      </c>
      <c r="B2899" s="6" t="s">
        <v>1</v>
      </c>
      <c r="C2899" s="332" t="s">
        <v>2</v>
      </c>
      <c r="D2899" s="6" t="s">
        <v>3</v>
      </c>
      <c r="E2899" s="264" t="s">
        <v>4</v>
      </c>
      <c r="F2899" s="264" t="s">
        <v>5</v>
      </c>
    </row>
    <row r="2900" spans="1:6" ht="60.75" thickBot="1" x14ac:dyDescent="0.3">
      <c r="A2900" s="7">
        <v>1</v>
      </c>
      <c r="B2900" s="8" t="s">
        <v>1739</v>
      </c>
      <c r="C2900" s="324">
        <v>130</v>
      </c>
      <c r="D2900" s="9" t="s">
        <v>33</v>
      </c>
      <c r="E2900" s="237">
        <v>1650</v>
      </c>
      <c r="F2900" s="237">
        <f>E2900*C2900</f>
        <v>214500</v>
      </c>
    </row>
    <row r="2901" spans="1:6" ht="60.75" thickBot="1" x14ac:dyDescent="0.3">
      <c r="A2901" s="7">
        <v>2</v>
      </c>
      <c r="B2901" s="8" t="s">
        <v>1740</v>
      </c>
      <c r="C2901" s="324">
        <v>320</v>
      </c>
      <c r="D2901" s="9" t="s">
        <v>33</v>
      </c>
      <c r="E2901" s="237">
        <v>1650</v>
      </c>
      <c r="F2901" s="237">
        <f>E2901*C2901</f>
        <v>528000</v>
      </c>
    </row>
    <row r="2902" spans="1:6" x14ac:dyDescent="0.25">
      <c r="A2902" s="566">
        <v>3</v>
      </c>
      <c r="B2902" s="10" t="s">
        <v>1743</v>
      </c>
      <c r="C2902" s="569">
        <v>1430</v>
      </c>
      <c r="D2902" s="566" t="s">
        <v>9</v>
      </c>
      <c r="E2902" s="572">
        <v>1400</v>
      </c>
      <c r="F2902" s="572">
        <f>E2902*C2902</f>
        <v>2002000</v>
      </c>
    </row>
    <row r="2903" spans="1:6" x14ac:dyDescent="0.25">
      <c r="A2903" s="567"/>
      <c r="B2903" s="10" t="s">
        <v>1744</v>
      </c>
      <c r="C2903" s="570"/>
      <c r="D2903" s="567"/>
      <c r="E2903" s="573"/>
      <c r="F2903" s="573"/>
    </row>
    <row r="2904" spans="1:6" x14ac:dyDescent="0.25">
      <c r="A2904" s="567"/>
      <c r="B2904" s="10" t="s">
        <v>1745</v>
      </c>
      <c r="C2904" s="570"/>
      <c r="D2904" s="567"/>
      <c r="E2904" s="573"/>
      <c r="F2904" s="573"/>
    </row>
    <row r="2905" spans="1:6" ht="30.75" thickBot="1" x14ac:dyDescent="0.3">
      <c r="A2905" s="659"/>
      <c r="B2905" s="8" t="s">
        <v>1746</v>
      </c>
      <c r="C2905" s="649"/>
      <c r="D2905" s="659"/>
      <c r="E2905" s="640"/>
      <c r="F2905" s="640"/>
    </row>
    <row r="2906" spans="1:6" ht="75.75" thickBot="1" x14ac:dyDescent="0.3">
      <c r="A2906" s="7">
        <v>4</v>
      </c>
      <c r="B2906" s="8" t="s">
        <v>1747</v>
      </c>
      <c r="C2906" s="324">
        <v>1</v>
      </c>
      <c r="D2906" s="9" t="s">
        <v>11</v>
      </c>
      <c r="E2906" s="237">
        <v>195000</v>
      </c>
      <c r="F2906" s="237">
        <f>E2906*C2906</f>
        <v>195000</v>
      </c>
    </row>
    <row r="2907" spans="1:6" ht="15.75" thickBot="1" x14ac:dyDescent="0.3">
      <c r="A2907" s="7"/>
      <c r="B2907" s="8"/>
      <c r="C2907" s="324"/>
      <c r="D2907" s="9"/>
      <c r="E2907" s="237"/>
      <c r="F2907" s="237"/>
    </row>
    <row r="2908" spans="1:6" ht="15.75" thickBot="1" x14ac:dyDescent="0.3">
      <c r="A2908" s="7"/>
      <c r="B2908" s="11" t="s">
        <v>10</v>
      </c>
      <c r="C2908" s="325"/>
      <c r="D2908" s="12"/>
      <c r="E2908" s="238"/>
      <c r="F2908" s="238">
        <f>SUM(F2900:F2906)</f>
        <v>2939500</v>
      </c>
    </row>
    <row r="2909" spans="1:6" ht="15.75" thickBot="1" x14ac:dyDescent="0.3">
      <c r="A2909" s="7"/>
      <c r="B2909" s="8"/>
      <c r="C2909" s="324"/>
      <c r="D2909" s="9"/>
      <c r="E2909" s="237"/>
      <c r="F2909" s="237"/>
    </row>
    <row r="2910" spans="1:6" ht="15.75" thickBot="1" x14ac:dyDescent="0.3">
      <c r="F2910" s="16">
        <f>C2910*E2910</f>
        <v>0</v>
      </c>
    </row>
    <row r="2911" spans="1:6" ht="15.75" thickBot="1" x14ac:dyDescent="0.3">
      <c r="A2911" s="5" t="s">
        <v>0</v>
      </c>
      <c r="B2911" s="6" t="s">
        <v>1</v>
      </c>
      <c r="C2911" s="332" t="s">
        <v>2</v>
      </c>
      <c r="D2911" s="6" t="s">
        <v>3</v>
      </c>
      <c r="E2911" s="264" t="s">
        <v>4</v>
      </c>
      <c r="F2911" s="264" t="s">
        <v>5</v>
      </c>
    </row>
    <row r="2912" spans="1:6" ht="45" x14ac:dyDescent="0.25">
      <c r="A2912" s="13" t="s">
        <v>1618</v>
      </c>
      <c r="B2912" s="14" t="s">
        <v>1748</v>
      </c>
      <c r="C2912" s="316">
        <v>1</v>
      </c>
      <c r="D2912" s="15" t="s">
        <v>407</v>
      </c>
      <c r="E2912" s="16">
        <v>19500</v>
      </c>
      <c r="F2912" s="16">
        <f t="shared" ref="F2912:F2917" si="78">C2912*E2912</f>
        <v>19500</v>
      </c>
    </row>
    <row r="2913" spans="1:6" ht="45" x14ac:dyDescent="0.25">
      <c r="A2913" s="13" t="s">
        <v>1620</v>
      </c>
      <c r="B2913" s="14" t="s">
        <v>1749</v>
      </c>
      <c r="C2913" s="316">
        <v>1</v>
      </c>
      <c r="D2913" s="15" t="s">
        <v>407</v>
      </c>
      <c r="E2913" s="16">
        <v>16500</v>
      </c>
      <c r="F2913" s="16">
        <f t="shared" si="78"/>
        <v>16500</v>
      </c>
    </row>
    <row r="2914" spans="1:6" ht="60" x14ac:dyDescent="0.25">
      <c r="A2914" s="13" t="s">
        <v>1621</v>
      </c>
      <c r="B2914" s="14" t="s">
        <v>1752</v>
      </c>
      <c r="C2914" s="316">
        <v>1</v>
      </c>
      <c r="D2914" s="15" t="s">
        <v>407</v>
      </c>
      <c r="E2914" s="16">
        <v>14000</v>
      </c>
      <c r="F2914" s="16">
        <f t="shared" si="78"/>
        <v>14000</v>
      </c>
    </row>
    <row r="2915" spans="1:6" ht="45" x14ac:dyDescent="0.25">
      <c r="A2915" s="13" t="s">
        <v>1623</v>
      </c>
      <c r="B2915" s="14" t="s">
        <v>1750</v>
      </c>
      <c r="C2915" s="316">
        <v>1</v>
      </c>
      <c r="D2915" s="15" t="s">
        <v>407</v>
      </c>
      <c r="E2915" s="16">
        <v>10500</v>
      </c>
      <c r="F2915" s="16">
        <f t="shared" si="78"/>
        <v>10500</v>
      </c>
    </row>
    <row r="2916" spans="1:6" ht="30" x14ac:dyDescent="0.25">
      <c r="A2916" s="13" t="s">
        <v>1631</v>
      </c>
      <c r="B2916" s="14" t="s">
        <v>1751</v>
      </c>
      <c r="C2916" s="316">
        <v>1</v>
      </c>
      <c r="D2916" s="15" t="s">
        <v>407</v>
      </c>
      <c r="E2916" s="16">
        <v>22000</v>
      </c>
      <c r="F2916" s="16">
        <f t="shared" si="78"/>
        <v>22000</v>
      </c>
    </row>
    <row r="2917" spans="1:6" ht="30" x14ac:dyDescent="0.25">
      <c r="A2917" s="13" t="s">
        <v>1632</v>
      </c>
      <c r="B2917" s="14" t="s">
        <v>1753</v>
      </c>
      <c r="C2917" s="316">
        <v>1</v>
      </c>
      <c r="D2917" s="15" t="s">
        <v>772</v>
      </c>
      <c r="E2917" s="16">
        <v>16000</v>
      </c>
      <c r="F2917" s="16">
        <f t="shared" si="78"/>
        <v>16000</v>
      </c>
    </row>
    <row r="2919" spans="1:6" x14ac:dyDescent="0.25">
      <c r="B2919" s="17" t="s">
        <v>10</v>
      </c>
      <c r="C2919" s="31"/>
      <c r="D2919" s="18"/>
      <c r="E2919" s="239"/>
      <c r="F2919" s="239">
        <f>SUM(F2912:F2917)</f>
        <v>98500</v>
      </c>
    </row>
    <row r="2920" spans="1:6" ht="15.75" thickBot="1" x14ac:dyDescent="0.3"/>
    <row r="2921" spans="1:6" ht="15.75" thickBot="1" x14ac:dyDescent="0.3">
      <c r="A2921" s="5" t="s">
        <v>0</v>
      </c>
      <c r="B2921" s="6" t="s">
        <v>1</v>
      </c>
      <c r="C2921" s="332" t="s">
        <v>2</v>
      </c>
      <c r="D2921" s="6" t="s">
        <v>3</v>
      </c>
      <c r="E2921" s="264" t="s">
        <v>4</v>
      </c>
      <c r="F2921" s="264" t="s">
        <v>5</v>
      </c>
    </row>
    <row r="2922" spans="1:6" ht="60.75" thickBot="1" x14ac:dyDescent="0.3">
      <c r="A2922" s="7">
        <v>1</v>
      </c>
      <c r="B2922" s="8" t="s">
        <v>1739</v>
      </c>
      <c r="C2922" s="324">
        <v>130</v>
      </c>
      <c r="D2922" s="9" t="s">
        <v>33</v>
      </c>
      <c r="E2922" s="237">
        <v>1650</v>
      </c>
      <c r="F2922" s="237">
        <f>E2922*C2922</f>
        <v>214500</v>
      </c>
    </row>
    <row r="2923" spans="1:6" ht="60.75" thickBot="1" x14ac:dyDescent="0.3">
      <c r="A2923" s="7">
        <v>2</v>
      </c>
      <c r="B2923" s="8" t="s">
        <v>1740</v>
      </c>
      <c r="C2923" s="324">
        <v>320</v>
      </c>
      <c r="D2923" s="9" t="s">
        <v>33</v>
      </c>
      <c r="E2923" s="237">
        <v>1650</v>
      </c>
      <c r="F2923" s="237">
        <f>E2923*C2923</f>
        <v>528000</v>
      </c>
    </row>
    <row r="2924" spans="1:6" x14ac:dyDescent="0.25">
      <c r="A2924" s="566">
        <v>3</v>
      </c>
      <c r="B2924" s="10" t="s">
        <v>1743</v>
      </c>
      <c r="C2924" s="569">
        <v>1430</v>
      </c>
      <c r="D2924" s="566" t="s">
        <v>9</v>
      </c>
      <c r="E2924" s="572">
        <v>1400</v>
      </c>
      <c r="F2924" s="572">
        <f>E2924*C2924</f>
        <v>2002000</v>
      </c>
    </row>
    <row r="2925" spans="1:6" x14ac:dyDescent="0.25">
      <c r="A2925" s="567"/>
      <c r="B2925" s="10" t="s">
        <v>1744</v>
      </c>
      <c r="C2925" s="570"/>
      <c r="D2925" s="567"/>
      <c r="E2925" s="573"/>
      <c r="F2925" s="573"/>
    </row>
    <row r="2926" spans="1:6" x14ac:dyDescent="0.25">
      <c r="A2926" s="567"/>
      <c r="B2926" s="10" t="s">
        <v>1745</v>
      </c>
      <c r="C2926" s="570"/>
      <c r="D2926" s="567"/>
      <c r="E2926" s="573"/>
      <c r="F2926" s="573"/>
    </row>
    <row r="2927" spans="1:6" ht="30.75" thickBot="1" x14ac:dyDescent="0.3">
      <c r="A2927" s="568"/>
      <c r="B2927" s="8" t="s">
        <v>1746</v>
      </c>
      <c r="C2927" s="571"/>
      <c r="D2927" s="568"/>
      <c r="E2927" s="574"/>
      <c r="F2927" s="574"/>
    </row>
    <row r="2928" spans="1:6" ht="75.75" thickBot="1" x14ac:dyDescent="0.3">
      <c r="A2928" s="7">
        <v>4</v>
      </c>
      <c r="B2928" s="8" t="s">
        <v>1747</v>
      </c>
      <c r="C2928" s="324">
        <v>1</v>
      </c>
      <c r="D2928" s="9" t="s">
        <v>11</v>
      </c>
      <c r="E2928" s="237">
        <v>155500</v>
      </c>
      <c r="F2928" s="237">
        <f>E2928*C2928</f>
        <v>155500</v>
      </c>
    </row>
    <row r="2929" spans="1:6" ht="15.75" thickBot="1" x14ac:dyDescent="0.3">
      <c r="A2929" s="7"/>
      <c r="B2929" s="8"/>
      <c r="C2929" s="324"/>
      <c r="D2929" s="9"/>
      <c r="E2929" s="237"/>
      <c r="F2929" s="237"/>
    </row>
    <row r="2930" spans="1:6" ht="15.75" thickBot="1" x14ac:dyDescent="0.3">
      <c r="A2930" s="7"/>
      <c r="B2930" s="11" t="s">
        <v>10</v>
      </c>
      <c r="C2930" s="325"/>
      <c r="D2930" s="12"/>
      <c r="E2930" s="238"/>
      <c r="F2930" s="238">
        <f>SUM(F2922:F2928)</f>
        <v>2900000</v>
      </c>
    </row>
    <row r="2931" spans="1:6" ht="15.75" thickBot="1" x14ac:dyDescent="0.3">
      <c r="A2931" s="7"/>
      <c r="B2931" s="8"/>
      <c r="C2931" s="324"/>
      <c r="D2931" s="9"/>
      <c r="E2931" s="237"/>
      <c r="F2931" s="237"/>
    </row>
    <row r="2932" spans="1:6" ht="15.75" thickBot="1" x14ac:dyDescent="0.3">
      <c r="F2932" s="16">
        <f>C2932*E2932</f>
        <v>0</v>
      </c>
    </row>
    <row r="2933" spans="1:6" ht="15.75" thickBot="1" x14ac:dyDescent="0.3">
      <c r="A2933" s="5" t="s">
        <v>0</v>
      </c>
      <c r="B2933" s="6" t="s">
        <v>1</v>
      </c>
      <c r="C2933" s="332" t="s">
        <v>2</v>
      </c>
      <c r="D2933" s="6" t="s">
        <v>3</v>
      </c>
      <c r="E2933" s="264" t="s">
        <v>4</v>
      </c>
      <c r="F2933" s="264" t="s">
        <v>5</v>
      </c>
    </row>
    <row r="2934" spans="1:6" ht="15.75" thickBot="1" x14ac:dyDescent="0.3">
      <c r="A2934" s="7">
        <v>1</v>
      </c>
      <c r="B2934" s="8" t="s">
        <v>1040</v>
      </c>
      <c r="C2934" s="324">
        <v>1</v>
      </c>
      <c r="D2934" s="9" t="s">
        <v>407</v>
      </c>
      <c r="E2934" s="237">
        <v>14000</v>
      </c>
      <c r="F2934" s="237">
        <f>E2934*C2934</f>
        <v>14000</v>
      </c>
    </row>
    <row r="2935" spans="1:6" ht="30.75" thickBot="1" x14ac:dyDescent="0.3">
      <c r="A2935" s="7">
        <v>2</v>
      </c>
      <c r="B2935" s="8" t="s">
        <v>1658</v>
      </c>
      <c r="C2935" s="324">
        <v>299</v>
      </c>
      <c r="D2935" s="9" t="s">
        <v>32</v>
      </c>
      <c r="E2935" s="237">
        <v>120</v>
      </c>
      <c r="F2935" s="237">
        <f t="shared" ref="F2935:F2979" si="79">E2935*C2935</f>
        <v>35880</v>
      </c>
    </row>
    <row r="2936" spans="1:6" ht="15.75" thickBot="1" x14ac:dyDescent="0.3">
      <c r="A2936" s="7">
        <v>3</v>
      </c>
      <c r="B2936" s="8" t="s">
        <v>1674</v>
      </c>
      <c r="C2936" s="324">
        <v>220</v>
      </c>
      <c r="D2936" s="9" t="s">
        <v>32</v>
      </c>
      <c r="E2936" s="237">
        <v>35</v>
      </c>
      <c r="F2936" s="237">
        <f t="shared" si="79"/>
        <v>7700</v>
      </c>
    </row>
    <row r="2937" spans="1:6" ht="30.75" thickBot="1" x14ac:dyDescent="0.3">
      <c r="A2937" s="7">
        <v>4</v>
      </c>
      <c r="B2937" s="8" t="s">
        <v>1044</v>
      </c>
      <c r="C2937" s="324">
        <v>1</v>
      </c>
      <c r="D2937" s="9" t="s">
        <v>772</v>
      </c>
      <c r="E2937" s="237">
        <v>7000</v>
      </c>
      <c r="F2937" s="237">
        <f t="shared" si="79"/>
        <v>7000</v>
      </c>
    </row>
    <row r="2938" spans="1:6" ht="30.75" thickBot="1" x14ac:dyDescent="0.3">
      <c r="A2938" s="7">
        <v>5</v>
      </c>
      <c r="B2938" s="8" t="s">
        <v>1046</v>
      </c>
      <c r="C2938" s="324">
        <v>1</v>
      </c>
      <c r="D2938" s="9" t="s">
        <v>772</v>
      </c>
      <c r="E2938" s="237">
        <v>8000</v>
      </c>
      <c r="F2938" s="237">
        <f t="shared" si="79"/>
        <v>8000</v>
      </c>
    </row>
    <row r="2939" spans="1:6" ht="30.75" thickBot="1" x14ac:dyDescent="0.3">
      <c r="A2939" s="7">
        <v>6</v>
      </c>
      <c r="B2939" s="8" t="s">
        <v>1706</v>
      </c>
      <c r="C2939" s="324">
        <v>5</v>
      </c>
      <c r="D2939" s="9" t="s">
        <v>33</v>
      </c>
      <c r="E2939" s="237">
        <v>770</v>
      </c>
      <c r="F2939" s="237">
        <f t="shared" si="79"/>
        <v>3850</v>
      </c>
    </row>
    <row r="2940" spans="1:6" ht="30.75" thickBot="1" x14ac:dyDescent="0.3">
      <c r="A2940" s="7">
        <v>7</v>
      </c>
      <c r="B2940" s="8" t="s">
        <v>1707</v>
      </c>
      <c r="C2940" s="324">
        <v>220</v>
      </c>
      <c r="D2940" s="9" t="s">
        <v>32</v>
      </c>
      <c r="E2940" s="237">
        <v>90</v>
      </c>
      <c r="F2940" s="237">
        <f t="shared" si="79"/>
        <v>19800</v>
      </c>
    </row>
    <row r="2941" spans="1:6" ht="15.75" thickBot="1" x14ac:dyDescent="0.3">
      <c r="A2941" s="7">
        <v>8</v>
      </c>
      <c r="B2941" s="8" t="s">
        <v>1042</v>
      </c>
      <c r="C2941" s="324">
        <v>66</v>
      </c>
      <c r="D2941" s="9" t="s">
        <v>9</v>
      </c>
      <c r="E2941" s="237">
        <v>49</v>
      </c>
      <c r="F2941" s="237">
        <f t="shared" si="79"/>
        <v>3234</v>
      </c>
    </row>
    <row r="2942" spans="1:6" ht="30.75" thickBot="1" x14ac:dyDescent="0.3">
      <c r="A2942" s="7">
        <v>9</v>
      </c>
      <c r="B2942" s="8" t="s">
        <v>1708</v>
      </c>
      <c r="C2942" s="324">
        <v>1</v>
      </c>
      <c r="D2942" s="9" t="s">
        <v>407</v>
      </c>
      <c r="E2942" s="237">
        <v>16000</v>
      </c>
      <c r="F2942" s="237">
        <f t="shared" si="79"/>
        <v>16000</v>
      </c>
    </row>
    <row r="2943" spans="1:6" ht="30.75" thickBot="1" x14ac:dyDescent="0.3">
      <c r="A2943" s="7">
        <v>10</v>
      </c>
      <c r="B2943" s="8" t="s">
        <v>1709</v>
      </c>
      <c r="C2943" s="324">
        <v>1</v>
      </c>
      <c r="D2943" s="9" t="s">
        <v>407</v>
      </c>
      <c r="E2943" s="237">
        <v>10500</v>
      </c>
      <c r="F2943" s="237">
        <f t="shared" si="79"/>
        <v>10500</v>
      </c>
    </row>
    <row r="2944" spans="1:6" ht="60.75" thickBot="1" x14ac:dyDescent="0.3">
      <c r="A2944" s="7">
        <v>11</v>
      </c>
      <c r="B2944" s="8" t="s">
        <v>1710</v>
      </c>
      <c r="C2944" s="324">
        <v>432</v>
      </c>
      <c r="D2944" s="9" t="s">
        <v>9</v>
      </c>
      <c r="E2944" s="237">
        <v>130</v>
      </c>
      <c r="F2944" s="237">
        <f t="shared" si="79"/>
        <v>56160</v>
      </c>
    </row>
    <row r="2945" spans="1:6" ht="15.75" thickBot="1" x14ac:dyDescent="0.3">
      <c r="A2945" s="7">
        <v>12</v>
      </c>
      <c r="B2945" s="8" t="s">
        <v>1711</v>
      </c>
      <c r="C2945" s="324">
        <v>5</v>
      </c>
      <c r="D2945" s="9" t="s">
        <v>33</v>
      </c>
      <c r="E2945" s="237">
        <v>120</v>
      </c>
      <c r="F2945" s="237">
        <f t="shared" si="79"/>
        <v>600</v>
      </c>
    </row>
    <row r="2946" spans="1:6" ht="15.75" thickBot="1" x14ac:dyDescent="0.3">
      <c r="A2946" s="7">
        <v>13</v>
      </c>
      <c r="B2946" s="8" t="s">
        <v>1712</v>
      </c>
      <c r="C2946" s="324">
        <v>44</v>
      </c>
      <c r="D2946" s="9" t="s">
        <v>33</v>
      </c>
      <c r="E2946" s="237">
        <v>39</v>
      </c>
      <c r="F2946" s="237">
        <f t="shared" si="79"/>
        <v>1716</v>
      </c>
    </row>
    <row r="2947" spans="1:6" ht="45.75" thickBot="1" x14ac:dyDescent="0.3">
      <c r="A2947" s="7">
        <v>14</v>
      </c>
      <c r="B2947" s="8" t="s">
        <v>1713</v>
      </c>
      <c r="C2947" s="324">
        <v>44</v>
      </c>
      <c r="D2947" s="9" t="s">
        <v>33</v>
      </c>
      <c r="E2947" s="237">
        <v>59</v>
      </c>
      <c r="F2947" s="237">
        <f t="shared" si="79"/>
        <v>2596</v>
      </c>
    </row>
    <row r="2948" spans="1:6" ht="30.75" thickBot="1" x14ac:dyDescent="0.3">
      <c r="A2948" s="7">
        <v>15</v>
      </c>
      <c r="B2948" s="8" t="s">
        <v>1714</v>
      </c>
      <c r="C2948" s="324">
        <v>25</v>
      </c>
      <c r="D2948" s="9" t="s">
        <v>9</v>
      </c>
      <c r="E2948" s="237">
        <v>69</v>
      </c>
      <c r="F2948" s="237">
        <f t="shared" si="79"/>
        <v>1725</v>
      </c>
    </row>
    <row r="2949" spans="1:6" ht="30.75" thickBot="1" x14ac:dyDescent="0.3">
      <c r="A2949" s="7">
        <v>16</v>
      </c>
      <c r="B2949" s="8" t="s">
        <v>1695</v>
      </c>
      <c r="C2949" s="324">
        <v>234</v>
      </c>
      <c r="D2949" s="9" t="s">
        <v>9</v>
      </c>
      <c r="E2949" s="237">
        <v>59</v>
      </c>
      <c r="F2949" s="237">
        <f t="shared" si="79"/>
        <v>13806</v>
      </c>
    </row>
    <row r="2950" spans="1:6" ht="15.75" thickBot="1" x14ac:dyDescent="0.3">
      <c r="A2950" s="7">
        <v>17</v>
      </c>
      <c r="B2950" s="8" t="s">
        <v>1279</v>
      </c>
      <c r="C2950" s="324">
        <v>234</v>
      </c>
      <c r="D2950" s="9" t="s">
        <v>9</v>
      </c>
      <c r="E2950" s="237">
        <v>75</v>
      </c>
      <c r="F2950" s="237">
        <f t="shared" si="79"/>
        <v>17550</v>
      </c>
    </row>
    <row r="2951" spans="1:6" ht="15.75" thickBot="1" x14ac:dyDescent="0.3">
      <c r="A2951" s="7">
        <v>18</v>
      </c>
      <c r="B2951" s="8" t="s">
        <v>1721</v>
      </c>
      <c r="C2951" s="324">
        <v>234</v>
      </c>
      <c r="D2951" s="9" t="s">
        <v>9</v>
      </c>
      <c r="E2951" s="237">
        <v>55</v>
      </c>
      <c r="F2951" s="237">
        <f t="shared" si="79"/>
        <v>12870</v>
      </c>
    </row>
    <row r="2952" spans="1:6" ht="30.75" thickBot="1" x14ac:dyDescent="0.3">
      <c r="A2952" s="7">
        <v>19</v>
      </c>
      <c r="B2952" s="8" t="s">
        <v>1715</v>
      </c>
      <c r="C2952" s="324">
        <v>468</v>
      </c>
      <c r="D2952" s="9" t="s">
        <v>9</v>
      </c>
      <c r="E2952" s="237">
        <v>75</v>
      </c>
      <c r="F2952" s="237">
        <f t="shared" si="79"/>
        <v>35100</v>
      </c>
    </row>
    <row r="2953" spans="1:6" ht="30.75" thickBot="1" x14ac:dyDescent="0.3">
      <c r="A2953" s="7">
        <v>20</v>
      </c>
      <c r="B2953" s="8" t="s">
        <v>1716</v>
      </c>
      <c r="C2953" s="324">
        <v>476</v>
      </c>
      <c r="D2953" s="9" t="s">
        <v>9</v>
      </c>
      <c r="E2953" s="237">
        <v>55</v>
      </c>
      <c r="F2953" s="237">
        <f t="shared" si="79"/>
        <v>26180</v>
      </c>
    </row>
    <row r="2954" spans="1:6" ht="30.75" thickBot="1" x14ac:dyDescent="0.3">
      <c r="A2954" s="7">
        <v>21</v>
      </c>
      <c r="B2954" s="8" t="s">
        <v>1004</v>
      </c>
      <c r="C2954" s="324">
        <v>468</v>
      </c>
      <c r="D2954" s="9" t="s">
        <v>9</v>
      </c>
      <c r="E2954" s="237">
        <v>25</v>
      </c>
      <c r="F2954" s="237">
        <f t="shared" si="79"/>
        <v>11700</v>
      </c>
    </row>
    <row r="2955" spans="1:6" ht="30.75" thickBot="1" x14ac:dyDescent="0.3">
      <c r="A2955" s="7">
        <v>22</v>
      </c>
      <c r="B2955" s="8" t="s">
        <v>1687</v>
      </c>
      <c r="C2955" s="324">
        <v>468</v>
      </c>
      <c r="D2955" s="9" t="s">
        <v>9</v>
      </c>
      <c r="E2955" s="237">
        <v>32</v>
      </c>
      <c r="F2955" s="237">
        <f t="shared" si="79"/>
        <v>14976</v>
      </c>
    </row>
    <row r="2956" spans="1:6" ht="45.75" thickBot="1" x14ac:dyDescent="0.3">
      <c r="A2956" s="7">
        <v>23</v>
      </c>
      <c r="B2956" s="8" t="s">
        <v>1686</v>
      </c>
      <c r="C2956" s="324">
        <v>476</v>
      </c>
      <c r="D2956" s="9" t="s">
        <v>9</v>
      </c>
      <c r="E2956" s="237">
        <v>32</v>
      </c>
      <c r="F2956" s="237">
        <f t="shared" si="79"/>
        <v>15232</v>
      </c>
    </row>
    <row r="2957" spans="1:6" ht="30.75" thickBot="1" x14ac:dyDescent="0.3">
      <c r="A2957" s="7">
        <v>24</v>
      </c>
      <c r="B2957" s="8" t="s">
        <v>1717</v>
      </c>
      <c r="C2957" s="324">
        <v>408</v>
      </c>
      <c r="D2957" s="9" t="s">
        <v>9</v>
      </c>
      <c r="E2957" s="237">
        <v>185</v>
      </c>
      <c r="F2957" s="237">
        <f t="shared" si="79"/>
        <v>75480</v>
      </c>
    </row>
    <row r="2958" spans="1:6" ht="30.75" thickBot="1" x14ac:dyDescent="0.3">
      <c r="A2958" s="7">
        <v>25</v>
      </c>
      <c r="B2958" s="8" t="s">
        <v>1718</v>
      </c>
      <c r="C2958" s="324">
        <v>408</v>
      </c>
      <c r="D2958" s="9" t="s">
        <v>9</v>
      </c>
      <c r="E2958" s="237">
        <v>190</v>
      </c>
      <c r="F2958" s="237">
        <f t="shared" si="79"/>
        <v>77520</v>
      </c>
    </row>
    <row r="2959" spans="1:6" ht="15.75" thickBot="1" x14ac:dyDescent="0.3">
      <c r="A2959" s="7">
        <v>26</v>
      </c>
      <c r="B2959" s="8" t="s">
        <v>1685</v>
      </c>
      <c r="C2959" s="324">
        <v>408</v>
      </c>
      <c r="D2959" s="9" t="s">
        <v>9</v>
      </c>
      <c r="E2959" s="237">
        <v>39</v>
      </c>
      <c r="F2959" s="237">
        <f t="shared" si="79"/>
        <v>15912</v>
      </c>
    </row>
    <row r="2960" spans="1:6" ht="15.75" thickBot="1" x14ac:dyDescent="0.3">
      <c r="A2960" s="7">
        <v>27</v>
      </c>
      <c r="B2960" s="8" t="s">
        <v>1698</v>
      </c>
      <c r="C2960" s="324">
        <v>60</v>
      </c>
      <c r="D2960" s="9" t="s">
        <v>33</v>
      </c>
      <c r="E2960" s="237">
        <v>200</v>
      </c>
      <c r="F2960" s="237">
        <f t="shared" si="79"/>
        <v>12000</v>
      </c>
    </row>
    <row r="2961" spans="1:6" ht="15.75" thickBot="1" x14ac:dyDescent="0.3">
      <c r="A2961" s="7">
        <v>28</v>
      </c>
      <c r="B2961" s="8" t="s">
        <v>1684</v>
      </c>
      <c r="C2961" s="324">
        <v>60</v>
      </c>
      <c r="D2961" s="9" t="s">
        <v>33</v>
      </c>
      <c r="E2961" s="237">
        <v>14</v>
      </c>
      <c r="F2961" s="237">
        <f t="shared" si="79"/>
        <v>840</v>
      </c>
    </row>
    <row r="2962" spans="1:6" ht="30.75" thickBot="1" x14ac:dyDescent="0.3">
      <c r="A2962" s="7">
        <v>29</v>
      </c>
      <c r="B2962" s="8" t="s">
        <v>1719</v>
      </c>
      <c r="C2962" s="324">
        <v>1</v>
      </c>
      <c r="D2962" s="9" t="s">
        <v>11</v>
      </c>
      <c r="E2962" s="237">
        <v>6500</v>
      </c>
      <c r="F2962" s="237">
        <f t="shared" si="79"/>
        <v>6500</v>
      </c>
    </row>
    <row r="2963" spans="1:6" ht="15.75" thickBot="1" x14ac:dyDescent="0.3">
      <c r="A2963" s="7">
        <v>30</v>
      </c>
      <c r="B2963" s="8" t="s">
        <v>1681</v>
      </c>
      <c r="C2963" s="324">
        <v>234</v>
      </c>
      <c r="D2963" s="9" t="s">
        <v>9</v>
      </c>
      <c r="E2963" s="237">
        <v>19</v>
      </c>
      <c r="F2963" s="237">
        <f t="shared" si="79"/>
        <v>4446</v>
      </c>
    </row>
    <row r="2964" spans="1:6" ht="30.75" thickBot="1" x14ac:dyDescent="0.3">
      <c r="A2964" s="7">
        <v>31</v>
      </c>
      <c r="B2964" s="8" t="s">
        <v>1680</v>
      </c>
      <c r="C2964" s="324">
        <v>18</v>
      </c>
      <c r="D2964" s="9" t="s">
        <v>33</v>
      </c>
      <c r="E2964" s="237">
        <v>130</v>
      </c>
      <c r="F2964" s="237">
        <f t="shared" si="79"/>
        <v>2340</v>
      </c>
    </row>
    <row r="2965" spans="1:6" ht="30.75" thickBot="1" x14ac:dyDescent="0.3">
      <c r="A2965" s="7">
        <v>32</v>
      </c>
      <c r="B2965" s="8" t="s">
        <v>1720</v>
      </c>
      <c r="C2965" s="324">
        <v>104</v>
      </c>
      <c r="D2965" s="9" t="s">
        <v>9</v>
      </c>
      <c r="E2965" s="237">
        <v>100</v>
      </c>
      <c r="F2965" s="237">
        <f t="shared" si="79"/>
        <v>10400</v>
      </c>
    </row>
    <row r="2966" spans="1:6" ht="15.75" thickBot="1" x14ac:dyDescent="0.3">
      <c r="A2966" s="7">
        <v>33</v>
      </c>
      <c r="B2966" s="8" t="s">
        <v>1676</v>
      </c>
      <c r="C2966" s="324">
        <v>143</v>
      </c>
      <c r="D2966" s="9" t="s">
        <v>9</v>
      </c>
      <c r="E2966" s="237">
        <v>109</v>
      </c>
      <c r="F2966" s="237">
        <f t="shared" si="79"/>
        <v>15587</v>
      </c>
    </row>
    <row r="2967" spans="1:6" ht="15.75" thickBot="1" x14ac:dyDescent="0.3">
      <c r="A2967" s="7">
        <v>34</v>
      </c>
      <c r="B2967" s="8" t="s">
        <v>1677</v>
      </c>
      <c r="C2967" s="324">
        <v>247</v>
      </c>
      <c r="D2967" s="9" t="s">
        <v>9</v>
      </c>
      <c r="E2967" s="237">
        <v>95</v>
      </c>
      <c r="F2967" s="237">
        <f t="shared" si="79"/>
        <v>23465</v>
      </c>
    </row>
    <row r="2968" spans="1:6" ht="15.75" thickBot="1" x14ac:dyDescent="0.3">
      <c r="A2968" s="7"/>
      <c r="B2968" s="8"/>
      <c r="C2968" s="324"/>
      <c r="D2968" s="9"/>
      <c r="E2968" s="237"/>
      <c r="F2968" s="237"/>
    </row>
    <row r="2969" spans="1:6" ht="15.75" thickBot="1" x14ac:dyDescent="0.3">
      <c r="A2969" s="7"/>
      <c r="B2969" s="11" t="s">
        <v>330</v>
      </c>
      <c r="C2969" s="324"/>
      <c r="D2969" s="9"/>
      <c r="E2969" s="237"/>
      <c r="F2969" s="237"/>
    </row>
    <row r="2970" spans="1:6" ht="30.75" thickBot="1" x14ac:dyDescent="0.3">
      <c r="A2970" s="7">
        <v>35</v>
      </c>
      <c r="B2970" s="8" t="s">
        <v>1038</v>
      </c>
      <c r="C2970" s="324">
        <v>1</v>
      </c>
      <c r="D2970" s="9" t="s">
        <v>407</v>
      </c>
      <c r="E2970" s="237">
        <v>26500</v>
      </c>
      <c r="F2970" s="237">
        <f t="shared" si="79"/>
        <v>26500</v>
      </c>
    </row>
    <row r="2971" spans="1:6" ht="30.75" thickBot="1" x14ac:dyDescent="0.3">
      <c r="A2971" s="7">
        <v>36</v>
      </c>
      <c r="B2971" s="8" t="s">
        <v>1031</v>
      </c>
      <c r="C2971" s="324">
        <v>1</v>
      </c>
      <c r="D2971" s="9" t="s">
        <v>407</v>
      </c>
      <c r="E2971" s="237">
        <v>3500</v>
      </c>
      <c r="F2971" s="237">
        <f t="shared" si="79"/>
        <v>3500</v>
      </c>
    </row>
    <row r="2972" spans="1:6" ht="15.75" thickBot="1" x14ac:dyDescent="0.3">
      <c r="A2972" s="7">
        <v>37</v>
      </c>
      <c r="B2972" s="8" t="s">
        <v>1032</v>
      </c>
      <c r="C2972" s="324">
        <v>1</v>
      </c>
      <c r="D2972" s="9" t="s">
        <v>407</v>
      </c>
      <c r="E2972" s="237">
        <v>8500</v>
      </c>
      <c r="F2972" s="237">
        <f t="shared" si="79"/>
        <v>8500</v>
      </c>
    </row>
    <row r="2973" spans="1:6" ht="15.75" thickBot="1" x14ac:dyDescent="0.3">
      <c r="A2973" s="7">
        <v>38</v>
      </c>
      <c r="B2973" s="8" t="s">
        <v>1033</v>
      </c>
      <c r="C2973" s="324">
        <v>80</v>
      </c>
      <c r="D2973" s="9" t="s">
        <v>9</v>
      </c>
      <c r="E2973" s="237">
        <v>80</v>
      </c>
      <c r="F2973" s="237">
        <f t="shared" si="79"/>
        <v>6400</v>
      </c>
    </row>
    <row r="2974" spans="1:6" ht="15.75" thickBot="1" x14ac:dyDescent="0.3">
      <c r="A2974" s="7">
        <v>39</v>
      </c>
      <c r="B2974" s="8" t="s">
        <v>998</v>
      </c>
      <c r="C2974" s="324">
        <v>334</v>
      </c>
      <c r="D2974" s="9" t="s">
        <v>9</v>
      </c>
      <c r="E2974" s="237">
        <v>75</v>
      </c>
      <c r="F2974" s="237">
        <f t="shared" si="79"/>
        <v>25050</v>
      </c>
    </row>
    <row r="2975" spans="1:6" ht="15.75" thickBot="1" x14ac:dyDescent="0.3">
      <c r="A2975" s="7">
        <v>40</v>
      </c>
      <c r="B2975" s="8" t="s">
        <v>1036</v>
      </c>
      <c r="C2975" s="324">
        <v>284</v>
      </c>
      <c r="D2975" s="9" t="s">
        <v>9</v>
      </c>
      <c r="E2975" s="237">
        <v>195</v>
      </c>
      <c r="F2975" s="237">
        <f t="shared" si="79"/>
        <v>55380</v>
      </c>
    </row>
    <row r="2976" spans="1:6" ht="15.75" thickBot="1" x14ac:dyDescent="0.3">
      <c r="A2976" s="7">
        <v>41</v>
      </c>
      <c r="B2976" s="8" t="s">
        <v>1034</v>
      </c>
      <c r="C2976" s="324">
        <v>42.5</v>
      </c>
      <c r="D2976" s="9" t="s">
        <v>9</v>
      </c>
      <c r="E2976" s="237">
        <v>90</v>
      </c>
      <c r="F2976" s="237">
        <f t="shared" si="79"/>
        <v>3825</v>
      </c>
    </row>
    <row r="2977" spans="1:6" ht="15.75" thickBot="1" x14ac:dyDescent="0.3">
      <c r="A2977" s="7">
        <v>42</v>
      </c>
      <c r="B2977" s="8" t="s">
        <v>1035</v>
      </c>
      <c r="C2977" s="324">
        <v>42.5</v>
      </c>
      <c r="D2977" s="9" t="s">
        <v>9</v>
      </c>
      <c r="E2977" s="237">
        <v>75</v>
      </c>
      <c r="F2977" s="237">
        <f t="shared" si="79"/>
        <v>3187.5</v>
      </c>
    </row>
    <row r="2978" spans="1:6" ht="15.75" thickBot="1" x14ac:dyDescent="0.3">
      <c r="A2978" s="7">
        <v>43</v>
      </c>
      <c r="B2978" s="8" t="s">
        <v>1037</v>
      </c>
      <c r="C2978" s="324">
        <v>42.5</v>
      </c>
      <c r="D2978" s="9" t="s">
        <v>9</v>
      </c>
      <c r="E2978" s="237">
        <v>185</v>
      </c>
      <c r="F2978" s="237">
        <f t="shared" si="79"/>
        <v>7862.5</v>
      </c>
    </row>
    <row r="2979" spans="1:6" ht="30.75" thickBot="1" x14ac:dyDescent="0.3">
      <c r="A2979" s="7">
        <v>44</v>
      </c>
      <c r="B2979" s="8" t="s">
        <v>1039</v>
      </c>
      <c r="C2979" s="324">
        <v>1</v>
      </c>
      <c r="D2979" s="9" t="s">
        <v>407</v>
      </c>
      <c r="E2979" s="237">
        <v>8500</v>
      </c>
      <c r="F2979" s="237">
        <f t="shared" si="79"/>
        <v>8500</v>
      </c>
    </row>
    <row r="2980" spans="1:6" ht="15.75" thickBot="1" x14ac:dyDescent="0.3">
      <c r="A2980" s="7"/>
      <c r="B2980" s="8"/>
      <c r="C2980" s="324"/>
      <c r="D2980" s="9"/>
      <c r="E2980" s="237"/>
      <c r="F2980" s="237"/>
    </row>
    <row r="2981" spans="1:6" ht="15.75" thickBot="1" x14ac:dyDescent="0.3">
      <c r="A2981" s="7"/>
      <c r="B2981" s="11" t="s">
        <v>10</v>
      </c>
      <c r="C2981" s="325"/>
      <c r="D2981" s="12"/>
      <c r="E2981" s="238"/>
      <c r="F2981" s="238">
        <f>SUM(F2934:F2967,F2970:F2979)</f>
        <v>729370</v>
      </c>
    </row>
    <row r="2982" spans="1:6" ht="15.75" thickBot="1" x14ac:dyDescent="0.3">
      <c r="A2982" s="7"/>
      <c r="B2982" s="8"/>
      <c r="C2982" s="324"/>
      <c r="D2982" s="9"/>
      <c r="E2982" s="237"/>
      <c r="F2982" s="237"/>
    </row>
    <row r="2983" spans="1:6" ht="15.75" thickBot="1" x14ac:dyDescent="0.3">
      <c r="A2983" s="5" t="s">
        <v>0</v>
      </c>
      <c r="B2983" s="6" t="s">
        <v>1</v>
      </c>
      <c r="C2983" s="332" t="s">
        <v>2</v>
      </c>
      <c r="D2983" s="6" t="s">
        <v>3</v>
      </c>
      <c r="E2983" s="264" t="s">
        <v>4</v>
      </c>
      <c r="F2983" s="264" t="s">
        <v>5</v>
      </c>
    </row>
    <row r="2984" spans="1:6" ht="45" x14ac:dyDescent="0.25">
      <c r="A2984" s="13" t="s">
        <v>1618</v>
      </c>
      <c r="B2984" s="14" t="s">
        <v>1754</v>
      </c>
      <c r="C2984" s="316">
        <v>6</v>
      </c>
      <c r="D2984" s="15" t="s">
        <v>1755</v>
      </c>
      <c r="E2984" s="16">
        <v>15000</v>
      </c>
      <c r="F2984" s="16">
        <f>C2984*E2984</f>
        <v>90000</v>
      </c>
    </row>
    <row r="2985" spans="1:6" ht="60" x14ac:dyDescent="0.25">
      <c r="A2985" s="13" t="s">
        <v>1620</v>
      </c>
      <c r="B2985" s="14" t="s">
        <v>1756</v>
      </c>
      <c r="C2985" s="316">
        <v>78</v>
      </c>
      <c r="D2985" s="15" t="s">
        <v>9</v>
      </c>
      <c r="E2985" s="16">
        <v>650</v>
      </c>
      <c r="F2985" s="16">
        <f>C2985*E2985</f>
        <v>50700</v>
      </c>
    </row>
    <row r="2986" spans="1:6" ht="60" x14ac:dyDescent="0.25">
      <c r="A2986" s="13" t="s">
        <v>1621</v>
      </c>
      <c r="B2986" s="14" t="s">
        <v>1757</v>
      </c>
      <c r="C2986" s="316">
        <v>83</v>
      </c>
      <c r="D2986" s="15" t="s">
        <v>9</v>
      </c>
      <c r="E2986" s="16">
        <v>1650</v>
      </c>
      <c r="F2986" s="16">
        <f>C2986*E2986</f>
        <v>136950</v>
      </c>
    </row>
    <row r="2987" spans="1:6" ht="60" x14ac:dyDescent="0.25">
      <c r="A2987" s="13" t="s">
        <v>1623</v>
      </c>
      <c r="B2987" s="14" t="s">
        <v>1758</v>
      </c>
      <c r="C2987" s="316">
        <v>1</v>
      </c>
      <c r="D2987" s="15" t="s">
        <v>407</v>
      </c>
      <c r="E2987" s="16">
        <v>14500</v>
      </c>
      <c r="F2987" s="16">
        <f>C2987*E2987</f>
        <v>14500</v>
      </c>
    </row>
    <row r="2988" spans="1:6" ht="45" x14ac:dyDescent="0.25">
      <c r="A2988" s="13" t="s">
        <v>1631</v>
      </c>
      <c r="B2988" s="14" t="s">
        <v>1759</v>
      </c>
      <c r="C2988" s="316">
        <v>15</v>
      </c>
      <c r="D2988" s="15" t="s">
        <v>33</v>
      </c>
      <c r="E2988" s="16">
        <v>1750</v>
      </c>
      <c r="F2988" s="16">
        <f>C2988*E2988</f>
        <v>26250</v>
      </c>
    </row>
    <row r="2990" spans="1:6" x14ac:dyDescent="0.25">
      <c r="B2990" s="17" t="s">
        <v>10</v>
      </c>
      <c r="C2990" s="31"/>
      <c r="D2990" s="18"/>
      <c r="E2990" s="239"/>
      <c r="F2990" s="239">
        <f>SUM(F2984:F2988)</f>
        <v>318400</v>
      </c>
    </row>
    <row r="2991" spans="1:6" x14ac:dyDescent="0.25">
      <c r="A2991" s="19"/>
      <c r="B2991" s="20"/>
      <c r="C2991" s="320"/>
      <c r="D2991" s="21"/>
      <c r="E2991" s="243"/>
      <c r="F2991" s="243"/>
    </row>
    <row r="2992" spans="1:6" x14ac:dyDescent="0.25">
      <c r="A2992" s="28" t="s">
        <v>0</v>
      </c>
      <c r="B2992" s="28" t="s">
        <v>1</v>
      </c>
      <c r="C2992" s="329" t="s">
        <v>2</v>
      </c>
      <c r="D2992" s="28" t="s">
        <v>3</v>
      </c>
      <c r="E2992" s="262" t="s">
        <v>4</v>
      </c>
      <c r="F2992" s="262" t="s">
        <v>5</v>
      </c>
    </row>
    <row r="2993" spans="1:6" x14ac:dyDescent="0.25">
      <c r="A2993" s="25">
        <v>1</v>
      </c>
      <c r="B2993" s="24" t="s">
        <v>1040</v>
      </c>
      <c r="C2993" s="326">
        <v>1</v>
      </c>
      <c r="D2993" s="25" t="s">
        <v>407</v>
      </c>
      <c r="E2993" s="259">
        <v>14000</v>
      </c>
      <c r="F2993" s="259">
        <f>C2993*E2993</f>
        <v>14000</v>
      </c>
    </row>
    <row r="2994" spans="1:6" ht="30" x14ac:dyDescent="0.25">
      <c r="A2994" s="25">
        <v>2</v>
      </c>
      <c r="B2994" s="24" t="s">
        <v>1658</v>
      </c>
      <c r="C2994" s="326">
        <v>299</v>
      </c>
      <c r="D2994" s="25" t="s">
        <v>32</v>
      </c>
      <c r="E2994" s="259">
        <v>60</v>
      </c>
      <c r="F2994" s="259">
        <f t="shared" ref="F2994:F3037" si="80">C2994*E2994</f>
        <v>17940</v>
      </c>
    </row>
    <row r="2995" spans="1:6" x14ac:dyDescent="0.25">
      <c r="A2995" s="25">
        <v>3</v>
      </c>
      <c r="B2995" s="24" t="s">
        <v>1674</v>
      </c>
      <c r="C2995" s="326">
        <v>220</v>
      </c>
      <c r="D2995" s="25" t="s">
        <v>32</v>
      </c>
      <c r="E2995" s="259">
        <v>55</v>
      </c>
      <c r="F2995" s="259">
        <f t="shared" si="80"/>
        <v>12100</v>
      </c>
    </row>
    <row r="2996" spans="1:6" ht="30" x14ac:dyDescent="0.25">
      <c r="A2996" s="25">
        <v>4</v>
      </c>
      <c r="B2996" s="24" t="s">
        <v>1044</v>
      </c>
      <c r="C2996" s="326">
        <v>1</v>
      </c>
      <c r="D2996" s="25" t="s">
        <v>772</v>
      </c>
      <c r="E2996" s="259">
        <v>7000</v>
      </c>
      <c r="F2996" s="259">
        <f t="shared" si="80"/>
        <v>7000</v>
      </c>
    </row>
    <row r="2997" spans="1:6" ht="30" x14ac:dyDescent="0.25">
      <c r="A2997" s="25">
        <v>5</v>
      </c>
      <c r="B2997" s="24" t="s">
        <v>1046</v>
      </c>
      <c r="C2997" s="326">
        <v>1</v>
      </c>
      <c r="D2997" s="25" t="s">
        <v>772</v>
      </c>
      <c r="E2997" s="259">
        <v>8000</v>
      </c>
      <c r="F2997" s="259">
        <f t="shared" si="80"/>
        <v>8000</v>
      </c>
    </row>
    <row r="2998" spans="1:6" ht="30" x14ac:dyDescent="0.25">
      <c r="A2998" s="25">
        <v>6</v>
      </c>
      <c r="B2998" s="24" t="s">
        <v>1706</v>
      </c>
      <c r="C2998" s="326">
        <v>1</v>
      </c>
      <c r="D2998" s="25" t="s">
        <v>407</v>
      </c>
      <c r="E2998" s="259">
        <v>3850</v>
      </c>
      <c r="F2998" s="259">
        <f t="shared" si="80"/>
        <v>3850</v>
      </c>
    </row>
    <row r="2999" spans="1:6" ht="30" x14ac:dyDescent="0.25">
      <c r="A2999" s="25">
        <v>7</v>
      </c>
      <c r="B2999" s="24" t="s">
        <v>1707</v>
      </c>
      <c r="C2999" s="326">
        <v>220</v>
      </c>
      <c r="D2999" s="25" t="s">
        <v>32</v>
      </c>
      <c r="E2999" s="259">
        <v>100</v>
      </c>
      <c r="F2999" s="259">
        <f t="shared" si="80"/>
        <v>22000</v>
      </c>
    </row>
    <row r="3000" spans="1:6" x14ac:dyDescent="0.25">
      <c r="A3000" s="25">
        <v>8</v>
      </c>
      <c r="B3000" s="24" t="s">
        <v>1042</v>
      </c>
      <c r="C3000" s="326">
        <v>66</v>
      </c>
      <c r="D3000" s="25" t="s">
        <v>9</v>
      </c>
      <c r="E3000" s="259">
        <v>48</v>
      </c>
      <c r="F3000" s="259">
        <f t="shared" si="80"/>
        <v>3168</v>
      </c>
    </row>
    <row r="3001" spans="1:6" ht="30" x14ac:dyDescent="0.25">
      <c r="A3001" s="25">
        <v>9</v>
      </c>
      <c r="B3001" s="24" t="s">
        <v>1708</v>
      </c>
      <c r="C3001" s="326">
        <v>1</v>
      </c>
      <c r="D3001" s="25" t="s">
        <v>407</v>
      </c>
      <c r="E3001" s="259">
        <v>16000</v>
      </c>
      <c r="F3001" s="259">
        <f t="shared" si="80"/>
        <v>16000</v>
      </c>
    </row>
    <row r="3002" spans="1:6" ht="30" x14ac:dyDescent="0.25">
      <c r="A3002" s="25">
        <v>10</v>
      </c>
      <c r="B3002" s="24" t="s">
        <v>1709</v>
      </c>
      <c r="C3002" s="326">
        <v>1</v>
      </c>
      <c r="D3002" s="25" t="s">
        <v>407</v>
      </c>
      <c r="E3002" s="259">
        <v>10500</v>
      </c>
      <c r="F3002" s="259">
        <f t="shared" si="80"/>
        <v>10500</v>
      </c>
    </row>
    <row r="3003" spans="1:6" ht="60" x14ac:dyDescent="0.25">
      <c r="A3003" s="25">
        <v>11</v>
      </c>
      <c r="B3003" s="24" t="s">
        <v>1710</v>
      </c>
      <c r="C3003" s="326">
        <v>432</v>
      </c>
      <c r="D3003" s="25" t="s">
        <v>9</v>
      </c>
      <c r="E3003" s="259">
        <v>105</v>
      </c>
      <c r="F3003" s="259">
        <f t="shared" si="80"/>
        <v>45360</v>
      </c>
    </row>
    <row r="3004" spans="1:6" x14ac:dyDescent="0.25">
      <c r="A3004" s="25">
        <v>12</v>
      </c>
      <c r="B3004" s="24" t="s">
        <v>1711</v>
      </c>
      <c r="C3004" s="326">
        <v>5</v>
      </c>
      <c r="D3004" s="25" t="s">
        <v>33</v>
      </c>
      <c r="E3004" s="259">
        <v>120</v>
      </c>
      <c r="F3004" s="259">
        <f t="shared" si="80"/>
        <v>600</v>
      </c>
    </row>
    <row r="3005" spans="1:6" x14ac:dyDescent="0.25">
      <c r="A3005" s="25">
        <v>13</v>
      </c>
      <c r="B3005" s="24" t="s">
        <v>1761</v>
      </c>
      <c r="C3005" s="326">
        <v>20</v>
      </c>
      <c r="D3005" s="25" t="s">
        <v>9</v>
      </c>
      <c r="E3005" s="259">
        <v>130</v>
      </c>
      <c r="F3005" s="259">
        <f t="shared" si="80"/>
        <v>2600</v>
      </c>
    </row>
    <row r="3006" spans="1:6" x14ac:dyDescent="0.25">
      <c r="A3006" s="25">
        <v>14</v>
      </c>
      <c r="B3006" s="24" t="s">
        <v>1790</v>
      </c>
      <c r="C3006" s="326">
        <v>8</v>
      </c>
      <c r="D3006" s="25" t="s">
        <v>1763</v>
      </c>
      <c r="E3006" s="259">
        <v>100</v>
      </c>
      <c r="F3006" s="259">
        <f t="shared" si="80"/>
        <v>800</v>
      </c>
    </row>
    <row r="3007" spans="1:6" x14ac:dyDescent="0.25">
      <c r="A3007" s="25">
        <v>15</v>
      </c>
      <c r="B3007" s="24" t="s">
        <v>1712</v>
      </c>
      <c r="C3007" s="326">
        <v>44</v>
      </c>
      <c r="D3007" s="25" t="s">
        <v>33</v>
      </c>
      <c r="E3007" s="259">
        <v>190</v>
      </c>
      <c r="F3007" s="259">
        <f t="shared" si="80"/>
        <v>8360</v>
      </c>
    </row>
    <row r="3008" spans="1:6" x14ac:dyDescent="0.25">
      <c r="A3008" s="25">
        <v>16</v>
      </c>
      <c r="B3008" s="24" t="s">
        <v>1761</v>
      </c>
      <c r="C3008" s="326">
        <v>88</v>
      </c>
      <c r="D3008" s="25" t="s">
        <v>9</v>
      </c>
      <c r="E3008" s="259">
        <v>130</v>
      </c>
      <c r="F3008" s="259">
        <f t="shared" si="80"/>
        <v>11440</v>
      </c>
    </row>
    <row r="3009" spans="1:6" x14ac:dyDescent="0.25">
      <c r="A3009" s="25">
        <v>17</v>
      </c>
      <c r="B3009" s="24" t="s">
        <v>1790</v>
      </c>
      <c r="C3009" s="326">
        <v>24</v>
      </c>
      <c r="D3009" s="25" t="s">
        <v>1763</v>
      </c>
      <c r="E3009" s="259">
        <v>100</v>
      </c>
      <c r="F3009" s="259">
        <f t="shared" si="80"/>
        <v>2400</v>
      </c>
    </row>
    <row r="3010" spans="1:6" ht="45" x14ac:dyDescent="0.25">
      <c r="A3010" s="25">
        <v>18</v>
      </c>
      <c r="B3010" s="24" t="s">
        <v>1713</v>
      </c>
      <c r="C3010" s="326">
        <v>44</v>
      </c>
      <c r="D3010" s="25" t="s">
        <v>33</v>
      </c>
      <c r="E3010" s="259">
        <v>300</v>
      </c>
      <c r="F3010" s="259">
        <f t="shared" si="80"/>
        <v>13200</v>
      </c>
    </row>
    <row r="3011" spans="1:6" x14ac:dyDescent="0.25">
      <c r="A3011" s="25">
        <v>19</v>
      </c>
      <c r="B3011" s="24" t="s">
        <v>1761</v>
      </c>
      <c r="C3011" s="326">
        <v>110</v>
      </c>
      <c r="D3011" s="25" t="s">
        <v>33</v>
      </c>
      <c r="E3011" s="259">
        <v>130</v>
      </c>
      <c r="F3011" s="259">
        <f t="shared" si="80"/>
        <v>14300</v>
      </c>
    </row>
    <row r="3012" spans="1:6" x14ac:dyDescent="0.25">
      <c r="A3012" s="25">
        <v>20</v>
      </c>
      <c r="B3012" s="24" t="s">
        <v>1790</v>
      </c>
      <c r="C3012" s="326">
        <v>24</v>
      </c>
      <c r="D3012" s="25" t="s">
        <v>1763</v>
      </c>
      <c r="E3012" s="259">
        <v>100</v>
      </c>
      <c r="F3012" s="259">
        <f t="shared" si="80"/>
        <v>2400</v>
      </c>
    </row>
    <row r="3013" spans="1:6" ht="30" x14ac:dyDescent="0.25">
      <c r="A3013" s="25">
        <v>21</v>
      </c>
      <c r="B3013" s="24" t="s">
        <v>1714</v>
      </c>
      <c r="C3013" s="326">
        <v>25</v>
      </c>
      <c r="D3013" s="25" t="s">
        <v>9</v>
      </c>
      <c r="E3013" s="259">
        <v>70</v>
      </c>
      <c r="F3013" s="259">
        <f t="shared" si="80"/>
        <v>1750</v>
      </c>
    </row>
    <row r="3014" spans="1:6" x14ac:dyDescent="0.25">
      <c r="A3014" s="25">
        <v>22</v>
      </c>
      <c r="B3014" s="24" t="s">
        <v>1761</v>
      </c>
      <c r="C3014" s="326">
        <v>12</v>
      </c>
      <c r="D3014" s="25" t="s">
        <v>33</v>
      </c>
      <c r="E3014" s="259">
        <v>130</v>
      </c>
      <c r="F3014" s="259">
        <f t="shared" si="80"/>
        <v>1560</v>
      </c>
    </row>
    <row r="3015" spans="1:6" x14ac:dyDescent="0.25">
      <c r="A3015" s="25">
        <v>23</v>
      </c>
      <c r="B3015" s="24" t="s">
        <v>1790</v>
      </c>
      <c r="C3015" s="326">
        <v>21.8</v>
      </c>
      <c r="D3015" s="25" t="s">
        <v>1763</v>
      </c>
      <c r="E3015" s="259">
        <v>100</v>
      </c>
      <c r="F3015" s="259">
        <f t="shared" si="80"/>
        <v>2180</v>
      </c>
    </row>
    <row r="3016" spans="1:6" ht="30" x14ac:dyDescent="0.25">
      <c r="A3016" s="25">
        <v>24</v>
      </c>
      <c r="B3016" s="24" t="s">
        <v>1695</v>
      </c>
      <c r="C3016" s="326">
        <v>234</v>
      </c>
      <c r="D3016" s="25" t="s">
        <v>9</v>
      </c>
      <c r="E3016" s="259">
        <v>100</v>
      </c>
      <c r="F3016" s="259">
        <f t="shared" si="80"/>
        <v>23400</v>
      </c>
    </row>
    <row r="3017" spans="1:6" x14ac:dyDescent="0.25">
      <c r="A3017" s="25">
        <v>25</v>
      </c>
      <c r="B3017" s="24" t="s">
        <v>1279</v>
      </c>
      <c r="C3017" s="326">
        <v>234</v>
      </c>
      <c r="D3017" s="25" t="s">
        <v>9</v>
      </c>
      <c r="E3017" s="259">
        <v>75</v>
      </c>
      <c r="F3017" s="259">
        <f t="shared" si="80"/>
        <v>17550</v>
      </c>
    </row>
    <row r="3018" spans="1:6" x14ac:dyDescent="0.25">
      <c r="A3018" s="25">
        <v>26</v>
      </c>
      <c r="B3018" s="24" t="s">
        <v>1721</v>
      </c>
      <c r="C3018" s="326">
        <v>234</v>
      </c>
      <c r="D3018" s="25" t="s">
        <v>9</v>
      </c>
      <c r="E3018" s="259">
        <v>80</v>
      </c>
      <c r="F3018" s="259">
        <f t="shared" si="80"/>
        <v>18720</v>
      </c>
    </row>
    <row r="3019" spans="1:6" ht="30" x14ac:dyDescent="0.25">
      <c r="A3019" s="25">
        <v>27</v>
      </c>
      <c r="B3019" s="24" t="s">
        <v>1715</v>
      </c>
      <c r="C3019" s="326">
        <v>468</v>
      </c>
      <c r="D3019" s="25" t="s">
        <v>9</v>
      </c>
      <c r="E3019" s="259">
        <v>95</v>
      </c>
      <c r="F3019" s="259">
        <f t="shared" si="80"/>
        <v>44460</v>
      </c>
    </row>
    <row r="3020" spans="1:6" ht="30" x14ac:dyDescent="0.25">
      <c r="A3020" s="25">
        <v>28</v>
      </c>
      <c r="B3020" s="24" t="s">
        <v>1716</v>
      </c>
      <c r="C3020" s="326">
        <v>476</v>
      </c>
      <c r="D3020" s="25" t="s">
        <v>9</v>
      </c>
      <c r="E3020" s="259">
        <v>75</v>
      </c>
      <c r="F3020" s="259">
        <f t="shared" si="80"/>
        <v>35700</v>
      </c>
    </row>
    <row r="3021" spans="1:6" ht="30" x14ac:dyDescent="0.25">
      <c r="A3021" s="25">
        <v>29</v>
      </c>
      <c r="B3021" s="24" t="s">
        <v>1004</v>
      </c>
      <c r="C3021" s="326">
        <v>468</v>
      </c>
      <c r="D3021" s="25" t="s">
        <v>9</v>
      </c>
      <c r="E3021" s="259">
        <v>28</v>
      </c>
      <c r="F3021" s="259">
        <f t="shared" si="80"/>
        <v>13104</v>
      </c>
    </row>
    <row r="3022" spans="1:6" ht="30" x14ac:dyDescent="0.25">
      <c r="A3022" s="25">
        <v>30</v>
      </c>
      <c r="B3022" s="24" t="s">
        <v>1687</v>
      </c>
      <c r="C3022" s="326">
        <v>468</v>
      </c>
      <c r="D3022" s="25" t="s">
        <v>9</v>
      </c>
      <c r="E3022" s="259">
        <v>35</v>
      </c>
      <c r="F3022" s="259">
        <f t="shared" si="80"/>
        <v>16380</v>
      </c>
    </row>
    <row r="3023" spans="1:6" ht="45" x14ac:dyDescent="0.25">
      <c r="A3023" s="25">
        <v>31</v>
      </c>
      <c r="B3023" s="24" t="s">
        <v>1686</v>
      </c>
      <c r="C3023" s="326">
        <v>476</v>
      </c>
      <c r="D3023" s="25" t="s">
        <v>9</v>
      </c>
      <c r="E3023" s="259">
        <v>35</v>
      </c>
      <c r="F3023" s="259">
        <f t="shared" si="80"/>
        <v>16660</v>
      </c>
    </row>
    <row r="3024" spans="1:6" ht="30" x14ac:dyDescent="0.25">
      <c r="A3024" s="25">
        <v>32</v>
      </c>
      <c r="B3024" s="24" t="s">
        <v>1717</v>
      </c>
      <c r="C3024" s="326">
        <v>408</v>
      </c>
      <c r="D3024" s="25" t="s">
        <v>9</v>
      </c>
      <c r="E3024" s="259">
        <v>40</v>
      </c>
      <c r="F3024" s="259">
        <f t="shared" si="80"/>
        <v>16320</v>
      </c>
    </row>
    <row r="3025" spans="1:6" x14ac:dyDescent="0.25">
      <c r="A3025" s="25">
        <v>33</v>
      </c>
      <c r="B3025" s="105" t="s">
        <v>1764</v>
      </c>
      <c r="C3025" s="326"/>
      <c r="D3025" s="25" t="s">
        <v>9</v>
      </c>
      <c r="E3025" s="259"/>
      <c r="F3025" s="259"/>
    </row>
    <row r="3026" spans="1:6" x14ac:dyDescent="0.25">
      <c r="A3026" s="25">
        <v>34</v>
      </c>
      <c r="B3026" s="24" t="s">
        <v>1765</v>
      </c>
      <c r="C3026" s="326"/>
      <c r="D3026" s="25" t="s">
        <v>9</v>
      </c>
      <c r="E3026" s="259"/>
      <c r="F3026" s="259"/>
    </row>
    <row r="3027" spans="1:6" x14ac:dyDescent="0.25">
      <c r="A3027" s="25">
        <v>35</v>
      </c>
      <c r="B3027" s="24" t="s">
        <v>1766</v>
      </c>
      <c r="C3027" s="326"/>
      <c r="D3027" s="25" t="s">
        <v>9</v>
      </c>
      <c r="E3027" s="259"/>
      <c r="F3027" s="259"/>
    </row>
    <row r="3028" spans="1:6" ht="30" x14ac:dyDescent="0.25">
      <c r="A3028" s="25">
        <v>36</v>
      </c>
      <c r="B3028" s="24" t="s">
        <v>1718</v>
      </c>
      <c r="C3028" s="326">
        <v>408</v>
      </c>
      <c r="D3028" s="25" t="s">
        <v>9</v>
      </c>
      <c r="E3028" s="259">
        <v>190</v>
      </c>
      <c r="F3028" s="259">
        <f t="shared" si="80"/>
        <v>77520</v>
      </c>
    </row>
    <row r="3029" spans="1:6" x14ac:dyDescent="0.25">
      <c r="A3029" s="25">
        <v>37</v>
      </c>
      <c r="B3029" s="24" t="s">
        <v>1685</v>
      </c>
      <c r="C3029" s="326">
        <v>408</v>
      </c>
      <c r="D3029" s="25" t="s">
        <v>9</v>
      </c>
      <c r="E3029" s="259">
        <v>42</v>
      </c>
      <c r="F3029" s="259">
        <f t="shared" si="80"/>
        <v>17136</v>
      </c>
    </row>
    <row r="3030" spans="1:6" x14ac:dyDescent="0.25">
      <c r="A3030" s="25">
        <v>38</v>
      </c>
      <c r="B3030" s="24" t="s">
        <v>1698</v>
      </c>
      <c r="C3030" s="326">
        <v>60</v>
      </c>
      <c r="D3030" s="25" t="s">
        <v>33</v>
      </c>
      <c r="E3030" s="259">
        <v>180</v>
      </c>
      <c r="F3030" s="259">
        <f t="shared" si="80"/>
        <v>10800</v>
      </c>
    </row>
    <row r="3031" spans="1:6" x14ac:dyDescent="0.25">
      <c r="A3031" s="25">
        <v>39</v>
      </c>
      <c r="B3031" s="24" t="s">
        <v>1684</v>
      </c>
      <c r="C3031" s="326">
        <v>60</v>
      </c>
      <c r="D3031" s="25" t="s">
        <v>33</v>
      </c>
      <c r="E3031" s="259">
        <v>40</v>
      </c>
      <c r="F3031" s="259">
        <f t="shared" si="80"/>
        <v>2400</v>
      </c>
    </row>
    <row r="3032" spans="1:6" ht="30" x14ac:dyDescent="0.25">
      <c r="A3032" s="25">
        <v>40</v>
      </c>
      <c r="B3032" s="24" t="s">
        <v>1719</v>
      </c>
      <c r="C3032" s="326">
        <v>1</v>
      </c>
      <c r="D3032" s="25" t="s">
        <v>11</v>
      </c>
      <c r="E3032" s="259">
        <v>6500</v>
      </c>
      <c r="F3032" s="259">
        <f t="shared" si="80"/>
        <v>6500</v>
      </c>
    </row>
    <row r="3033" spans="1:6" x14ac:dyDescent="0.25">
      <c r="A3033" s="25">
        <v>41</v>
      </c>
      <c r="B3033" s="24" t="s">
        <v>1681</v>
      </c>
      <c r="C3033" s="326">
        <v>234</v>
      </c>
      <c r="D3033" s="25" t="s">
        <v>9</v>
      </c>
      <c r="E3033" s="259">
        <v>35</v>
      </c>
      <c r="F3033" s="259">
        <f t="shared" si="80"/>
        <v>8190</v>
      </c>
    </row>
    <row r="3034" spans="1:6" ht="30" x14ac:dyDescent="0.25">
      <c r="A3034" s="25">
        <v>42</v>
      </c>
      <c r="B3034" s="24" t="s">
        <v>1680</v>
      </c>
      <c r="C3034" s="326">
        <v>18</v>
      </c>
      <c r="D3034" s="25" t="s">
        <v>33</v>
      </c>
      <c r="E3034" s="259">
        <v>130</v>
      </c>
      <c r="F3034" s="259">
        <f t="shared" si="80"/>
        <v>2340</v>
      </c>
    </row>
    <row r="3035" spans="1:6" ht="30" x14ac:dyDescent="0.25">
      <c r="A3035" s="25">
        <v>43</v>
      </c>
      <c r="B3035" s="24" t="s">
        <v>1720</v>
      </c>
      <c r="C3035" s="326">
        <v>104</v>
      </c>
      <c r="D3035" s="25" t="s">
        <v>9</v>
      </c>
      <c r="E3035" s="259">
        <v>100</v>
      </c>
      <c r="F3035" s="259">
        <f t="shared" si="80"/>
        <v>10400</v>
      </c>
    </row>
    <row r="3036" spans="1:6" x14ac:dyDescent="0.25">
      <c r="A3036" s="25">
        <v>44</v>
      </c>
      <c r="B3036" s="24" t="s">
        <v>1676</v>
      </c>
      <c r="C3036" s="326">
        <v>143</v>
      </c>
      <c r="D3036" s="25" t="s">
        <v>9</v>
      </c>
      <c r="E3036" s="259">
        <v>100</v>
      </c>
      <c r="F3036" s="259">
        <f t="shared" si="80"/>
        <v>14300</v>
      </c>
    </row>
    <row r="3037" spans="1:6" x14ac:dyDescent="0.25">
      <c r="A3037" s="25">
        <v>45</v>
      </c>
      <c r="B3037" s="24" t="s">
        <v>1677</v>
      </c>
      <c r="C3037" s="326">
        <v>247</v>
      </c>
      <c r="D3037" s="25" t="s">
        <v>9</v>
      </c>
      <c r="E3037" s="259">
        <v>95</v>
      </c>
      <c r="F3037" s="259">
        <f t="shared" si="80"/>
        <v>23465</v>
      </c>
    </row>
    <row r="3038" spans="1:6" x14ac:dyDescent="0.25">
      <c r="A3038" s="25"/>
      <c r="B3038" s="24"/>
      <c r="C3038" s="326"/>
      <c r="D3038" s="25"/>
      <c r="E3038" s="259"/>
      <c r="F3038" s="259"/>
    </row>
    <row r="3039" spans="1:6" x14ac:dyDescent="0.25">
      <c r="A3039" s="25"/>
      <c r="B3039" s="71" t="s">
        <v>330</v>
      </c>
      <c r="C3039" s="326"/>
      <c r="D3039" s="25"/>
      <c r="E3039" s="259"/>
      <c r="F3039" s="259"/>
    </row>
    <row r="3040" spans="1:6" ht="30" x14ac:dyDescent="0.25">
      <c r="A3040" s="25">
        <v>46</v>
      </c>
      <c r="B3040" s="24" t="s">
        <v>1038</v>
      </c>
      <c r="C3040" s="326">
        <v>1</v>
      </c>
      <c r="D3040" s="25" t="s">
        <v>407</v>
      </c>
      <c r="E3040" s="259">
        <v>26500</v>
      </c>
      <c r="F3040" s="259">
        <f>C3040*E3040</f>
        <v>26500</v>
      </c>
    </row>
    <row r="3041" spans="1:6" ht="30" x14ac:dyDescent="0.25">
      <c r="A3041" s="25">
        <v>47</v>
      </c>
      <c r="B3041" s="24" t="s">
        <v>1031</v>
      </c>
      <c r="C3041" s="326">
        <v>1</v>
      </c>
      <c r="D3041" s="25" t="s">
        <v>407</v>
      </c>
      <c r="E3041" s="259">
        <v>3500</v>
      </c>
      <c r="F3041" s="259">
        <f t="shared" ref="F3041:F3049" si="81">C3041*E3041</f>
        <v>3500</v>
      </c>
    </row>
    <row r="3042" spans="1:6" x14ac:dyDescent="0.25">
      <c r="A3042" s="25">
        <v>48</v>
      </c>
      <c r="B3042" s="24" t="s">
        <v>1032</v>
      </c>
      <c r="C3042" s="326">
        <v>1</v>
      </c>
      <c r="D3042" s="25" t="s">
        <v>407</v>
      </c>
      <c r="E3042" s="259">
        <v>8500</v>
      </c>
      <c r="F3042" s="259">
        <f t="shared" si="81"/>
        <v>8500</v>
      </c>
    </row>
    <row r="3043" spans="1:6" x14ac:dyDescent="0.25">
      <c r="A3043" s="25">
        <v>49</v>
      </c>
      <c r="B3043" s="24" t="s">
        <v>1033</v>
      </c>
      <c r="C3043" s="326">
        <v>80</v>
      </c>
      <c r="D3043" s="25" t="s">
        <v>9</v>
      </c>
      <c r="E3043" s="259">
        <v>115</v>
      </c>
      <c r="F3043" s="259">
        <f t="shared" si="81"/>
        <v>9200</v>
      </c>
    </row>
    <row r="3044" spans="1:6" x14ac:dyDescent="0.25">
      <c r="A3044" s="25">
        <v>50</v>
      </c>
      <c r="B3044" s="24" t="s">
        <v>998</v>
      </c>
      <c r="C3044" s="326">
        <v>334</v>
      </c>
      <c r="D3044" s="25" t="s">
        <v>9</v>
      </c>
      <c r="E3044" s="259">
        <v>95</v>
      </c>
      <c r="F3044" s="259">
        <f>C3044*E3044</f>
        <v>31730</v>
      </c>
    </row>
    <row r="3045" spans="1:6" x14ac:dyDescent="0.25">
      <c r="A3045" s="25">
        <v>51</v>
      </c>
      <c r="B3045" s="24" t="s">
        <v>1036</v>
      </c>
      <c r="C3045" s="326">
        <v>284</v>
      </c>
      <c r="D3045" s="25" t="s">
        <v>9</v>
      </c>
      <c r="E3045" s="259">
        <v>130</v>
      </c>
      <c r="F3045" s="259">
        <f t="shared" si="81"/>
        <v>36920</v>
      </c>
    </row>
    <row r="3046" spans="1:6" x14ac:dyDescent="0.25">
      <c r="A3046" s="25">
        <v>52</v>
      </c>
      <c r="B3046" s="24" t="s">
        <v>1034</v>
      </c>
      <c r="C3046" s="326">
        <v>42.5</v>
      </c>
      <c r="D3046" s="25" t="s">
        <v>9</v>
      </c>
      <c r="E3046" s="259">
        <v>100</v>
      </c>
      <c r="F3046" s="259">
        <f t="shared" si="81"/>
        <v>4250</v>
      </c>
    </row>
    <row r="3047" spans="1:6" x14ac:dyDescent="0.25">
      <c r="A3047" s="25">
        <v>53</v>
      </c>
      <c r="B3047" s="24" t="s">
        <v>1035</v>
      </c>
      <c r="C3047" s="326">
        <v>42.5</v>
      </c>
      <c r="D3047" s="25" t="s">
        <v>9</v>
      </c>
      <c r="E3047" s="259">
        <v>75</v>
      </c>
      <c r="F3047" s="259">
        <f t="shared" si="81"/>
        <v>3187.5</v>
      </c>
    </row>
    <row r="3048" spans="1:6" x14ac:dyDescent="0.25">
      <c r="A3048" s="25">
        <v>54</v>
      </c>
      <c r="B3048" s="24" t="s">
        <v>1037</v>
      </c>
      <c r="C3048" s="326">
        <v>42.5</v>
      </c>
      <c r="D3048" s="25" t="s">
        <v>9</v>
      </c>
      <c r="E3048" s="259">
        <v>130</v>
      </c>
      <c r="F3048" s="259">
        <f t="shared" si="81"/>
        <v>5525</v>
      </c>
    </row>
    <row r="3049" spans="1:6" ht="30" x14ac:dyDescent="0.25">
      <c r="A3049" s="25">
        <v>55</v>
      </c>
      <c r="B3049" s="24" t="s">
        <v>1760</v>
      </c>
      <c r="C3049" s="326">
        <v>1</v>
      </c>
      <c r="D3049" s="25" t="s">
        <v>407</v>
      </c>
      <c r="E3049" s="259">
        <v>8500</v>
      </c>
      <c r="F3049" s="259">
        <f t="shared" si="81"/>
        <v>8500</v>
      </c>
    </row>
    <row r="3050" spans="1:6" x14ac:dyDescent="0.25">
      <c r="A3050" s="25"/>
      <c r="B3050" s="24"/>
      <c r="C3050" s="326"/>
      <c r="D3050" s="25"/>
      <c r="E3050" s="259"/>
      <c r="F3050" s="259"/>
    </row>
    <row r="3051" spans="1:6" x14ac:dyDescent="0.25">
      <c r="A3051" s="25"/>
      <c r="B3051" s="71" t="s">
        <v>10</v>
      </c>
      <c r="C3051" s="329"/>
      <c r="D3051" s="28"/>
      <c r="E3051" s="262"/>
      <c r="F3051" s="262">
        <f>SUM(F2993:F3049)</f>
        <v>734665.5</v>
      </c>
    </row>
    <row r="3052" spans="1:6" x14ac:dyDescent="0.25">
      <c r="A3052" s="104"/>
      <c r="B3052" s="100"/>
      <c r="C3052" s="335"/>
      <c r="D3052" s="104"/>
      <c r="E3052" s="271"/>
      <c r="F3052" s="271"/>
    </row>
    <row r="3053" spans="1:6" x14ac:dyDescent="0.25">
      <c r="A3053" s="28" t="s">
        <v>0</v>
      </c>
      <c r="B3053" s="28" t="s">
        <v>1</v>
      </c>
      <c r="C3053" s="329" t="s">
        <v>2</v>
      </c>
      <c r="D3053" s="28" t="s">
        <v>3</v>
      </c>
      <c r="E3053" s="262" t="s">
        <v>4</v>
      </c>
      <c r="F3053" s="262" t="s">
        <v>5</v>
      </c>
    </row>
    <row r="3054" spans="1:6" x14ac:dyDescent="0.25">
      <c r="A3054" s="13" t="s">
        <v>1618</v>
      </c>
      <c r="B3054" s="24" t="s">
        <v>1040</v>
      </c>
      <c r="C3054" s="326">
        <v>1</v>
      </c>
      <c r="D3054" s="25" t="s">
        <v>407</v>
      </c>
      <c r="E3054" s="259">
        <v>14000</v>
      </c>
      <c r="F3054" s="16">
        <f t="shared" ref="F3054:F3070" si="82">C3054*E3054</f>
        <v>14000</v>
      </c>
    </row>
    <row r="3055" spans="1:6" ht="30" x14ac:dyDescent="0.25">
      <c r="A3055" s="13" t="s">
        <v>1620</v>
      </c>
      <c r="B3055" s="24" t="s">
        <v>1658</v>
      </c>
      <c r="C3055" s="326">
        <v>216</v>
      </c>
      <c r="D3055" s="25" t="s">
        <v>32</v>
      </c>
      <c r="E3055" s="259">
        <v>120</v>
      </c>
      <c r="F3055" s="16">
        <f t="shared" si="82"/>
        <v>25920</v>
      </c>
    </row>
    <row r="3056" spans="1:6" x14ac:dyDescent="0.25">
      <c r="A3056" s="13" t="s">
        <v>1621</v>
      </c>
      <c r="B3056" s="24" t="s">
        <v>1674</v>
      </c>
      <c r="C3056" s="326">
        <v>450</v>
      </c>
      <c r="D3056" s="25" t="s">
        <v>32</v>
      </c>
      <c r="E3056" s="259">
        <v>90</v>
      </c>
      <c r="F3056" s="16">
        <f t="shared" si="82"/>
        <v>40500</v>
      </c>
    </row>
    <row r="3057" spans="1:6" ht="45" x14ac:dyDescent="0.25">
      <c r="A3057" s="13" t="s">
        <v>1623</v>
      </c>
      <c r="B3057" s="27" t="s">
        <v>1768</v>
      </c>
      <c r="C3057" s="326">
        <v>130</v>
      </c>
      <c r="D3057" s="25" t="s">
        <v>33</v>
      </c>
      <c r="E3057" s="259">
        <v>1950</v>
      </c>
      <c r="F3057" s="16">
        <f t="shared" si="82"/>
        <v>253500</v>
      </c>
    </row>
    <row r="3058" spans="1:6" ht="45" x14ac:dyDescent="0.25">
      <c r="A3058" s="13" t="s">
        <v>1631</v>
      </c>
      <c r="B3058" s="27" t="s">
        <v>1771</v>
      </c>
      <c r="C3058" s="326">
        <v>320</v>
      </c>
      <c r="D3058" s="25" t="s">
        <v>33</v>
      </c>
      <c r="E3058" s="259">
        <v>1950</v>
      </c>
      <c r="F3058" s="16">
        <f t="shared" si="82"/>
        <v>624000</v>
      </c>
    </row>
    <row r="3059" spans="1:6" ht="60" x14ac:dyDescent="0.25">
      <c r="A3059" s="13" t="s">
        <v>1632</v>
      </c>
      <c r="B3059" s="27" t="s">
        <v>1767</v>
      </c>
      <c r="C3059" s="326">
        <v>871</v>
      </c>
      <c r="D3059" s="25" t="s">
        <v>9</v>
      </c>
      <c r="E3059" s="259">
        <v>1800</v>
      </c>
      <c r="F3059" s="16">
        <f t="shared" si="82"/>
        <v>1567800</v>
      </c>
    </row>
    <row r="3060" spans="1:6" ht="30" x14ac:dyDescent="0.25">
      <c r="A3060" s="13" t="s">
        <v>1633</v>
      </c>
      <c r="B3060" s="24" t="s">
        <v>688</v>
      </c>
      <c r="C3060" s="326">
        <v>871</v>
      </c>
      <c r="D3060" s="25" t="s">
        <v>9</v>
      </c>
      <c r="E3060" s="259">
        <v>180</v>
      </c>
      <c r="F3060" s="16">
        <f t="shared" si="82"/>
        <v>156780</v>
      </c>
    </row>
    <row r="3061" spans="1:6" ht="45" x14ac:dyDescent="0.25">
      <c r="A3061" s="13" t="s">
        <v>1634</v>
      </c>
      <c r="B3061" s="14" t="s">
        <v>692</v>
      </c>
      <c r="C3061" s="316">
        <v>871</v>
      </c>
      <c r="D3061" s="15" t="s">
        <v>9</v>
      </c>
      <c r="E3061" s="16">
        <v>460</v>
      </c>
      <c r="F3061" s="16">
        <f t="shared" si="82"/>
        <v>400660</v>
      </c>
    </row>
    <row r="3062" spans="1:6" ht="45" x14ac:dyDescent="0.25">
      <c r="A3062" s="13" t="s">
        <v>1635</v>
      </c>
      <c r="B3062" s="14" t="s">
        <v>1651</v>
      </c>
      <c r="C3062" s="316">
        <v>1811</v>
      </c>
      <c r="D3062" s="15" t="s">
        <v>9</v>
      </c>
      <c r="E3062" s="16">
        <v>440</v>
      </c>
      <c r="F3062" s="16">
        <f t="shared" si="82"/>
        <v>796840</v>
      </c>
    </row>
    <row r="3063" spans="1:6" ht="60" x14ac:dyDescent="0.25">
      <c r="A3063" s="13" t="s">
        <v>1385</v>
      </c>
      <c r="B3063" s="29" t="s">
        <v>77</v>
      </c>
      <c r="C3063" s="316">
        <v>1811</v>
      </c>
      <c r="D3063" s="15" t="s">
        <v>9</v>
      </c>
      <c r="E3063" s="16">
        <v>280</v>
      </c>
      <c r="F3063" s="16">
        <f t="shared" si="82"/>
        <v>507080</v>
      </c>
    </row>
    <row r="3064" spans="1:6" ht="45" x14ac:dyDescent="0.25">
      <c r="A3064" s="13" t="s">
        <v>1398</v>
      </c>
      <c r="B3064" s="29" t="s">
        <v>78</v>
      </c>
      <c r="C3064" s="316">
        <v>1811</v>
      </c>
      <c r="D3064" s="15" t="s">
        <v>9</v>
      </c>
      <c r="E3064" s="16">
        <v>250</v>
      </c>
      <c r="F3064" s="16">
        <f t="shared" si="82"/>
        <v>452750</v>
      </c>
    </row>
    <row r="3065" spans="1:6" ht="45" x14ac:dyDescent="0.25">
      <c r="A3065" s="13" t="s">
        <v>1637</v>
      </c>
      <c r="B3065" s="14" t="s">
        <v>1772</v>
      </c>
      <c r="C3065" s="316">
        <v>871</v>
      </c>
      <c r="D3065" s="15" t="s">
        <v>9</v>
      </c>
      <c r="E3065" s="16">
        <v>200</v>
      </c>
      <c r="F3065" s="16">
        <f t="shared" si="82"/>
        <v>174200</v>
      </c>
    </row>
    <row r="3066" spans="1:6" ht="45" x14ac:dyDescent="0.25">
      <c r="A3066" s="13" t="s">
        <v>1660</v>
      </c>
      <c r="B3066" s="14" t="s">
        <v>1773</v>
      </c>
      <c r="C3066" s="316">
        <v>1811</v>
      </c>
      <c r="D3066" s="15" t="s">
        <v>9</v>
      </c>
      <c r="E3066" s="16">
        <v>200</v>
      </c>
      <c r="F3066" s="16">
        <f t="shared" si="82"/>
        <v>362200</v>
      </c>
    </row>
    <row r="3067" spans="1:6" ht="45" x14ac:dyDescent="0.25">
      <c r="A3067" s="13" t="s">
        <v>1661</v>
      </c>
      <c r="B3067" s="14" t="s">
        <v>1769</v>
      </c>
      <c r="C3067" s="316">
        <v>2682</v>
      </c>
      <c r="D3067" s="15" t="s">
        <v>9</v>
      </c>
      <c r="E3067" s="16">
        <v>190</v>
      </c>
      <c r="F3067" s="16">
        <f t="shared" si="82"/>
        <v>509580</v>
      </c>
    </row>
    <row r="3068" spans="1:6" ht="45" x14ac:dyDescent="0.25">
      <c r="A3068" s="13" t="s">
        <v>1662</v>
      </c>
      <c r="B3068" s="14" t="s">
        <v>1770</v>
      </c>
      <c r="C3068" s="316">
        <v>1811</v>
      </c>
      <c r="D3068" s="15" t="s">
        <v>9</v>
      </c>
      <c r="E3068" s="16">
        <v>240</v>
      </c>
      <c r="F3068" s="16">
        <f t="shared" si="82"/>
        <v>434640</v>
      </c>
    </row>
    <row r="3069" spans="1:6" ht="45" x14ac:dyDescent="0.25">
      <c r="A3069" s="13" t="s">
        <v>1663</v>
      </c>
      <c r="B3069" s="14" t="s">
        <v>955</v>
      </c>
      <c r="C3069" s="316">
        <v>182</v>
      </c>
      <c r="D3069" s="15" t="s">
        <v>9</v>
      </c>
      <c r="E3069" s="16">
        <v>580</v>
      </c>
      <c r="F3069" s="16">
        <f t="shared" si="82"/>
        <v>105560</v>
      </c>
    </row>
    <row r="3070" spans="1:6" ht="75" x14ac:dyDescent="0.25">
      <c r="A3070" s="13" t="s">
        <v>1664</v>
      </c>
      <c r="B3070" s="14" t="s">
        <v>1776</v>
      </c>
      <c r="C3070" s="316">
        <v>1</v>
      </c>
      <c r="D3070" s="15" t="s">
        <v>407</v>
      </c>
      <c r="E3070" s="16">
        <v>165000</v>
      </c>
      <c r="F3070" s="16">
        <f t="shared" si="82"/>
        <v>165000</v>
      </c>
    </row>
    <row r="3072" spans="1:6" x14ac:dyDescent="0.25">
      <c r="A3072" s="26"/>
      <c r="B3072" s="17" t="s">
        <v>10</v>
      </c>
      <c r="C3072" s="31"/>
      <c r="D3072" s="18"/>
      <c r="E3072" s="239"/>
      <c r="F3072" s="272">
        <f>SUM(F3054:F3070)</f>
        <v>6591010</v>
      </c>
    </row>
    <row r="3073" spans="1:6" x14ac:dyDescent="0.25">
      <c r="B3073" s="24"/>
      <c r="C3073" s="326"/>
      <c r="D3073" s="24"/>
      <c r="E3073" s="273"/>
    </row>
    <row r="3074" spans="1:6" x14ac:dyDescent="0.25">
      <c r="B3074" s="10"/>
      <c r="C3074" s="336"/>
      <c r="D3074" s="22"/>
      <c r="E3074" s="258"/>
      <c r="F3074" s="16">
        <f>C3076*E3076</f>
        <v>0</v>
      </c>
    </row>
    <row r="3075" spans="1:6" ht="15.75" thickBot="1" x14ac:dyDescent="0.3">
      <c r="B3075" s="8"/>
      <c r="C3075" s="337"/>
      <c r="D3075" s="23"/>
      <c r="E3075" s="274"/>
      <c r="F3075" s="16">
        <f>C3069*E3069</f>
        <v>105560</v>
      </c>
    </row>
    <row r="3076" spans="1:6" x14ac:dyDescent="0.25">
      <c r="F3076" s="16">
        <f>C3070*E3070</f>
        <v>165000</v>
      </c>
    </row>
    <row r="3077" spans="1:6" x14ac:dyDescent="0.25">
      <c r="F3077" s="16">
        <f t="shared" ref="F3077:F3140" si="83">C3077*E3077</f>
        <v>0</v>
      </c>
    </row>
    <row r="3078" spans="1:6" x14ac:dyDescent="0.25">
      <c r="F3078" s="16">
        <f t="shared" si="83"/>
        <v>0</v>
      </c>
    </row>
    <row r="3079" spans="1:6" x14ac:dyDescent="0.25">
      <c r="B3079" s="14" t="s">
        <v>1774</v>
      </c>
      <c r="F3079" s="16">
        <f t="shared" si="83"/>
        <v>0</v>
      </c>
    </row>
    <row r="3080" spans="1:6" x14ac:dyDescent="0.25">
      <c r="B3080" s="14" t="s">
        <v>1775</v>
      </c>
      <c r="F3080" s="16">
        <f t="shared" si="83"/>
        <v>0</v>
      </c>
    </row>
    <row r="3081" spans="1:6" x14ac:dyDescent="0.25">
      <c r="F3081" s="16">
        <f t="shared" si="83"/>
        <v>0</v>
      </c>
    </row>
    <row r="3082" spans="1:6" x14ac:dyDescent="0.25">
      <c r="A3082" s="28" t="s">
        <v>0</v>
      </c>
      <c r="B3082" s="28" t="s">
        <v>1</v>
      </c>
      <c r="C3082" s="329" t="s">
        <v>2</v>
      </c>
      <c r="D3082" s="28" t="s">
        <v>3</v>
      </c>
      <c r="E3082" s="262" t="s">
        <v>4</v>
      </c>
      <c r="F3082" s="262" t="s">
        <v>5</v>
      </c>
    </row>
    <row r="3083" spans="1:6" ht="45" x14ac:dyDescent="0.25">
      <c r="A3083" s="13" t="s">
        <v>1618</v>
      </c>
      <c r="B3083" s="14" t="s">
        <v>16</v>
      </c>
      <c r="C3083" s="316">
        <v>270</v>
      </c>
      <c r="D3083" s="15" t="s">
        <v>32</v>
      </c>
      <c r="E3083" s="16">
        <v>120</v>
      </c>
      <c r="F3083" s="16">
        <f>C3083*E3083</f>
        <v>32400</v>
      </c>
    </row>
    <row r="3084" spans="1:6" ht="60" x14ac:dyDescent="0.25">
      <c r="A3084" s="13" t="s">
        <v>1620</v>
      </c>
      <c r="B3084" s="14" t="s">
        <v>34</v>
      </c>
      <c r="C3084" s="316">
        <v>10</v>
      </c>
      <c r="D3084" s="15" t="s">
        <v>85</v>
      </c>
      <c r="E3084" s="16">
        <v>18000</v>
      </c>
      <c r="F3084" s="16">
        <f t="shared" ref="F3084:F3107" si="84">C3084*E3084</f>
        <v>180000</v>
      </c>
    </row>
    <row r="3085" spans="1:6" ht="60" x14ac:dyDescent="0.25">
      <c r="A3085" s="13" t="s">
        <v>1621</v>
      </c>
      <c r="B3085" s="14" t="s">
        <v>1780</v>
      </c>
      <c r="C3085" s="316">
        <v>40</v>
      </c>
      <c r="D3085" s="15" t="s">
        <v>33</v>
      </c>
      <c r="E3085" s="16">
        <v>1650</v>
      </c>
      <c r="F3085" s="16">
        <f t="shared" si="84"/>
        <v>66000</v>
      </c>
    </row>
    <row r="3086" spans="1:6" ht="45" x14ac:dyDescent="0.25">
      <c r="A3086" s="13" t="s">
        <v>1623</v>
      </c>
      <c r="B3086" s="14" t="s">
        <v>1725</v>
      </c>
      <c r="C3086" s="316">
        <v>260</v>
      </c>
      <c r="D3086" s="15" t="s">
        <v>33</v>
      </c>
      <c r="E3086" s="16">
        <v>1750</v>
      </c>
      <c r="F3086" s="16">
        <f t="shared" si="84"/>
        <v>455000</v>
      </c>
    </row>
    <row r="3087" spans="1:6" x14ac:dyDescent="0.25">
      <c r="B3087" s="16"/>
    </row>
    <row r="3088" spans="1:6" x14ac:dyDescent="0.25">
      <c r="B3088" s="17" t="s">
        <v>10</v>
      </c>
      <c r="C3088" s="31"/>
      <c r="D3088" s="18"/>
      <c r="E3088" s="239"/>
      <c r="F3088" s="239">
        <f>SUM(F3083:F3086)</f>
        <v>733400</v>
      </c>
    </row>
    <row r="3089" spans="1:6" x14ac:dyDescent="0.25">
      <c r="B3089" s="17"/>
      <c r="C3089" s="31"/>
      <c r="D3089" s="18"/>
      <c r="E3089" s="239"/>
      <c r="F3089" s="239"/>
    </row>
    <row r="3090" spans="1:6" x14ac:dyDescent="0.25">
      <c r="B3090" s="14" t="s">
        <v>1777</v>
      </c>
      <c r="F3090" s="16">
        <f t="shared" si="84"/>
        <v>0</v>
      </c>
    </row>
    <row r="3091" spans="1:6" x14ac:dyDescent="0.25">
      <c r="F3091" s="16">
        <f t="shared" si="84"/>
        <v>0</v>
      </c>
    </row>
    <row r="3092" spans="1:6" x14ac:dyDescent="0.25">
      <c r="F3092" s="16">
        <f t="shared" si="84"/>
        <v>0</v>
      </c>
    </row>
    <row r="3093" spans="1:6" x14ac:dyDescent="0.25">
      <c r="F3093" s="16">
        <f t="shared" si="84"/>
        <v>0</v>
      </c>
    </row>
    <row r="3094" spans="1:6" ht="90" x14ac:dyDescent="0.25">
      <c r="B3094" s="14" t="s">
        <v>1778</v>
      </c>
      <c r="F3094" s="16">
        <f t="shared" si="84"/>
        <v>0</v>
      </c>
    </row>
    <row r="3095" spans="1:6" ht="45" x14ac:dyDescent="0.25">
      <c r="B3095" s="14" t="s">
        <v>1779</v>
      </c>
      <c r="F3095" s="16">
        <f t="shared" si="84"/>
        <v>0</v>
      </c>
    </row>
    <row r="3096" spans="1:6" x14ac:dyDescent="0.25">
      <c r="F3096" s="16">
        <f t="shared" si="84"/>
        <v>0</v>
      </c>
    </row>
    <row r="3097" spans="1:6" ht="330" x14ac:dyDescent="0.25">
      <c r="B3097" s="14" t="s">
        <v>1781</v>
      </c>
      <c r="F3097" s="16">
        <f t="shared" si="84"/>
        <v>0</v>
      </c>
    </row>
    <row r="3098" spans="1:6" x14ac:dyDescent="0.25">
      <c r="F3098" s="16">
        <f t="shared" si="84"/>
        <v>0</v>
      </c>
    </row>
    <row r="3099" spans="1:6" x14ac:dyDescent="0.25">
      <c r="F3099" s="16">
        <f t="shared" si="84"/>
        <v>0</v>
      </c>
    </row>
    <row r="3100" spans="1:6" x14ac:dyDescent="0.25">
      <c r="B3100" s="14" t="s">
        <v>1782</v>
      </c>
      <c r="F3100" s="16">
        <f t="shared" si="84"/>
        <v>0</v>
      </c>
    </row>
    <row r="3101" spans="1:6" x14ac:dyDescent="0.25">
      <c r="A3101" s="28" t="s">
        <v>0</v>
      </c>
      <c r="B3101" s="28" t="s">
        <v>1</v>
      </c>
      <c r="C3101" s="329" t="s">
        <v>2</v>
      </c>
      <c r="D3101" s="28" t="s">
        <v>3</v>
      </c>
      <c r="E3101" s="262" t="s">
        <v>4</v>
      </c>
      <c r="F3101" s="262" t="s">
        <v>5</v>
      </c>
    </row>
    <row r="3102" spans="1:6" ht="15.75" thickBot="1" x14ac:dyDescent="0.3">
      <c r="A3102" s="13" t="s">
        <v>1618</v>
      </c>
      <c r="B3102" s="14" t="s">
        <v>2288</v>
      </c>
      <c r="C3102" s="316">
        <v>644.16</v>
      </c>
      <c r="D3102" s="15" t="s">
        <v>9</v>
      </c>
      <c r="E3102" s="16">
        <v>30</v>
      </c>
      <c r="F3102" s="16">
        <f t="shared" si="84"/>
        <v>19324.8</v>
      </c>
    </row>
    <row r="3103" spans="1:6" x14ac:dyDescent="0.25">
      <c r="A3103" s="13" t="s">
        <v>1620</v>
      </c>
      <c r="B3103" s="14" t="s">
        <v>1783</v>
      </c>
      <c r="C3103" s="316">
        <v>551.20000000000005</v>
      </c>
      <c r="D3103" s="15" t="s">
        <v>9</v>
      </c>
      <c r="E3103" s="16">
        <v>32</v>
      </c>
      <c r="F3103" s="16">
        <f t="shared" si="84"/>
        <v>17638.400000000001</v>
      </c>
    </row>
    <row r="3104" spans="1:6" x14ac:dyDescent="0.25">
      <c r="A3104" s="13" t="s">
        <v>1621</v>
      </c>
      <c r="B3104" s="14" t="s">
        <v>1784</v>
      </c>
      <c r="C3104" s="316">
        <v>24</v>
      </c>
      <c r="D3104" s="15" t="s">
        <v>9</v>
      </c>
      <c r="E3104" s="16">
        <v>180</v>
      </c>
      <c r="F3104" s="16">
        <f t="shared" si="84"/>
        <v>4320</v>
      </c>
    </row>
    <row r="3105" spans="1:19" x14ac:dyDescent="0.25">
      <c r="A3105" s="13" t="s">
        <v>1623</v>
      </c>
      <c r="B3105" s="14" t="s">
        <v>1865</v>
      </c>
      <c r="C3105" s="316">
        <v>1152</v>
      </c>
      <c r="D3105" s="15" t="s">
        <v>9</v>
      </c>
      <c r="E3105" s="16">
        <v>29</v>
      </c>
      <c r="F3105" s="16">
        <f t="shared" si="84"/>
        <v>33408</v>
      </c>
    </row>
    <row r="3106" spans="1:19" x14ac:dyDescent="0.25">
      <c r="A3106" s="13" t="s">
        <v>1631</v>
      </c>
      <c r="B3106" s="14" t="s">
        <v>1802</v>
      </c>
      <c r="C3106" s="316">
        <v>650</v>
      </c>
      <c r="D3106" s="15" t="s">
        <v>9</v>
      </c>
      <c r="E3106" s="16">
        <v>20</v>
      </c>
      <c r="F3106" s="16">
        <f t="shared" si="84"/>
        <v>13000</v>
      </c>
    </row>
    <row r="3107" spans="1:19" x14ac:dyDescent="0.25">
      <c r="A3107" s="13" t="s">
        <v>1632</v>
      </c>
      <c r="B3107" s="14" t="s">
        <v>1792</v>
      </c>
      <c r="C3107" s="316">
        <v>1</v>
      </c>
      <c r="D3107" s="15" t="s">
        <v>407</v>
      </c>
      <c r="E3107" s="16">
        <v>12500</v>
      </c>
      <c r="F3107" s="16">
        <f t="shared" si="84"/>
        <v>12500</v>
      </c>
    </row>
    <row r="3108" spans="1:19" x14ac:dyDescent="0.25">
      <c r="A3108" s="13" t="s">
        <v>1633</v>
      </c>
      <c r="B3108" s="14" t="s">
        <v>1785</v>
      </c>
      <c r="C3108" s="316">
        <v>3</v>
      </c>
      <c r="D3108" s="15" t="s">
        <v>180</v>
      </c>
      <c r="E3108" s="16">
        <v>500</v>
      </c>
      <c r="F3108" s="16">
        <f t="shared" si="83"/>
        <v>1500</v>
      </c>
    </row>
    <row r="3109" spans="1:19" x14ac:dyDescent="0.25">
      <c r="A3109" s="13" t="s">
        <v>1634</v>
      </c>
      <c r="B3109" s="14" t="s">
        <v>1786</v>
      </c>
      <c r="C3109" s="316">
        <v>4</v>
      </c>
      <c r="D3109" s="15" t="s">
        <v>180</v>
      </c>
      <c r="E3109" s="16">
        <v>400</v>
      </c>
      <c r="F3109" s="16">
        <f t="shared" si="83"/>
        <v>1600</v>
      </c>
    </row>
    <row r="3110" spans="1:19" x14ac:dyDescent="0.25">
      <c r="A3110" s="13" t="s">
        <v>1635</v>
      </c>
      <c r="B3110" s="14" t="s">
        <v>1787</v>
      </c>
      <c r="C3110" s="316">
        <v>28</v>
      </c>
      <c r="D3110" s="15" t="s">
        <v>32</v>
      </c>
      <c r="E3110" s="16">
        <v>60</v>
      </c>
      <c r="F3110" s="16">
        <f t="shared" si="83"/>
        <v>1680</v>
      </c>
    </row>
    <row r="3111" spans="1:19" ht="30" x14ac:dyDescent="0.25">
      <c r="A3111" s="13" t="s">
        <v>1385</v>
      </c>
      <c r="B3111" s="14" t="s">
        <v>1788</v>
      </c>
      <c r="C3111" s="316">
        <v>32</v>
      </c>
      <c r="D3111" s="15" t="s">
        <v>32</v>
      </c>
      <c r="E3111" s="16">
        <v>60</v>
      </c>
      <c r="F3111" s="16">
        <f t="shared" si="83"/>
        <v>1920</v>
      </c>
    </row>
    <row r="3112" spans="1:19" x14ac:dyDescent="0.25">
      <c r="A3112" s="13" t="s">
        <v>1398</v>
      </c>
      <c r="B3112" s="14" t="s">
        <v>1730</v>
      </c>
      <c r="C3112" s="316">
        <v>1298</v>
      </c>
      <c r="D3112" s="15" t="s">
        <v>32</v>
      </c>
      <c r="E3112" s="16">
        <v>55</v>
      </c>
      <c r="F3112" s="16">
        <f t="shared" si="83"/>
        <v>71390</v>
      </c>
    </row>
    <row r="3113" spans="1:19" x14ac:dyDescent="0.25">
      <c r="A3113" s="13" t="s">
        <v>1637</v>
      </c>
      <c r="B3113" s="14" t="s">
        <v>1789</v>
      </c>
      <c r="C3113" s="316">
        <v>21.33</v>
      </c>
      <c r="D3113" s="15" t="s">
        <v>9</v>
      </c>
      <c r="E3113" s="16">
        <v>300</v>
      </c>
      <c r="F3113" s="16">
        <f t="shared" si="83"/>
        <v>6398.9999999999991</v>
      </c>
    </row>
    <row r="3114" spans="1:19" x14ac:dyDescent="0.25">
      <c r="A3114" s="13" t="s">
        <v>1660</v>
      </c>
      <c r="B3114" s="14" t="s">
        <v>63</v>
      </c>
      <c r="C3114" s="316">
        <v>164</v>
      </c>
      <c r="D3114" s="15" t="s">
        <v>9</v>
      </c>
      <c r="E3114" s="16">
        <v>130</v>
      </c>
      <c r="F3114" s="16">
        <f t="shared" si="83"/>
        <v>21320</v>
      </c>
    </row>
    <row r="3115" spans="1:19" x14ac:dyDescent="0.25">
      <c r="A3115" s="13" t="s">
        <v>1661</v>
      </c>
      <c r="B3115" s="14" t="s">
        <v>1790</v>
      </c>
      <c r="C3115" s="316">
        <v>22</v>
      </c>
      <c r="D3115" s="15" t="s">
        <v>62</v>
      </c>
      <c r="E3115" s="16">
        <v>100</v>
      </c>
      <c r="F3115" s="16">
        <f t="shared" si="83"/>
        <v>2200</v>
      </c>
      <c r="N3115" s="106"/>
      <c r="Q3115" s="106"/>
    </row>
    <row r="3116" spans="1:19" x14ac:dyDescent="0.25">
      <c r="A3116" s="13" t="s">
        <v>1662</v>
      </c>
      <c r="B3116" s="14" t="s">
        <v>1791</v>
      </c>
      <c r="C3116" s="316">
        <v>42</v>
      </c>
      <c r="D3116" s="15" t="s">
        <v>32</v>
      </c>
      <c r="E3116" s="16">
        <v>100</v>
      </c>
      <c r="F3116" s="16">
        <f t="shared" si="83"/>
        <v>4200</v>
      </c>
      <c r="N3116" s="106"/>
      <c r="O3116" s="106"/>
      <c r="Q3116" s="106"/>
      <c r="R3116" s="106"/>
    </row>
    <row r="3117" spans="1:19" x14ac:dyDescent="0.25">
      <c r="A3117" s="13" t="s">
        <v>1663</v>
      </c>
      <c r="B3117" s="14" t="s">
        <v>1793</v>
      </c>
      <c r="C3117" s="316">
        <v>161.04</v>
      </c>
      <c r="D3117" s="15" t="s">
        <v>32</v>
      </c>
      <c r="E3117" s="16">
        <v>300</v>
      </c>
      <c r="F3117" s="16">
        <f t="shared" si="83"/>
        <v>48312</v>
      </c>
      <c r="M3117" s="221"/>
      <c r="N3117" s="106"/>
      <c r="P3117" s="106"/>
      <c r="Q3117" s="106"/>
    </row>
    <row r="3118" spans="1:19" x14ac:dyDescent="0.25">
      <c r="A3118" s="13" t="s">
        <v>1664</v>
      </c>
      <c r="B3118" s="14" t="s">
        <v>1794</v>
      </c>
      <c r="C3118" s="316">
        <v>598.16</v>
      </c>
      <c r="D3118" s="15" t="s">
        <v>9</v>
      </c>
      <c r="E3118" s="16">
        <v>80</v>
      </c>
      <c r="F3118" s="16">
        <f t="shared" si="83"/>
        <v>47852.799999999996</v>
      </c>
      <c r="N3118" s="106"/>
      <c r="O3118" s="106"/>
      <c r="Q3118" s="106"/>
      <c r="R3118" s="106"/>
    </row>
    <row r="3119" spans="1:19" x14ac:dyDescent="0.25">
      <c r="A3119" s="13" t="s">
        <v>1665</v>
      </c>
      <c r="B3119" s="14" t="s">
        <v>1795</v>
      </c>
      <c r="C3119" s="316">
        <v>598.16</v>
      </c>
      <c r="D3119" s="15" t="s">
        <v>9</v>
      </c>
      <c r="E3119" s="16">
        <v>30</v>
      </c>
      <c r="F3119" s="16">
        <f t="shared" si="83"/>
        <v>17944.8</v>
      </c>
      <c r="O3119" s="106"/>
      <c r="P3119" s="106"/>
      <c r="R3119" s="106"/>
      <c r="S3119" s="106"/>
    </row>
    <row r="3120" spans="1:19" x14ac:dyDescent="0.25">
      <c r="A3120" s="13" t="s">
        <v>1666</v>
      </c>
      <c r="B3120" s="14" t="s">
        <v>1796</v>
      </c>
      <c r="C3120" s="316">
        <v>716.9</v>
      </c>
      <c r="D3120" s="15" t="s">
        <v>9</v>
      </c>
      <c r="E3120" s="16">
        <v>105</v>
      </c>
      <c r="F3120" s="16">
        <f t="shared" si="83"/>
        <v>75274.5</v>
      </c>
      <c r="N3120" s="106"/>
      <c r="O3120" s="106"/>
      <c r="Q3120" s="106"/>
      <c r="R3120" s="106"/>
    </row>
    <row r="3121" spans="1:19" ht="30" x14ac:dyDescent="0.25">
      <c r="A3121" s="13" t="s">
        <v>1667</v>
      </c>
      <c r="B3121" s="14" t="s">
        <v>1797</v>
      </c>
      <c r="C3121" s="316">
        <v>2725.4</v>
      </c>
      <c r="D3121" s="15" t="s">
        <v>9</v>
      </c>
      <c r="E3121" s="16">
        <v>95</v>
      </c>
      <c r="F3121" s="16">
        <f t="shared" si="83"/>
        <v>258913</v>
      </c>
      <c r="O3121" s="106"/>
      <c r="R3121" s="106"/>
    </row>
    <row r="3122" spans="1:19" x14ac:dyDescent="0.25">
      <c r="A3122" s="13" t="s">
        <v>1668</v>
      </c>
      <c r="B3122" s="14" t="s">
        <v>1878</v>
      </c>
      <c r="C3122" s="316">
        <v>2725.4</v>
      </c>
      <c r="D3122" s="15" t="s">
        <v>9</v>
      </c>
      <c r="E3122" s="16">
        <v>35</v>
      </c>
      <c r="F3122" s="16">
        <f t="shared" si="83"/>
        <v>95389</v>
      </c>
    </row>
    <row r="3123" spans="1:19" ht="15.75" thickBot="1" x14ac:dyDescent="0.3">
      <c r="A3123" s="13" t="s">
        <v>1669</v>
      </c>
      <c r="B3123" s="14" t="s">
        <v>1798</v>
      </c>
      <c r="C3123" s="316">
        <v>126</v>
      </c>
      <c r="D3123" s="15" t="s">
        <v>33</v>
      </c>
      <c r="E3123" s="16">
        <v>280</v>
      </c>
      <c r="F3123" s="16">
        <f t="shared" si="83"/>
        <v>35280</v>
      </c>
    </row>
    <row r="3124" spans="1:19" ht="15.75" thickBot="1" x14ac:dyDescent="0.3">
      <c r="A3124" s="13" t="s">
        <v>1670</v>
      </c>
      <c r="B3124" s="14" t="s">
        <v>1799</v>
      </c>
      <c r="C3124" s="316">
        <v>76</v>
      </c>
      <c r="D3124" s="15" t="s">
        <v>33</v>
      </c>
      <c r="E3124" s="16">
        <v>205</v>
      </c>
      <c r="F3124" s="16">
        <f t="shared" si="83"/>
        <v>15580</v>
      </c>
      <c r="K3124" s="107"/>
      <c r="L3124" s="108"/>
      <c r="M3124" s="222"/>
      <c r="N3124" s="110"/>
      <c r="O3124" s="111"/>
      <c r="P3124" s="110"/>
      <c r="Q3124" s="109"/>
      <c r="R3124" s="108"/>
      <c r="S3124" s="112"/>
    </row>
    <row r="3125" spans="1:19" ht="15.75" thickBot="1" x14ac:dyDescent="0.3">
      <c r="A3125" s="13" t="s">
        <v>1671</v>
      </c>
      <c r="B3125" s="14" t="s">
        <v>1800</v>
      </c>
      <c r="C3125" s="316">
        <v>626.96</v>
      </c>
      <c r="D3125" s="15" t="s">
        <v>9</v>
      </c>
      <c r="E3125" s="16">
        <v>75</v>
      </c>
      <c r="F3125" s="16">
        <f t="shared" si="83"/>
        <v>47022</v>
      </c>
      <c r="K3125" s="108"/>
      <c r="L3125" s="107"/>
      <c r="M3125" s="223"/>
      <c r="N3125" s="109"/>
      <c r="O3125" s="113"/>
      <c r="P3125" s="109"/>
      <c r="Q3125" s="108"/>
      <c r="R3125" s="112"/>
      <c r="S3125" s="108"/>
    </row>
    <row r="3126" spans="1:19" ht="15.75" thickBot="1" x14ac:dyDescent="0.3">
      <c r="A3126" s="13" t="s">
        <v>1672</v>
      </c>
      <c r="B3126" s="14" t="s">
        <v>1801</v>
      </c>
      <c r="C3126" s="316">
        <v>626.96</v>
      </c>
      <c r="D3126" s="15" t="s">
        <v>9</v>
      </c>
      <c r="E3126" s="16">
        <v>35</v>
      </c>
      <c r="F3126" s="16">
        <f t="shared" si="83"/>
        <v>21943.600000000002</v>
      </c>
      <c r="K3126" s="114"/>
      <c r="L3126" s="108"/>
      <c r="M3126" s="224"/>
      <c r="N3126" s="115"/>
      <c r="O3126" s="113"/>
      <c r="P3126" s="115"/>
      <c r="Q3126" s="113"/>
      <c r="R3126" s="108"/>
      <c r="S3126" s="116"/>
    </row>
    <row r="3127" spans="1:19" ht="15.75" thickBot="1" x14ac:dyDescent="0.3">
      <c r="A3127" s="13" t="s">
        <v>1673</v>
      </c>
      <c r="B3127" s="14" t="s">
        <v>1803</v>
      </c>
      <c r="C3127" s="316">
        <v>1042</v>
      </c>
      <c r="D3127" s="15" t="s">
        <v>9</v>
      </c>
      <c r="E3127" s="16">
        <v>190</v>
      </c>
      <c r="F3127" s="16">
        <f t="shared" si="83"/>
        <v>197980</v>
      </c>
      <c r="K3127" s="110"/>
      <c r="L3127" s="114"/>
      <c r="M3127" s="225"/>
      <c r="N3127" s="107"/>
      <c r="O3127" s="113"/>
      <c r="P3127" s="112"/>
      <c r="Q3127" s="117"/>
      <c r="R3127" s="116"/>
      <c r="S3127" s="130"/>
    </row>
    <row r="3128" spans="1:19" ht="30.75" thickBot="1" x14ac:dyDescent="0.3">
      <c r="A3128" s="13" t="s">
        <v>1692</v>
      </c>
      <c r="B3128" s="14" t="s">
        <v>1804</v>
      </c>
      <c r="C3128" s="316">
        <v>1042</v>
      </c>
      <c r="D3128" s="15" t="s">
        <v>9</v>
      </c>
      <c r="E3128" s="16">
        <v>52</v>
      </c>
      <c r="F3128" s="16">
        <f t="shared" si="83"/>
        <v>54184</v>
      </c>
      <c r="K3128" s="118"/>
      <c r="L3128" s="113"/>
      <c r="M3128" s="224"/>
      <c r="N3128" s="113"/>
      <c r="O3128" s="129"/>
      <c r="P3128" s="131"/>
      <c r="Q3128" s="132"/>
      <c r="R3128" s="132"/>
      <c r="S3128" s="128"/>
    </row>
    <row r="3129" spans="1:19" ht="15.75" thickBot="1" x14ac:dyDescent="0.3">
      <c r="A3129" s="13" t="s">
        <v>1826</v>
      </c>
      <c r="B3129" s="14" t="s">
        <v>1805</v>
      </c>
      <c r="C3129" s="316">
        <v>44</v>
      </c>
      <c r="D3129" s="15" t="s">
        <v>9</v>
      </c>
      <c r="E3129" s="16">
        <v>180</v>
      </c>
      <c r="F3129" s="16">
        <f t="shared" si="83"/>
        <v>7920</v>
      </c>
      <c r="K3129" s="110"/>
      <c r="L3129" s="114"/>
      <c r="M3129" s="225"/>
      <c r="N3129" s="120"/>
      <c r="O3129" s="113"/>
      <c r="P3129" s="121"/>
      <c r="Q3129" s="117"/>
      <c r="R3129" s="116"/>
      <c r="S3129" s="127"/>
    </row>
    <row r="3130" spans="1:19" ht="15.75" thickBot="1" x14ac:dyDescent="0.3">
      <c r="A3130" s="13" t="s">
        <v>1827</v>
      </c>
      <c r="B3130" s="14" t="s">
        <v>1806</v>
      </c>
      <c r="C3130" s="316">
        <v>102</v>
      </c>
      <c r="D3130" s="15" t="s">
        <v>33</v>
      </c>
      <c r="E3130" s="16">
        <v>220</v>
      </c>
      <c r="F3130" s="16">
        <f t="shared" si="83"/>
        <v>22440</v>
      </c>
      <c r="K3130" s="114"/>
      <c r="L3130" s="108"/>
      <c r="M3130" s="224"/>
      <c r="N3130" s="122"/>
      <c r="O3130" s="113"/>
      <c r="P3130" s="122"/>
      <c r="Q3130" s="113"/>
      <c r="R3130" s="108"/>
      <c r="S3130" s="116"/>
    </row>
    <row r="3131" spans="1:19" ht="30.75" thickBot="1" x14ac:dyDescent="0.3">
      <c r="A3131" s="13" t="s">
        <v>1828</v>
      </c>
      <c r="B3131" s="14" t="s">
        <v>1807</v>
      </c>
      <c r="C3131" s="316">
        <v>204</v>
      </c>
      <c r="D3131" s="15" t="s">
        <v>9</v>
      </c>
      <c r="E3131" s="16">
        <v>45</v>
      </c>
      <c r="F3131" s="16">
        <f t="shared" si="83"/>
        <v>9180</v>
      </c>
      <c r="K3131" s="108"/>
      <c r="L3131" s="120"/>
      <c r="M3131" s="223"/>
      <c r="N3131" s="123"/>
      <c r="O3131" s="113"/>
      <c r="P3131" s="123"/>
      <c r="Q3131" s="108"/>
      <c r="R3131" s="121"/>
      <c r="S3131" s="108"/>
    </row>
    <row r="3132" spans="1:19" ht="15.75" thickBot="1" x14ac:dyDescent="0.3">
      <c r="A3132" s="13" t="s">
        <v>1829</v>
      </c>
      <c r="B3132" s="14" t="s">
        <v>1808</v>
      </c>
      <c r="C3132" s="316">
        <v>80</v>
      </c>
      <c r="D3132" s="15" t="s">
        <v>33</v>
      </c>
      <c r="E3132" s="16">
        <v>140</v>
      </c>
      <c r="F3132" s="16">
        <f t="shared" si="83"/>
        <v>11200</v>
      </c>
      <c r="K3132" s="120"/>
      <c r="L3132" s="108"/>
      <c r="M3132" s="226"/>
      <c r="N3132" s="110"/>
      <c r="O3132" s="124"/>
      <c r="P3132" s="110"/>
      <c r="Q3132" s="123"/>
      <c r="R3132" s="108"/>
      <c r="S3132" s="121"/>
    </row>
    <row r="3133" spans="1:19" x14ac:dyDescent="0.25">
      <c r="A3133" s="13" t="s">
        <v>1830</v>
      </c>
      <c r="B3133" s="14" t="s">
        <v>1809</v>
      </c>
      <c r="C3133" s="316">
        <v>28</v>
      </c>
      <c r="D3133" s="15" t="s">
        <v>33</v>
      </c>
      <c r="E3133" s="16">
        <v>130</v>
      </c>
      <c r="F3133" s="16">
        <f t="shared" si="83"/>
        <v>3640</v>
      </c>
      <c r="N3133" s="125"/>
      <c r="O3133" s="125"/>
      <c r="P3133" s="125"/>
    </row>
    <row r="3134" spans="1:19" x14ac:dyDescent="0.25">
      <c r="A3134" s="13" t="s">
        <v>1831</v>
      </c>
      <c r="B3134" s="14" t="s">
        <v>1810</v>
      </c>
      <c r="C3134" s="316">
        <v>40</v>
      </c>
      <c r="D3134" s="15" t="s">
        <v>33</v>
      </c>
      <c r="E3134" s="16">
        <v>130</v>
      </c>
      <c r="F3134" s="16">
        <f t="shared" si="83"/>
        <v>5200</v>
      </c>
      <c r="M3134" s="227"/>
      <c r="N3134" s="125"/>
      <c r="O3134" s="125"/>
      <c r="P3134" s="125"/>
      <c r="Q3134" s="125"/>
    </row>
    <row r="3135" spans="1:19" x14ac:dyDescent="0.25">
      <c r="A3135" s="13" t="s">
        <v>1832</v>
      </c>
      <c r="B3135" s="14" t="s">
        <v>1811</v>
      </c>
      <c r="C3135" s="316">
        <v>1042</v>
      </c>
      <c r="D3135" s="15" t="s">
        <v>9</v>
      </c>
      <c r="E3135" s="16">
        <v>24</v>
      </c>
      <c r="F3135" s="16">
        <f t="shared" si="83"/>
        <v>25008</v>
      </c>
      <c r="L3135" s="125"/>
      <c r="M3135" s="227"/>
      <c r="N3135" s="106"/>
      <c r="O3135" s="125"/>
      <c r="P3135" s="106"/>
      <c r="Q3135" s="125"/>
      <c r="R3135" s="125"/>
    </row>
    <row r="3136" spans="1:19" x14ac:dyDescent="0.25">
      <c r="A3136" s="13" t="s">
        <v>1833</v>
      </c>
      <c r="B3136" s="14" t="s">
        <v>1812</v>
      </c>
      <c r="C3136" s="316">
        <v>78.75</v>
      </c>
      <c r="D3136" s="15" t="s">
        <v>32</v>
      </c>
      <c r="E3136" s="16">
        <v>300</v>
      </c>
      <c r="F3136" s="16">
        <f t="shared" si="83"/>
        <v>23625</v>
      </c>
      <c r="L3136" s="125"/>
      <c r="M3136" s="227"/>
      <c r="N3136" s="32"/>
      <c r="O3136" s="125"/>
      <c r="P3136" s="32"/>
      <c r="Q3136" s="125"/>
      <c r="R3136" s="125"/>
    </row>
    <row r="3137" spans="1:20" x14ac:dyDescent="0.25">
      <c r="A3137" s="13" t="s">
        <v>1834</v>
      </c>
      <c r="B3137" s="14" t="s">
        <v>1813</v>
      </c>
      <c r="C3137" s="316">
        <v>118</v>
      </c>
      <c r="D3137" s="15" t="s">
        <v>9</v>
      </c>
      <c r="E3137" s="16">
        <v>130</v>
      </c>
      <c r="F3137" s="16">
        <f t="shared" si="83"/>
        <v>15340</v>
      </c>
      <c r="L3137" s="125"/>
      <c r="M3137" s="227"/>
      <c r="N3137" s="125"/>
      <c r="O3137" s="125"/>
      <c r="P3137" s="125"/>
      <c r="Q3137" s="125"/>
      <c r="R3137" s="125"/>
    </row>
    <row r="3138" spans="1:20" x14ac:dyDescent="0.25">
      <c r="A3138" s="13" t="s">
        <v>1835</v>
      </c>
      <c r="B3138" s="14" t="s">
        <v>1814</v>
      </c>
      <c r="C3138" s="316">
        <v>426.72</v>
      </c>
      <c r="D3138" s="15" t="s">
        <v>9</v>
      </c>
      <c r="E3138" s="16">
        <v>80</v>
      </c>
      <c r="F3138" s="16">
        <f t="shared" si="83"/>
        <v>34137.600000000006</v>
      </c>
      <c r="L3138" s="125"/>
      <c r="M3138" s="221"/>
      <c r="N3138" s="125"/>
      <c r="O3138" s="125"/>
      <c r="P3138" s="125"/>
      <c r="Q3138" s="106"/>
      <c r="R3138" s="125"/>
    </row>
    <row r="3139" spans="1:20" x14ac:dyDescent="0.25">
      <c r="A3139" s="13" t="s">
        <v>1836</v>
      </c>
      <c r="B3139" s="14" t="s">
        <v>1795</v>
      </c>
      <c r="C3139" s="316">
        <v>426.72</v>
      </c>
      <c r="D3139" s="15" t="s">
        <v>9</v>
      </c>
      <c r="E3139" s="16">
        <v>30</v>
      </c>
      <c r="F3139" s="16">
        <f t="shared" si="83"/>
        <v>12801.6</v>
      </c>
      <c r="L3139" s="125"/>
      <c r="M3139" s="227"/>
      <c r="N3139" s="106"/>
      <c r="O3139" s="125"/>
      <c r="P3139" s="106"/>
      <c r="Q3139" s="125"/>
      <c r="R3139" s="125"/>
    </row>
    <row r="3140" spans="1:20" x14ac:dyDescent="0.25">
      <c r="A3140" s="13" t="s">
        <v>1837</v>
      </c>
      <c r="B3140" s="14" t="s">
        <v>1815</v>
      </c>
      <c r="C3140" s="316">
        <v>11.2</v>
      </c>
      <c r="D3140" s="15" t="s">
        <v>32</v>
      </c>
      <c r="E3140" s="16">
        <v>290</v>
      </c>
      <c r="F3140" s="16">
        <f t="shared" si="83"/>
        <v>3248</v>
      </c>
      <c r="M3140" s="227"/>
      <c r="N3140" s="125"/>
      <c r="O3140" s="106"/>
      <c r="P3140" s="125"/>
      <c r="Q3140" s="125"/>
    </row>
    <row r="3141" spans="1:20" x14ac:dyDescent="0.25">
      <c r="A3141" s="13" t="s">
        <v>1838</v>
      </c>
      <c r="B3141" s="14" t="s">
        <v>63</v>
      </c>
      <c r="C3141" s="316">
        <v>98</v>
      </c>
      <c r="D3141" s="15" t="s">
        <v>9</v>
      </c>
      <c r="E3141" s="16">
        <v>130</v>
      </c>
      <c r="F3141" s="16">
        <f t="shared" ref="F3141:F3162" si="85">C3141*E3141</f>
        <v>12740</v>
      </c>
      <c r="N3141" s="125"/>
      <c r="O3141" s="125"/>
      <c r="P3141" s="125"/>
    </row>
    <row r="3142" spans="1:20" x14ac:dyDescent="0.25">
      <c r="A3142" s="13" t="s">
        <v>1839</v>
      </c>
      <c r="B3142" s="14" t="s">
        <v>1790</v>
      </c>
      <c r="C3142" s="316">
        <v>16</v>
      </c>
      <c r="D3142" s="15" t="s">
        <v>62</v>
      </c>
      <c r="E3142" s="16">
        <v>100</v>
      </c>
      <c r="F3142" s="16">
        <f t="shared" si="85"/>
        <v>1600</v>
      </c>
    </row>
    <row r="3143" spans="1:20" x14ac:dyDescent="0.25">
      <c r="A3143" s="13" t="s">
        <v>1840</v>
      </c>
      <c r="B3143" s="14" t="s">
        <v>1816</v>
      </c>
      <c r="C3143" s="316">
        <v>8</v>
      </c>
      <c r="D3143" s="15" t="s">
        <v>32</v>
      </c>
      <c r="E3143" s="16">
        <v>300</v>
      </c>
      <c r="F3143" s="16">
        <f t="shared" si="85"/>
        <v>2400</v>
      </c>
    </row>
    <row r="3144" spans="1:20" x14ac:dyDescent="0.25">
      <c r="A3144" s="13" t="s">
        <v>1841</v>
      </c>
      <c r="B3144" s="14" t="s">
        <v>63</v>
      </c>
      <c r="C3144" s="316">
        <v>24</v>
      </c>
      <c r="D3144" s="15" t="s">
        <v>9</v>
      </c>
      <c r="E3144" s="16">
        <v>130</v>
      </c>
      <c r="F3144" s="16">
        <f t="shared" si="85"/>
        <v>3120</v>
      </c>
    </row>
    <row r="3145" spans="1:20" ht="15.75" thickBot="1" x14ac:dyDescent="0.3">
      <c r="A3145" s="13" t="s">
        <v>1842</v>
      </c>
      <c r="B3145" s="14" t="s">
        <v>1790</v>
      </c>
      <c r="C3145" s="316">
        <v>21</v>
      </c>
      <c r="D3145" s="15" t="s">
        <v>62</v>
      </c>
      <c r="E3145" s="16">
        <v>100</v>
      </c>
      <c r="F3145" s="16">
        <f t="shared" si="85"/>
        <v>2100</v>
      </c>
    </row>
    <row r="3146" spans="1:20" x14ac:dyDescent="0.25">
      <c r="A3146" s="13" t="s">
        <v>1843</v>
      </c>
      <c r="B3146" s="14" t="s">
        <v>1817</v>
      </c>
      <c r="C3146" s="316">
        <v>48</v>
      </c>
      <c r="D3146" s="15" t="s">
        <v>9</v>
      </c>
      <c r="E3146" s="16">
        <v>130</v>
      </c>
      <c r="F3146" s="16">
        <f t="shared" si="85"/>
        <v>6240</v>
      </c>
      <c r="K3146" s="107"/>
      <c r="L3146" s="111"/>
      <c r="M3146" s="228"/>
      <c r="N3146" s="111"/>
      <c r="O3146" s="111"/>
      <c r="P3146" s="112"/>
      <c r="Q3146" s="125"/>
      <c r="R3146" s="125"/>
      <c r="S3146" s="125"/>
      <c r="T3146" s="125"/>
    </row>
    <row r="3147" spans="1:20" ht="30" x14ac:dyDescent="0.25">
      <c r="A3147" s="13" t="s">
        <v>1844</v>
      </c>
      <c r="B3147" s="14" t="s">
        <v>1818</v>
      </c>
      <c r="C3147" s="316">
        <v>1</v>
      </c>
      <c r="D3147" s="15" t="s">
        <v>407</v>
      </c>
      <c r="E3147" s="16">
        <v>18000</v>
      </c>
      <c r="F3147" s="16">
        <f t="shared" si="85"/>
        <v>18000</v>
      </c>
      <c r="K3147" s="118"/>
      <c r="L3147" s="125"/>
      <c r="M3147" s="227"/>
      <c r="N3147" s="125"/>
      <c r="O3147" s="125"/>
      <c r="P3147" s="119"/>
      <c r="Q3147" s="125"/>
      <c r="R3147" s="125"/>
      <c r="S3147" s="125"/>
      <c r="T3147" s="125"/>
    </row>
    <row r="3148" spans="1:20" x14ac:dyDescent="0.25">
      <c r="A3148" s="13" t="s">
        <v>1845</v>
      </c>
      <c r="B3148" s="14" t="s">
        <v>1819</v>
      </c>
      <c r="C3148" s="316">
        <v>168</v>
      </c>
      <c r="D3148" s="15" t="s">
        <v>9</v>
      </c>
      <c r="E3148" s="16">
        <v>130</v>
      </c>
      <c r="F3148" s="16">
        <f t="shared" si="85"/>
        <v>21840</v>
      </c>
      <c r="K3148" s="118"/>
      <c r="L3148" s="125"/>
      <c r="M3148" s="227"/>
      <c r="N3148" s="125"/>
      <c r="O3148" s="125"/>
      <c r="P3148" s="119"/>
      <c r="Q3148" s="125"/>
      <c r="R3148" s="125"/>
      <c r="S3148" s="125"/>
      <c r="T3148" s="125"/>
    </row>
    <row r="3149" spans="1:20" x14ac:dyDescent="0.25">
      <c r="A3149" s="13" t="s">
        <v>1846</v>
      </c>
      <c r="B3149" s="14" t="s">
        <v>526</v>
      </c>
      <c r="C3149" s="316">
        <v>46.5</v>
      </c>
      <c r="D3149" s="15" t="s">
        <v>9</v>
      </c>
      <c r="E3149" s="16">
        <v>120</v>
      </c>
      <c r="F3149" s="16">
        <f t="shared" si="85"/>
        <v>5580</v>
      </c>
      <c r="K3149" s="118"/>
      <c r="L3149" s="125"/>
      <c r="M3149" s="227"/>
      <c r="N3149" s="125"/>
      <c r="O3149" s="125"/>
      <c r="P3149" s="119"/>
      <c r="Q3149" s="125"/>
      <c r="R3149" s="125"/>
      <c r="S3149" s="125"/>
      <c r="T3149" s="125"/>
    </row>
    <row r="3150" spans="1:20" ht="45" x14ac:dyDescent="0.25">
      <c r="A3150" s="13" t="s">
        <v>1847</v>
      </c>
      <c r="B3150" s="14" t="s">
        <v>1820</v>
      </c>
      <c r="C3150" s="316">
        <v>42</v>
      </c>
      <c r="D3150" s="15" t="s">
        <v>33</v>
      </c>
      <c r="E3150" s="16">
        <v>120</v>
      </c>
      <c r="F3150" s="16">
        <f t="shared" si="85"/>
        <v>5040</v>
      </c>
      <c r="K3150" s="118"/>
      <c r="L3150" s="125"/>
      <c r="M3150" s="227"/>
      <c r="N3150" s="125"/>
      <c r="O3150" s="125"/>
      <c r="P3150" s="119"/>
      <c r="Q3150" s="125"/>
      <c r="R3150" s="125"/>
      <c r="S3150" s="125"/>
      <c r="T3150" s="125"/>
    </row>
    <row r="3151" spans="1:20" x14ac:dyDescent="0.25">
      <c r="A3151" s="13" t="s">
        <v>1848</v>
      </c>
      <c r="B3151" s="14" t="s">
        <v>1821</v>
      </c>
      <c r="C3151" s="316">
        <v>18</v>
      </c>
      <c r="D3151" s="15" t="s">
        <v>33</v>
      </c>
      <c r="E3151" s="16">
        <v>160</v>
      </c>
      <c r="F3151" s="16">
        <f t="shared" si="85"/>
        <v>2880</v>
      </c>
      <c r="K3151" s="118"/>
      <c r="L3151" s="125"/>
      <c r="M3151" s="227"/>
      <c r="N3151" s="125"/>
      <c r="O3151" s="125"/>
      <c r="P3151" s="119"/>
      <c r="Q3151" s="125"/>
      <c r="R3151" s="125"/>
      <c r="S3151" s="125"/>
      <c r="T3151" s="125"/>
    </row>
    <row r="3152" spans="1:20" ht="30" x14ac:dyDescent="0.25">
      <c r="A3152" s="13" t="s">
        <v>1849</v>
      </c>
      <c r="B3152" s="14" t="s">
        <v>1884</v>
      </c>
      <c r="C3152" s="316">
        <v>1</v>
      </c>
      <c r="D3152" s="15" t="s">
        <v>180</v>
      </c>
      <c r="E3152" s="16">
        <v>1000</v>
      </c>
      <c r="F3152" s="16">
        <f t="shared" si="85"/>
        <v>1000</v>
      </c>
      <c r="K3152" s="118"/>
      <c r="L3152" s="125"/>
      <c r="M3152" s="227"/>
      <c r="N3152" s="125"/>
      <c r="O3152" s="125"/>
      <c r="P3152" s="119"/>
      <c r="Q3152" s="125"/>
      <c r="R3152" s="125"/>
      <c r="S3152" s="125"/>
      <c r="T3152" s="125"/>
    </row>
    <row r="3153" spans="1:25" x14ac:dyDescent="0.25">
      <c r="A3153" s="13" t="s">
        <v>1850</v>
      </c>
      <c r="B3153" s="14" t="s">
        <v>1883</v>
      </c>
      <c r="C3153" s="316">
        <v>1</v>
      </c>
      <c r="D3153" s="15" t="s">
        <v>180</v>
      </c>
      <c r="E3153" s="16">
        <v>250</v>
      </c>
      <c r="F3153" s="16">
        <f t="shared" si="85"/>
        <v>250</v>
      </c>
      <c r="K3153" s="118"/>
      <c r="L3153" s="125"/>
      <c r="M3153" s="227"/>
      <c r="N3153" s="125"/>
      <c r="O3153" s="125"/>
      <c r="P3153" s="119"/>
      <c r="Q3153" s="125"/>
      <c r="R3153" s="125"/>
      <c r="S3153" s="125"/>
      <c r="T3153" s="125"/>
    </row>
    <row r="3154" spans="1:25" x14ac:dyDescent="0.25">
      <c r="A3154" s="13" t="s">
        <v>1851</v>
      </c>
      <c r="B3154" s="14" t="s">
        <v>1822</v>
      </c>
      <c r="C3154" s="316">
        <v>1</v>
      </c>
      <c r="D3154" s="15" t="s">
        <v>180</v>
      </c>
      <c r="E3154" s="16">
        <v>250</v>
      </c>
      <c r="F3154" s="16">
        <f t="shared" si="85"/>
        <v>250</v>
      </c>
      <c r="K3154" s="118"/>
      <c r="L3154" s="125"/>
      <c r="M3154" s="227"/>
      <c r="N3154" s="125"/>
      <c r="O3154" s="125"/>
      <c r="P3154" s="119"/>
      <c r="Q3154" s="125"/>
      <c r="R3154" s="125"/>
      <c r="S3154" s="125"/>
      <c r="T3154" s="125"/>
    </row>
    <row r="3155" spans="1:25" ht="30" x14ac:dyDescent="0.3">
      <c r="A3155" s="13" t="s">
        <v>1852</v>
      </c>
      <c r="B3155" s="14" t="s">
        <v>1823</v>
      </c>
      <c r="C3155" s="316">
        <v>1</v>
      </c>
      <c r="D3155" s="15" t="s">
        <v>180</v>
      </c>
      <c r="E3155" s="16">
        <v>1600</v>
      </c>
      <c r="F3155" s="16">
        <f t="shared" si="85"/>
        <v>1600</v>
      </c>
      <c r="K3155" s="118"/>
      <c r="L3155" s="125"/>
      <c r="M3155" s="227"/>
      <c r="N3155" s="125"/>
      <c r="O3155" s="125"/>
      <c r="P3155" s="119"/>
      <c r="Q3155" s="126" t="s">
        <v>506</v>
      </c>
      <c r="R3155" s="126">
        <f>SUM(K3146:K3159,L3146:L3159,M3146:M3159,N3146:N3159,O3146:O3159,P3146:P3159)</f>
        <v>0</v>
      </c>
      <c r="S3155" s="125"/>
      <c r="T3155" s="125"/>
    </row>
    <row r="3156" spans="1:25" x14ac:dyDescent="0.25">
      <c r="A3156" s="13" t="s">
        <v>1853</v>
      </c>
      <c r="B3156" s="14" t="s">
        <v>1824</v>
      </c>
      <c r="C3156" s="316">
        <v>1</v>
      </c>
      <c r="D3156" s="15" t="s">
        <v>180</v>
      </c>
      <c r="E3156" s="16">
        <v>1500</v>
      </c>
      <c r="F3156" s="16">
        <f t="shared" si="85"/>
        <v>1500</v>
      </c>
      <c r="K3156" s="118"/>
      <c r="L3156" s="125"/>
      <c r="M3156" s="227"/>
      <c r="N3156" s="125"/>
      <c r="O3156" s="125"/>
      <c r="P3156" s="119"/>
      <c r="Q3156" s="125"/>
      <c r="R3156" s="125"/>
      <c r="S3156" s="125"/>
      <c r="T3156" s="125"/>
    </row>
    <row r="3157" spans="1:25" x14ac:dyDescent="0.25">
      <c r="A3157" s="13" t="s">
        <v>1854</v>
      </c>
      <c r="B3157" s="14" t="s">
        <v>1825</v>
      </c>
      <c r="C3157" s="316">
        <v>1</v>
      </c>
      <c r="D3157" s="15" t="s">
        <v>180</v>
      </c>
      <c r="E3157" s="16">
        <v>1500</v>
      </c>
      <c r="F3157" s="16">
        <f t="shared" si="85"/>
        <v>1500</v>
      </c>
      <c r="K3157" s="118"/>
      <c r="L3157" s="125"/>
      <c r="M3157" s="227"/>
      <c r="N3157" s="125"/>
      <c r="O3157" s="125"/>
      <c r="P3157" s="119"/>
      <c r="Q3157" s="125"/>
      <c r="R3157" s="125"/>
      <c r="S3157" s="125"/>
      <c r="T3157" s="125"/>
    </row>
    <row r="3158" spans="1:25" x14ac:dyDescent="0.25">
      <c r="A3158" s="13" t="s">
        <v>1855</v>
      </c>
      <c r="B3158" s="14" t="s">
        <v>1859</v>
      </c>
      <c r="C3158" s="316">
        <v>54</v>
      </c>
      <c r="D3158" s="15" t="s">
        <v>9</v>
      </c>
      <c r="E3158" s="16">
        <v>130</v>
      </c>
      <c r="F3158" s="16">
        <f t="shared" si="85"/>
        <v>7020</v>
      </c>
      <c r="K3158" s="118"/>
      <c r="L3158" s="125"/>
      <c r="M3158" s="227"/>
      <c r="N3158" s="125"/>
      <c r="O3158" s="125"/>
      <c r="P3158" s="119"/>
      <c r="Q3158" s="125"/>
      <c r="R3158" s="125"/>
      <c r="S3158" s="125"/>
      <c r="T3158" s="125"/>
    </row>
    <row r="3159" spans="1:25" ht="15.75" thickBot="1" x14ac:dyDescent="0.3">
      <c r="A3159" s="13" t="s">
        <v>1856</v>
      </c>
      <c r="B3159" s="14" t="s">
        <v>1860</v>
      </c>
      <c r="C3159" s="316">
        <v>21.6</v>
      </c>
      <c r="D3159" s="15" t="s">
        <v>9</v>
      </c>
      <c r="E3159" s="16">
        <v>120</v>
      </c>
      <c r="F3159" s="16">
        <f t="shared" si="85"/>
        <v>2592</v>
      </c>
      <c r="K3159" s="120"/>
      <c r="L3159" s="124"/>
      <c r="M3159" s="229"/>
      <c r="N3159" s="124"/>
      <c r="O3159" s="124"/>
      <c r="P3159" s="121"/>
      <c r="Q3159" s="125"/>
      <c r="R3159" s="125"/>
      <c r="S3159" s="125"/>
      <c r="T3159" s="125"/>
    </row>
    <row r="3160" spans="1:25" x14ac:dyDescent="0.25">
      <c r="A3160" s="13" t="s">
        <v>1857</v>
      </c>
      <c r="B3160" s="14" t="s">
        <v>1861</v>
      </c>
      <c r="C3160" s="316">
        <v>99</v>
      </c>
      <c r="D3160" s="15" t="s">
        <v>33</v>
      </c>
      <c r="E3160" s="16">
        <v>60</v>
      </c>
      <c r="F3160" s="16">
        <f t="shared" si="85"/>
        <v>5940</v>
      </c>
      <c r="K3160" s="125"/>
      <c r="L3160" s="125"/>
      <c r="M3160" s="227"/>
      <c r="N3160" s="125"/>
      <c r="O3160" s="125"/>
      <c r="P3160" s="125"/>
      <c r="Q3160" s="125"/>
      <c r="R3160" s="125"/>
      <c r="S3160" s="125"/>
      <c r="T3160" s="125"/>
    </row>
    <row r="3161" spans="1:25" x14ac:dyDescent="0.25">
      <c r="A3161" s="13" t="s">
        <v>1858</v>
      </c>
      <c r="B3161" s="14" t="s">
        <v>1862</v>
      </c>
      <c r="C3161" s="316">
        <v>64</v>
      </c>
      <c r="D3161" s="15" t="s">
        <v>33</v>
      </c>
      <c r="E3161" s="16">
        <v>60</v>
      </c>
      <c r="F3161" s="16">
        <f t="shared" si="85"/>
        <v>3840</v>
      </c>
      <c r="K3161" s="125"/>
      <c r="L3161" s="125"/>
      <c r="M3161" s="227"/>
      <c r="N3161" s="125"/>
      <c r="O3161" s="125"/>
      <c r="P3161" s="125"/>
      <c r="Q3161" s="125"/>
      <c r="R3161" s="125"/>
      <c r="S3161" s="125"/>
      <c r="T3161" s="125"/>
    </row>
    <row r="3162" spans="1:25" x14ac:dyDescent="0.25">
      <c r="A3162" s="13" t="s">
        <v>1864</v>
      </c>
      <c r="B3162" s="14" t="s">
        <v>1863</v>
      </c>
      <c r="C3162" s="316">
        <v>1</v>
      </c>
      <c r="D3162" s="15" t="s">
        <v>407</v>
      </c>
      <c r="E3162" s="16">
        <v>25380</v>
      </c>
      <c r="F3162" s="16">
        <f t="shared" si="85"/>
        <v>25380</v>
      </c>
      <c r="K3162" s="125"/>
      <c r="L3162" s="125"/>
      <c r="M3162" s="227"/>
      <c r="N3162" s="125"/>
      <c r="O3162" s="125"/>
      <c r="P3162" s="125"/>
      <c r="Q3162" s="125"/>
      <c r="R3162" s="125"/>
      <c r="S3162" s="125"/>
      <c r="T3162" s="125"/>
    </row>
    <row r="3163" spans="1:25" x14ac:dyDescent="0.25">
      <c r="K3163" s="125"/>
      <c r="L3163" s="125"/>
      <c r="M3163" s="227"/>
      <c r="N3163" s="125"/>
      <c r="O3163" s="125"/>
      <c r="P3163" s="125"/>
      <c r="Q3163" s="125"/>
      <c r="R3163" s="125"/>
      <c r="S3163" s="125"/>
      <c r="T3163" s="125"/>
    </row>
    <row r="3164" spans="1:25" ht="15.75" x14ac:dyDescent="0.25">
      <c r="B3164" s="35" t="s">
        <v>10</v>
      </c>
      <c r="C3164" s="317"/>
      <c r="D3164" s="36"/>
      <c r="E3164" s="240"/>
      <c r="F3164" s="240">
        <f>SUM(F3102:F3162)</f>
        <v>1434228.1</v>
      </c>
      <c r="K3164" s="125"/>
      <c r="L3164" s="125"/>
      <c r="M3164" s="227"/>
      <c r="N3164" s="125"/>
      <c r="O3164" s="125"/>
      <c r="P3164" s="125"/>
      <c r="Q3164" s="125"/>
      <c r="R3164" s="125"/>
      <c r="S3164" s="125"/>
      <c r="T3164" s="125"/>
    </row>
    <row r="3165" spans="1:25" x14ac:dyDescent="0.25">
      <c r="A3165" s="19"/>
      <c r="B3165" s="20"/>
      <c r="C3165" s="320"/>
      <c r="D3165" s="21"/>
      <c r="E3165" s="243"/>
      <c r="F3165" s="243"/>
      <c r="K3165" s="125"/>
      <c r="L3165" s="125"/>
      <c r="M3165" s="227"/>
      <c r="N3165" s="125"/>
      <c r="O3165" s="125"/>
      <c r="P3165" s="125"/>
      <c r="Q3165" s="125"/>
      <c r="R3165" s="125"/>
      <c r="S3165" s="125"/>
      <c r="T3165" s="125"/>
    </row>
    <row r="3166" spans="1:25" x14ac:dyDescent="0.25">
      <c r="A3166" s="1" t="s">
        <v>0</v>
      </c>
      <c r="B3166" s="1" t="s">
        <v>1</v>
      </c>
      <c r="C3166" s="338" t="s">
        <v>2</v>
      </c>
      <c r="D3166" s="1" t="s">
        <v>3</v>
      </c>
      <c r="E3166" s="275" t="s">
        <v>4</v>
      </c>
      <c r="F3166" s="275" t="s">
        <v>5</v>
      </c>
      <c r="N3166" s="72"/>
      <c r="O3166" s="32"/>
      <c r="P3166" s="72"/>
      <c r="Q3166" s="32"/>
      <c r="R3166" s="72"/>
      <c r="S3166" s="32"/>
      <c r="T3166" s="72"/>
      <c r="U3166" s="32"/>
      <c r="V3166" s="72"/>
      <c r="W3166" s="32"/>
      <c r="X3166" s="72"/>
      <c r="Y3166" s="32"/>
    </row>
    <row r="3167" spans="1:25" ht="30" x14ac:dyDescent="0.25">
      <c r="A3167" s="13" t="s">
        <v>1618</v>
      </c>
      <c r="B3167" s="133" t="s">
        <v>1013</v>
      </c>
      <c r="C3167" s="339">
        <v>4</v>
      </c>
      <c r="D3167" s="3" t="s">
        <v>11</v>
      </c>
      <c r="E3167" s="276">
        <v>500</v>
      </c>
      <c r="F3167" s="16">
        <f>E3167*C3167</f>
        <v>2000</v>
      </c>
      <c r="H3167" s="33" t="s">
        <v>1887</v>
      </c>
      <c r="N3167" s="32"/>
      <c r="O3167" s="72"/>
      <c r="P3167" s="32"/>
      <c r="Q3167" s="72"/>
      <c r="R3167" s="32"/>
      <c r="S3167" s="72"/>
      <c r="T3167" s="32"/>
      <c r="U3167" s="72"/>
      <c r="V3167" s="32"/>
      <c r="W3167" s="72"/>
      <c r="X3167" s="32"/>
      <c r="Y3167" s="72"/>
    </row>
    <row r="3168" spans="1:25" x14ac:dyDescent="0.25">
      <c r="A3168" s="13" t="s">
        <v>1620</v>
      </c>
      <c r="B3168" s="133" t="s">
        <v>1874</v>
      </c>
      <c r="C3168" s="339">
        <v>60</v>
      </c>
      <c r="D3168" s="3" t="s">
        <v>9</v>
      </c>
      <c r="E3168" s="276">
        <v>25</v>
      </c>
      <c r="F3168" s="16">
        <f t="shared" ref="F3168:F3219" si="86">E3168*C3168</f>
        <v>1500</v>
      </c>
      <c r="N3168" s="32"/>
      <c r="O3168" s="72"/>
      <c r="P3168" s="32"/>
      <c r="Q3168" s="72"/>
      <c r="R3168" s="32"/>
      <c r="S3168" s="72"/>
      <c r="T3168" s="32"/>
      <c r="U3168" s="72"/>
      <c r="V3168" s="32"/>
      <c r="W3168" s="72"/>
      <c r="X3168" s="32"/>
      <c r="Y3168" s="72"/>
    </row>
    <row r="3169" spans="1:25" x14ac:dyDescent="0.25">
      <c r="A3169" s="13" t="s">
        <v>1621</v>
      </c>
      <c r="B3169" s="14" t="s">
        <v>1785</v>
      </c>
      <c r="C3169" s="316">
        <v>3</v>
      </c>
      <c r="D3169" s="15" t="s">
        <v>180</v>
      </c>
      <c r="E3169" s="16">
        <v>500</v>
      </c>
      <c r="F3169" s="16">
        <f t="shared" si="86"/>
        <v>1500</v>
      </c>
      <c r="N3169" s="32"/>
      <c r="O3169" s="72"/>
      <c r="P3169" s="32"/>
      <c r="Q3169" s="72"/>
      <c r="R3169" s="32"/>
      <c r="S3169" s="72"/>
      <c r="T3169" s="32"/>
      <c r="U3169" s="72"/>
      <c r="V3169" s="32"/>
      <c r="W3169" s="72"/>
      <c r="X3169" s="32"/>
      <c r="Y3169" s="72"/>
    </row>
    <row r="3170" spans="1:25" x14ac:dyDescent="0.25">
      <c r="A3170" s="13" t="s">
        <v>1623</v>
      </c>
      <c r="B3170" s="14" t="s">
        <v>1786</v>
      </c>
      <c r="C3170" s="316">
        <v>4</v>
      </c>
      <c r="D3170" s="15" t="s">
        <v>180</v>
      </c>
      <c r="E3170" s="16">
        <v>400</v>
      </c>
      <c r="F3170" s="16">
        <f t="shared" si="86"/>
        <v>1600</v>
      </c>
      <c r="N3170" s="32"/>
      <c r="O3170" s="72"/>
      <c r="P3170" s="32"/>
      <c r="Q3170" s="72"/>
      <c r="R3170" s="32"/>
      <c r="S3170" s="72"/>
      <c r="T3170" s="32"/>
      <c r="U3170" s="72"/>
      <c r="V3170" s="32"/>
      <c r="W3170" s="72"/>
      <c r="X3170" s="32"/>
      <c r="Y3170" s="72"/>
    </row>
    <row r="3171" spans="1:25" x14ac:dyDescent="0.25">
      <c r="A3171" s="13" t="s">
        <v>1631</v>
      </c>
      <c r="B3171" s="133" t="s">
        <v>1872</v>
      </c>
      <c r="C3171" s="339">
        <v>626</v>
      </c>
      <c r="D3171" s="3" t="s">
        <v>32</v>
      </c>
      <c r="E3171" s="276">
        <v>20</v>
      </c>
      <c r="F3171" s="16">
        <f t="shared" si="86"/>
        <v>12520</v>
      </c>
      <c r="N3171" s="72"/>
      <c r="O3171" s="32"/>
      <c r="P3171" s="72"/>
      <c r="Q3171" s="32"/>
      <c r="R3171" s="72"/>
      <c r="S3171" s="32"/>
      <c r="T3171" s="72"/>
      <c r="U3171" s="32"/>
      <c r="V3171" s="72"/>
      <c r="W3171" s="32"/>
      <c r="X3171" s="72"/>
      <c r="Y3171" s="32"/>
    </row>
    <row r="3172" spans="1:25" x14ac:dyDescent="0.25">
      <c r="A3172" s="13" t="s">
        <v>1632</v>
      </c>
      <c r="B3172" s="133" t="s">
        <v>1875</v>
      </c>
      <c r="C3172" s="339">
        <v>1</v>
      </c>
      <c r="D3172" s="3" t="s">
        <v>407</v>
      </c>
      <c r="E3172" s="276">
        <v>6500</v>
      </c>
      <c r="F3172" s="16">
        <f t="shared" si="86"/>
        <v>6500</v>
      </c>
    </row>
    <row r="3173" spans="1:25" ht="30" x14ac:dyDescent="0.25">
      <c r="A3173" s="13" t="s">
        <v>1633</v>
      </c>
      <c r="B3173" s="133" t="s">
        <v>1011</v>
      </c>
      <c r="C3173" s="339">
        <v>626</v>
      </c>
      <c r="D3173" s="3" t="s">
        <v>32</v>
      </c>
      <c r="E3173" s="276">
        <v>35</v>
      </c>
      <c r="F3173" s="16">
        <f t="shared" si="86"/>
        <v>21910</v>
      </c>
    </row>
    <row r="3174" spans="1:25" ht="30" x14ac:dyDescent="0.25">
      <c r="A3174" s="13" t="s">
        <v>1634</v>
      </c>
      <c r="B3174" s="133" t="s">
        <v>1010</v>
      </c>
      <c r="C3174" s="339">
        <v>156</v>
      </c>
      <c r="D3174" s="3" t="s">
        <v>32</v>
      </c>
      <c r="E3174" s="276">
        <v>90</v>
      </c>
      <c r="F3174" s="16">
        <f t="shared" si="86"/>
        <v>14040</v>
      </c>
    </row>
    <row r="3175" spans="1:25" ht="30" x14ac:dyDescent="0.25">
      <c r="A3175" s="13" t="s">
        <v>1635</v>
      </c>
      <c r="B3175" s="133" t="s">
        <v>1876</v>
      </c>
      <c r="C3175" s="339">
        <v>626</v>
      </c>
      <c r="D3175" s="3" t="s">
        <v>9</v>
      </c>
      <c r="E3175" s="276">
        <v>90</v>
      </c>
      <c r="F3175" s="16">
        <f t="shared" si="86"/>
        <v>56340</v>
      </c>
    </row>
    <row r="3176" spans="1:25" x14ac:dyDescent="0.25">
      <c r="A3176" s="13" t="s">
        <v>1385</v>
      </c>
      <c r="B3176" s="133" t="s">
        <v>1795</v>
      </c>
      <c r="C3176" s="339">
        <v>626</v>
      </c>
      <c r="D3176" s="3" t="s">
        <v>9</v>
      </c>
      <c r="E3176" s="276">
        <v>30</v>
      </c>
      <c r="F3176" s="16">
        <f t="shared" si="86"/>
        <v>18780</v>
      </c>
    </row>
    <row r="3177" spans="1:25" x14ac:dyDescent="0.25">
      <c r="A3177" s="13" t="s">
        <v>1398</v>
      </c>
      <c r="B3177" s="133" t="s">
        <v>1886</v>
      </c>
      <c r="C3177" s="339">
        <v>6</v>
      </c>
      <c r="D3177" s="3" t="s">
        <v>33</v>
      </c>
      <c r="E3177" s="276">
        <v>120</v>
      </c>
      <c r="F3177" s="16">
        <f t="shared" si="86"/>
        <v>720</v>
      </c>
    </row>
    <row r="3178" spans="1:25" x14ac:dyDescent="0.25">
      <c r="A3178" s="13" t="s">
        <v>1637</v>
      </c>
      <c r="B3178" s="133" t="s">
        <v>1790</v>
      </c>
      <c r="C3178" s="339">
        <v>4</v>
      </c>
      <c r="D3178" s="3" t="s">
        <v>62</v>
      </c>
      <c r="E3178" s="276">
        <v>160</v>
      </c>
      <c r="F3178" s="16">
        <f t="shared" si="86"/>
        <v>640</v>
      </c>
    </row>
    <row r="3179" spans="1:25" x14ac:dyDescent="0.25">
      <c r="A3179" s="13" t="s">
        <v>1660</v>
      </c>
      <c r="B3179" s="133" t="s">
        <v>1761</v>
      </c>
      <c r="C3179" s="339">
        <v>22</v>
      </c>
      <c r="D3179" s="3" t="s">
        <v>9</v>
      </c>
      <c r="E3179" s="276">
        <v>130</v>
      </c>
      <c r="F3179" s="16">
        <f t="shared" si="86"/>
        <v>2860</v>
      </c>
    </row>
    <row r="3180" spans="1:25" ht="30" x14ac:dyDescent="0.25">
      <c r="A3180" s="13" t="s">
        <v>1661</v>
      </c>
      <c r="B3180" s="133" t="s">
        <v>1009</v>
      </c>
      <c r="C3180" s="339">
        <v>96</v>
      </c>
      <c r="D3180" s="3" t="s">
        <v>9</v>
      </c>
      <c r="E3180" s="276">
        <v>145</v>
      </c>
      <c r="F3180" s="16">
        <f t="shared" si="86"/>
        <v>13920</v>
      </c>
    </row>
    <row r="3181" spans="1:25" ht="30" x14ac:dyDescent="0.25">
      <c r="A3181" s="13" t="s">
        <v>1662</v>
      </c>
      <c r="B3181" s="133" t="s">
        <v>1877</v>
      </c>
      <c r="C3181" s="339">
        <v>2286.08</v>
      </c>
      <c r="D3181" s="3" t="s">
        <v>9</v>
      </c>
      <c r="E3181" s="276">
        <v>95</v>
      </c>
      <c r="F3181" s="16">
        <f t="shared" si="86"/>
        <v>217177.60000000001</v>
      </c>
    </row>
    <row r="3182" spans="1:25" x14ac:dyDescent="0.25">
      <c r="A3182" s="13" t="s">
        <v>1663</v>
      </c>
      <c r="B3182" s="133" t="s">
        <v>1878</v>
      </c>
      <c r="C3182" s="339">
        <v>2286.08</v>
      </c>
      <c r="D3182" s="3" t="s">
        <v>9</v>
      </c>
      <c r="E3182" s="276">
        <v>35</v>
      </c>
      <c r="F3182" s="16">
        <f t="shared" si="86"/>
        <v>80012.800000000003</v>
      </c>
    </row>
    <row r="3183" spans="1:25" x14ac:dyDescent="0.25">
      <c r="A3183" s="13" t="s">
        <v>1664</v>
      </c>
      <c r="B3183" s="14" t="s">
        <v>1798</v>
      </c>
      <c r="C3183" s="316">
        <v>108</v>
      </c>
      <c r="D3183" s="15" t="s">
        <v>33</v>
      </c>
      <c r="E3183" s="16">
        <v>280</v>
      </c>
      <c r="F3183" s="16">
        <f t="shared" si="86"/>
        <v>30240</v>
      </c>
    </row>
    <row r="3184" spans="1:25" x14ac:dyDescent="0.25">
      <c r="A3184" s="13" t="s">
        <v>1665</v>
      </c>
      <c r="B3184" s="14" t="s">
        <v>1799</v>
      </c>
      <c r="C3184" s="316">
        <v>143</v>
      </c>
      <c r="D3184" s="15" t="s">
        <v>33</v>
      </c>
      <c r="E3184" s="16">
        <v>205</v>
      </c>
      <c r="F3184" s="16">
        <f t="shared" si="86"/>
        <v>29315</v>
      </c>
    </row>
    <row r="3185" spans="1:6" x14ac:dyDescent="0.25">
      <c r="A3185" s="13" t="s">
        <v>1666</v>
      </c>
      <c r="B3185" s="14" t="s">
        <v>1800</v>
      </c>
      <c r="C3185" s="316">
        <v>64</v>
      </c>
      <c r="D3185" s="15" t="s">
        <v>9</v>
      </c>
      <c r="E3185" s="16">
        <v>75</v>
      </c>
      <c r="F3185" s="16">
        <f t="shared" si="86"/>
        <v>4800</v>
      </c>
    </row>
    <row r="3186" spans="1:6" x14ac:dyDescent="0.25">
      <c r="A3186" s="13" t="s">
        <v>1667</v>
      </c>
      <c r="B3186" s="14" t="s">
        <v>1801</v>
      </c>
      <c r="C3186" s="316">
        <v>812</v>
      </c>
      <c r="D3186" s="15" t="s">
        <v>9</v>
      </c>
      <c r="E3186" s="16">
        <v>24</v>
      </c>
      <c r="F3186" s="16">
        <f t="shared" si="86"/>
        <v>19488</v>
      </c>
    </row>
    <row r="3187" spans="1:6" ht="45" x14ac:dyDescent="0.25">
      <c r="A3187" s="13" t="s">
        <v>1668</v>
      </c>
      <c r="B3187" s="133" t="s">
        <v>1879</v>
      </c>
      <c r="C3187" s="339">
        <v>1</v>
      </c>
      <c r="D3187" s="3" t="s">
        <v>772</v>
      </c>
      <c r="E3187" s="276">
        <v>28500</v>
      </c>
      <c r="F3187" s="16">
        <f t="shared" si="86"/>
        <v>28500</v>
      </c>
    </row>
    <row r="3188" spans="1:6" x14ac:dyDescent="0.25">
      <c r="A3188" s="13" t="s">
        <v>1669</v>
      </c>
      <c r="B3188" s="133" t="s">
        <v>1006</v>
      </c>
      <c r="C3188" s="339">
        <v>56</v>
      </c>
      <c r="D3188" s="3" t="s">
        <v>9</v>
      </c>
      <c r="E3188" s="276">
        <v>145</v>
      </c>
      <c r="F3188" s="16">
        <f t="shared" si="86"/>
        <v>8120</v>
      </c>
    </row>
    <row r="3189" spans="1:6" x14ac:dyDescent="0.25">
      <c r="A3189" s="13" t="s">
        <v>1670</v>
      </c>
      <c r="B3189" s="133" t="s">
        <v>1005</v>
      </c>
      <c r="C3189" s="339">
        <v>169</v>
      </c>
      <c r="D3189" s="3" t="s">
        <v>9</v>
      </c>
      <c r="E3189" s="276">
        <v>140</v>
      </c>
      <c r="F3189" s="16">
        <f t="shared" si="86"/>
        <v>23660</v>
      </c>
    </row>
    <row r="3190" spans="1:6" x14ac:dyDescent="0.25">
      <c r="A3190" s="13" t="s">
        <v>1671</v>
      </c>
      <c r="B3190" s="133" t="s">
        <v>1025</v>
      </c>
      <c r="C3190" s="339">
        <v>52</v>
      </c>
      <c r="D3190" s="3" t="s">
        <v>9</v>
      </c>
      <c r="E3190" s="276">
        <v>145</v>
      </c>
      <c r="F3190" s="16">
        <f t="shared" si="86"/>
        <v>7540</v>
      </c>
    </row>
    <row r="3191" spans="1:6" x14ac:dyDescent="0.25">
      <c r="A3191" s="13" t="s">
        <v>1672</v>
      </c>
      <c r="B3191" s="14" t="s">
        <v>1803</v>
      </c>
      <c r="C3191" s="316">
        <v>1090</v>
      </c>
      <c r="D3191" s="15" t="s">
        <v>9</v>
      </c>
      <c r="E3191" s="16">
        <v>190</v>
      </c>
      <c r="F3191" s="16">
        <f t="shared" si="86"/>
        <v>207100</v>
      </c>
    </row>
    <row r="3192" spans="1:6" ht="30" x14ac:dyDescent="0.25">
      <c r="A3192" s="13" t="s">
        <v>1673</v>
      </c>
      <c r="B3192" s="14" t="s">
        <v>1804</v>
      </c>
      <c r="C3192" s="316">
        <v>1090</v>
      </c>
      <c r="D3192" s="15" t="s">
        <v>9</v>
      </c>
      <c r="E3192" s="16">
        <v>52</v>
      </c>
      <c r="F3192" s="16">
        <f t="shared" si="86"/>
        <v>56680</v>
      </c>
    </row>
    <row r="3193" spans="1:6" x14ac:dyDescent="0.25">
      <c r="A3193" s="13" t="s">
        <v>1692</v>
      </c>
      <c r="B3193" s="133" t="s">
        <v>1880</v>
      </c>
      <c r="C3193" s="339">
        <v>44</v>
      </c>
      <c r="D3193" s="3" t="s">
        <v>9</v>
      </c>
      <c r="E3193" s="276">
        <v>180</v>
      </c>
      <c r="F3193" s="16">
        <f t="shared" si="86"/>
        <v>7920</v>
      </c>
    </row>
    <row r="3194" spans="1:6" x14ac:dyDescent="0.25">
      <c r="A3194" s="13" t="s">
        <v>1826</v>
      </c>
      <c r="B3194" s="133" t="s">
        <v>1806</v>
      </c>
      <c r="C3194" s="339">
        <v>107</v>
      </c>
      <c r="D3194" s="15" t="s">
        <v>33</v>
      </c>
      <c r="E3194" s="16">
        <v>220</v>
      </c>
      <c r="F3194" s="16">
        <f t="shared" si="86"/>
        <v>23540</v>
      </c>
    </row>
    <row r="3195" spans="1:6" ht="30" x14ac:dyDescent="0.25">
      <c r="A3195" s="13" t="s">
        <v>1827</v>
      </c>
      <c r="B3195" s="14" t="s">
        <v>1807</v>
      </c>
      <c r="C3195" s="316">
        <v>214</v>
      </c>
      <c r="D3195" s="15" t="s">
        <v>9</v>
      </c>
      <c r="E3195" s="16">
        <v>45</v>
      </c>
      <c r="F3195" s="16">
        <f t="shared" si="86"/>
        <v>9630</v>
      </c>
    </row>
    <row r="3196" spans="1:6" x14ac:dyDescent="0.25">
      <c r="A3196" s="13" t="s">
        <v>1828</v>
      </c>
      <c r="B3196" s="14" t="s">
        <v>1808</v>
      </c>
      <c r="C3196" s="316">
        <v>80</v>
      </c>
      <c r="D3196" s="15" t="s">
        <v>33</v>
      </c>
      <c r="E3196" s="16">
        <v>150</v>
      </c>
      <c r="F3196" s="16">
        <f t="shared" si="86"/>
        <v>12000</v>
      </c>
    </row>
    <row r="3197" spans="1:6" x14ac:dyDescent="0.25">
      <c r="A3197" s="13" t="s">
        <v>1829</v>
      </c>
      <c r="B3197" s="14" t="s">
        <v>1809</v>
      </c>
      <c r="C3197" s="316">
        <v>12</v>
      </c>
      <c r="D3197" s="15" t="s">
        <v>33</v>
      </c>
      <c r="E3197" s="16">
        <v>100</v>
      </c>
      <c r="F3197" s="16">
        <f t="shared" si="86"/>
        <v>1200</v>
      </c>
    </row>
    <row r="3198" spans="1:6" x14ac:dyDescent="0.25">
      <c r="A3198" s="13" t="s">
        <v>1830</v>
      </c>
      <c r="B3198" s="14" t="s">
        <v>1810</v>
      </c>
      <c r="C3198" s="316">
        <v>40</v>
      </c>
      <c r="D3198" s="15" t="s">
        <v>33</v>
      </c>
      <c r="E3198" s="16">
        <v>130</v>
      </c>
      <c r="F3198" s="16">
        <f t="shared" si="86"/>
        <v>5200</v>
      </c>
    </row>
    <row r="3199" spans="1:6" x14ac:dyDescent="0.25">
      <c r="A3199" s="13" t="s">
        <v>1831</v>
      </c>
      <c r="B3199" s="14" t="s">
        <v>1881</v>
      </c>
      <c r="C3199" s="316">
        <v>1044</v>
      </c>
      <c r="D3199" s="15" t="s">
        <v>9</v>
      </c>
      <c r="E3199" s="16">
        <v>24</v>
      </c>
      <c r="F3199" s="16">
        <f t="shared" si="86"/>
        <v>25056</v>
      </c>
    </row>
    <row r="3200" spans="1:6" x14ac:dyDescent="0.25">
      <c r="A3200" s="13" t="s">
        <v>1832</v>
      </c>
      <c r="B3200" s="14" t="s">
        <v>1816</v>
      </c>
      <c r="C3200" s="316">
        <v>8</v>
      </c>
      <c r="D3200" s="15" t="s">
        <v>32</v>
      </c>
      <c r="E3200" s="16">
        <v>300</v>
      </c>
      <c r="F3200" s="16">
        <f t="shared" si="86"/>
        <v>2400</v>
      </c>
    </row>
    <row r="3201" spans="1:6" x14ac:dyDescent="0.25">
      <c r="A3201" s="13" t="s">
        <v>1833</v>
      </c>
      <c r="B3201" s="14" t="s">
        <v>63</v>
      </c>
      <c r="C3201" s="316">
        <v>24</v>
      </c>
      <c r="D3201" s="15" t="s">
        <v>9</v>
      </c>
      <c r="E3201" s="16">
        <v>130</v>
      </c>
      <c r="F3201" s="16">
        <f t="shared" si="86"/>
        <v>3120</v>
      </c>
    </row>
    <row r="3202" spans="1:6" x14ac:dyDescent="0.25">
      <c r="A3202" s="13" t="s">
        <v>1834</v>
      </c>
      <c r="B3202" s="14" t="s">
        <v>1790</v>
      </c>
      <c r="C3202" s="316">
        <v>21</v>
      </c>
      <c r="D3202" s="15" t="s">
        <v>62</v>
      </c>
      <c r="E3202" s="16">
        <v>100</v>
      </c>
      <c r="F3202" s="16">
        <f t="shared" si="86"/>
        <v>2100</v>
      </c>
    </row>
    <row r="3203" spans="1:6" x14ac:dyDescent="0.25">
      <c r="A3203" s="13" t="s">
        <v>1835</v>
      </c>
      <c r="B3203" s="14" t="s">
        <v>1817</v>
      </c>
      <c r="C3203" s="316">
        <v>48</v>
      </c>
      <c r="D3203" s="15" t="s">
        <v>9</v>
      </c>
      <c r="E3203" s="16">
        <v>130</v>
      </c>
      <c r="F3203" s="16">
        <f t="shared" si="86"/>
        <v>6240</v>
      </c>
    </row>
    <row r="3204" spans="1:6" ht="30" x14ac:dyDescent="0.25">
      <c r="A3204" s="13" t="s">
        <v>1836</v>
      </c>
      <c r="B3204" s="14" t="s">
        <v>1818</v>
      </c>
      <c r="C3204" s="316">
        <v>1</v>
      </c>
      <c r="D3204" s="15" t="s">
        <v>407</v>
      </c>
      <c r="E3204" s="16">
        <v>18000</v>
      </c>
      <c r="F3204" s="16">
        <f t="shared" si="86"/>
        <v>18000</v>
      </c>
    </row>
    <row r="3205" spans="1:6" x14ac:dyDescent="0.25">
      <c r="A3205" s="13" t="s">
        <v>1837</v>
      </c>
      <c r="B3205" s="14" t="s">
        <v>1819</v>
      </c>
      <c r="C3205" s="316">
        <v>168</v>
      </c>
      <c r="D3205" s="15" t="s">
        <v>9</v>
      </c>
      <c r="E3205" s="16">
        <v>130</v>
      </c>
      <c r="F3205" s="16">
        <f t="shared" si="86"/>
        <v>21840</v>
      </c>
    </row>
    <row r="3206" spans="1:6" x14ac:dyDescent="0.25">
      <c r="A3206" s="13" t="s">
        <v>1838</v>
      </c>
      <c r="B3206" s="14" t="s">
        <v>526</v>
      </c>
      <c r="C3206" s="316">
        <v>54</v>
      </c>
      <c r="D3206" s="15" t="s">
        <v>9</v>
      </c>
      <c r="E3206" s="16">
        <v>120</v>
      </c>
      <c r="F3206" s="16">
        <f t="shared" si="86"/>
        <v>6480</v>
      </c>
    </row>
    <row r="3207" spans="1:6" ht="45" x14ac:dyDescent="0.25">
      <c r="A3207" s="13" t="s">
        <v>1839</v>
      </c>
      <c r="B3207" s="14" t="s">
        <v>1820</v>
      </c>
      <c r="C3207" s="316">
        <v>42</v>
      </c>
      <c r="D3207" s="15" t="s">
        <v>33</v>
      </c>
      <c r="E3207" s="16">
        <v>120</v>
      </c>
      <c r="F3207" s="16">
        <f t="shared" si="86"/>
        <v>5040</v>
      </c>
    </row>
    <row r="3208" spans="1:6" x14ac:dyDescent="0.25">
      <c r="A3208" s="13" t="s">
        <v>1840</v>
      </c>
      <c r="B3208" s="14" t="s">
        <v>1882</v>
      </c>
      <c r="C3208" s="316">
        <v>32</v>
      </c>
      <c r="D3208" s="15" t="s">
        <v>33</v>
      </c>
      <c r="E3208" s="16">
        <v>120</v>
      </c>
      <c r="F3208" s="16">
        <f t="shared" si="86"/>
        <v>3840</v>
      </c>
    </row>
    <row r="3209" spans="1:6" x14ac:dyDescent="0.25">
      <c r="A3209" s="13" t="s">
        <v>1841</v>
      </c>
      <c r="B3209" s="14" t="s">
        <v>1821</v>
      </c>
      <c r="C3209" s="316">
        <v>32</v>
      </c>
      <c r="D3209" s="15" t="s">
        <v>33</v>
      </c>
      <c r="E3209" s="16">
        <v>160</v>
      </c>
      <c r="F3209" s="16">
        <f t="shared" si="86"/>
        <v>5120</v>
      </c>
    </row>
    <row r="3210" spans="1:6" ht="30" x14ac:dyDescent="0.25">
      <c r="A3210" s="13" t="s">
        <v>1842</v>
      </c>
      <c r="B3210" s="14" t="s">
        <v>1884</v>
      </c>
      <c r="C3210" s="316">
        <v>1</v>
      </c>
      <c r="D3210" s="15" t="s">
        <v>180</v>
      </c>
      <c r="E3210" s="16">
        <v>1000</v>
      </c>
      <c r="F3210" s="16">
        <f t="shared" si="86"/>
        <v>1000</v>
      </c>
    </row>
    <row r="3211" spans="1:6" x14ac:dyDescent="0.25">
      <c r="A3211" s="13" t="s">
        <v>1843</v>
      </c>
      <c r="B3211" s="14" t="s">
        <v>1883</v>
      </c>
      <c r="C3211" s="316">
        <v>1</v>
      </c>
      <c r="D3211" s="15" t="s">
        <v>180</v>
      </c>
      <c r="E3211" s="16">
        <v>250</v>
      </c>
      <c r="F3211" s="16">
        <f t="shared" si="86"/>
        <v>250</v>
      </c>
    </row>
    <row r="3212" spans="1:6" x14ac:dyDescent="0.25">
      <c r="A3212" s="13" t="s">
        <v>1844</v>
      </c>
      <c r="B3212" s="14" t="s">
        <v>1822</v>
      </c>
      <c r="C3212" s="316">
        <v>1</v>
      </c>
      <c r="D3212" s="15" t="s">
        <v>180</v>
      </c>
      <c r="E3212" s="16">
        <v>250</v>
      </c>
      <c r="F3212" s="16">
        <f t="shared" si="86"/>
        <v>250</v>
      </c>
    </row>
    <row r="3213" spans="1:6" ht="30" x14ac:dyDescent="0.25">
      <c r="A3213" s="13" t="s">
        <v>1845</v>
      </c>
      <c r="B3213" s="14" t="s">
        <v>1823</v>
      </c>
      <c r="C3213" s="316">
        <v>1</v>
      </c>
      <c r="D3213" s="15" t="s">
        <v>180</v>
      </c>
      <c r="E3213" s="16">
        <v>1600</v>
      </c>
      <c r="F3213" s="16">
        <f t="shared" si="86"/>
        <v>1600</v>
      </c>
    </row>
    <row r="3214" spans="1:6" x14ac:dyDescent="0.25">
      <c r="A3214" s="13" t="s">
        <v>1846</v>
      </c>
      <c r="B3214" s="14" t="s">
        <v>1824</v>
      </c>
      <c r="C3214" s="316">
        <v>1</v>
      </c>
      <c r="D3214" s="15" t="s">
        <v>180</v>
      </c>
      <c r="E3214" s="16">
        <v>1500</v>
      </c>
      <c r="F3214" s="16">
        <f t="shared" si="86"/>
        <v>1500</v>
      </c>
    </row>
    <row r="3215" spans="1:6" x14ac:dyDescent="0.25">
      <c r="A3215" s="13" t="s">
        <v>1847</v>
      </c>
      <c r="B3215" s="14" t="s">
        <v>1825</v>
      </c>
      <c r="C3215" s="316">
        <v>1</v>
      </c>
      <c r="D3215" s="15" t="s">
        <v>180</v>
      </c>
      <c r="E3215" s="16">
        <v>1500</v>
      </c>
      <c r="F3215" s="16">
        <f t="shared" si="86"/>
        <v>1500</v>
      </c>
    </row>
    <row r="3216" spans="1:6" x14ac:dyDescent="0.25">
      <c r="A3216" s="13" t="s">
        <v>1848</v>
      </c>
      <c r="B3216" s="14" t="s">
        <v>1861</v>
      </c>
      <c r="C3216" s="316">
        <v>99</v>
      </c>
      <c r="D3216" s="15" t="s">
        <v>9</v>
      </c>
      <c r="E3216" s="16">
        <v>60</v>
      </c>
      <c r="F3216" s="16">
        <f t="shared" si="86"/>
        <v>5940</v>
      </c>
    </row>
    <row r="3217" spans="1:27" x14ac:dyDescent="0.25">
      <c r="A3217" s="13" t="s">
        <v>1849</v>
      </c>
      <c r="B3217" s="14" t="s">
        <v>1862</v>
      </c>
      <c r="C3217" s="316">
        <v>42.4</v>
      </c>
      <c r="D3217" s="15" t="s">
        <v>9</v>
      </c>
      <c r="E3217" s="16">
        <v>60</v>
      </c>
      <c r="F3217" s="16">
        <f t="shared" si="86"/>
        <v>2544</v>
      </c>
    </row>
    <row r="3218" spans="1:27" x14ac:dyDescent="0.25">
      <c r="A3218" s="13" t="s">
        <v>1850</v>
      </c>
      <c r="B3218" s="14" t="s">
        <v>1863</v>
      </c>
      <c r="C3218" s="316">
        <v>1</v>
      </c>
      <c r="D3218" s="15" t="s">
        <v>407</v>
      </c>
      <c r="E3218" s="16">
        <v>25380</v>
      </c>
      <c r="F3218" s="248">
        <f t="shared" si="86"/>
        <v>25380</v>
      </c>
    </row>
    <row r="3219" spans="1:27" ht="45" x14ac:dyDescent="0.25">
      <c r="A3219" s="13" t="s">
        <v>1851</v>
      </c>
      <c r="B3219" s="14" t="s">
        <v>1885</v>
      </c>
      <c r="C3219" s="316">
        <v>320</v>
      </c>
      <c r="D3219" s="15" t="s">
        <v>9</v>
      </c>
      <c r="E3219" s="16">
        <v>60</v>
      </c>
      <c r="F3219" s="16">
        <f t="shared" si="86"/>
        <v>19200</v>
      </c>
    </row>
    <row r="3220" spans="1:27" ht="15.75" x14ac:dyDescent="0.25">
      <c r="B3220" s="134"/>
      <c r="C3220" s="340"/>
      <c r="D3220" s="135"/>
      <c r="E3220" s="277"/>
      <c r="F3220" s="277"/>
    </row>
    <row r="3221" spans="1:27" ht="15.75" x14ac:dyDescent="0.25">
      <c r="B3221" s="35" t="s">
        <v>10</v>
      </c>
      <c r="C3221" s="317"/>
      <c r="D3221" s="36"/>
      <c r="E3221" s="240"/>
      <c r="F3221" s="240">
        <f>SUM(F3167:F3219)</f>
        <v>1085353.3999999999</v>
      </c>
    </row>
    <row r="3222" spans="1:27" x14ac:dyDescent="0.25">
      <c r="A3222" s="19"/>
      <c r="B3222" s="20"/>
      <c r="C3222" s="320"/>
      <c r="D3222" s="21"/>
      <c r="E3222" s="243"/>
      <c r="F3222" s="243"/>
    </row>
    <row r="3223" spans="1:27" x14ac:dyDescent="0.25">
      <c r="A3223" s="1" t="s">
        <v>0</v>
      </c>
      <c r="B3223" s="1" t="s">
        <v>1</v>
      </c>
      <c r="C3223" s="338" t="s">
        <v>2</v>
      </c>
      <c r="D3223" s="1" t="s">
        <v>3</v>
      </c>
      <c r="E3223" s="275" t="s">
        <v>4</v>
      </c>
      <c r="F3223" s="275" t="s">
        <v>5</v>
      </c>
    </row>
    <row r="3224" spans="1:27" x14ac:dyDescent="0.25">
      <c r="A3224" s="3">
        <v>1</v>
      </c>
      <c r="B3224" s="2" t="s">
        <v>1040</v>
      </c>
      <c r="C3224" s="339">
        <v>1</v>
      </c>
      <c r="D3224" s="3" t="s">
        <v>407</v>
      </c>
      <c r="E3224" s="276">
        <v>14000</v>
      </c>
      <c r="F3224" s="276">
        <f>E3224*C3224</f>
        <v>14000</v>
      </c>
    </row>
    <row r="3225" spans="1:27" ht="30" x14ac:dyDescent="0.25">
      <c r="A3225" s="3">
        <v>2</v>
      </c>
      <c r="B3225" s="2" t="s">
        <v>1658</v>
      </c>
      <c r="C3225" s="339">
        <v>299</v>
      </c>
      <c r="D3225" s="3" t="s">
        <v>32</v>
      </c>
      <c r="E3225" s="276">
        <v>60</v>
      </c>
      <c r="F3225" s="276">
        <f t="shared" ref="F3225:F3278" si="87">E3225*C3225</f>
        <v>17940</v>
      </c>
      <c r="K3225" s="72"/>
      <c r="M3225" s="218"/>
      <c r="O3225" s="72"/>
      <c r="P3225" s="72"/>
      <c r="Q3225" s="72"/>
    </row>
    <row r="3226" spans="1:27" x14ac:dyDescent="0.25">
      <c r="A3226" s="3">
        <v>3</v>
      </c>
      <c r="B3226" s="2" t="s">
        <v>1674</v>
      </c>
      <c r="C3226" s="339">
        <v>220</v>
      </c>
      <c r="D3226" s="3" t="s">
        <v>32</v>
      </c>
      <c r="E3226" s="276">
        <v>55</v>
      </c>
      <c r="F3226" s="276">
        <f t="shared" si="87"/>
        <v>12100</v>
      </c>
      <c r="K3226" s="72"/>
      <c r="L3226" s="72"/>
      <c r="M3226" s="218"/>
      <c r="O3226" s="72"/>
      <c r="Q3226" s="72"/>
    </row>
    <row r="3227" spans="1:27" ht="30" x14ac:dyDescent="0.25">
      <c r="A3227" s="3">
        <v>4</v>
      </c>
      <c r="B3227" s="2" t="s">
        <v>1044</v>
      </c>
      <c r="C3227" s="339">
        <v>1</v>
      </c>
      <c r="D3227" s="3" t="s">
        <v>772</v>
      </c>
      <c r="E3227" s="276">
        <v>7000</v>
      </c>
      <c r="F3227" s="276">
        <f t="shared" si="87"/>
        <v>7000</v>
      </c>
      <c r="L3227" s="72"/>
      <c r="O3227" s="72"/>
      <c r="Q3227" s="72"/>
    </row>
    <row r="3228" spans="1:27" ht="30" x14ac:dyDescent="0.25">
      <c r="A3228" s="3">
        <v>5</v>
      </c>
      <c r="B3228" s="2" t="s">
        <v>1046</v>
      </c>
      <c r="C3228" s="339">
        <v>1</v>
      </c>
      <c r="D3228" s="3" t="s">
        <v>772</v>
      </c>
      <c r="E3228" s="276">
        <v>8000</v>
      </c>
      <c r="F3228" s="276">
        <f t="shared" si="87"/>
        <v>8000</v>
      </c>
      <c r="L3228" s="72"/>
      <c r="O3228" s="72"/>
      <c r="P3228" s="72"/>
      <c r="Q3228" s="72"/>
    </row>
    <row r="3229" spans="1:27" ht="30" x14ac:dyDescent="0.25">
      <c r="A3229" s="3">
        <v>6</v>
      </c>
      <c r="B3229" s="2" t="s">
        <v>1706</v>
      </c>
      <c r="C3229" s="339">
        <v>1</v>
      </c>
      <c r="D3229" s="3" t="s">
        <v>407</v>
      </c>
      <c r="E3229" s="276">
        <v>3850</v>
      </c>
      <c r="F3229" s="276">
        <f t="shared" si="87"/>
        <v>3850</v>
      </c>
    </row>
    <row r="3230" spans="1:27" ht="30" x14ac:dyDescent="0.25">
      <c r="A3230" s="3">
        <v>7</v>
      </c>
      <c r="B3230" s="2" t="s">
        <v>1707</v>
      </c>
      <c r="C3230" s="339">
        <v>220</v>
      </c>
      <c r="D3230" s="3" t="s">
        <v>32</v>
      </c>
      <c r="E3230" s="276">
        <v>100</v>
      </c>
      <c r="F3230" s="276">
        <f t="shared" si="87"/>
        <v>22000</v>
      </c>
    </row>
    <row r="3231" spans="1:27" x14ac:dyDescent="0.25">
      <c r="A3231" s="3">
        <v>8</v>
      </c>
      <c r="B3231" s="2" t="s">
        <v>1042</v>
      </c>
      <c r="C3231" s="339">
        <v>66</v>
      </c>
      <c r="D3231" s="3" t="s">
        <v>9</v>
      </c>
      <c r="E3231" s="276">
        <v>48</v>
      </c>
      <c r="F3231" s="276">
        <f t="shared" si="87"/>
        <v>3168</v>
      </c>
      <c r="N3231" s="136"/>
      <c r="O3231" s="72"/>
      <c r="P3231" s="72"/>
      <c r="Q3231" s="72"/>
      <c r="R3231" s="136"/>
      <c r="S3231" s="72"/>
      <c r="T3231" s="72"/>
      <c r="U3231" s="72"/>
      <c r="V3231" s="136"/>
      <c r="W3231" s="72"/>
      <c r="Z3231" s="136"/>
      <c r="AA3231" s="72"/>
    </row>
    <row r="3232" spans="1:27" ht="30" x14ac:dyDescent="0.25">
      <c r="A3232" s="3">
        <v>9</v>
      </c>
      <c r="B3232" s="2" t="s">
        <v>1708</v>
      </c>
      <c r="C3232" s="339">
        <v>1</v>
      </c>
      <c r="D3232" s="3" t="s">
        <v>407</v>
      </c>
      <c r="E3232" s="276">
        <v>16000</v>
      </c>
      <c r="F3232" s="276">
        <f t="shared" si="87"/>
        <v>16000</v>
      </c>
      <c r="N3232" s="136"/>
      <c r="O3232" s="72"/>
      <c r="P3232" s="72"/>
      <c r="R3232" s="136"/>
      <c r="S3232" s="72"/>
      <c r="T3232" s="72"/>
      <c r="V3232" s="136"/>
      <c r="W3232" s="72"/>
      <c r="X3232" s="72"/>
      <c r="Y3232" s="136"/>
      <c r="Z3232" s="72"/>
      <c r="AA3232" s="72"/>
    </row>
    <row r="3233" spans="1:27" ht="30" x14ac:dyDescent="0.25">
      <c r="A3233" s="3">
        <v>10</v>
      </c>
      <c r="B3233" s="2" t="s">
        <v>1709</v>
      </c>
      <c r="C3233" s="339">
        <v>1</v>
      </c>
      <c r="D3233" s="3" t="s">
        <v>407</v>
      </c>
      <c r="E3233" s="276">
        <v>10500</v>
      </c>
      <c r="F3233" s="276">
        <f t="shared" si="87"/>
        <v>10500</v>
      </c>
      <c r="N3233" s="136"/>
      <c r="O3233" s="72"/>
      <c r="P3233" s="72"/>
      <c r="Q3233" s="72"/>
      <c r="R3233" s="136"/>
      <c r="S3233" s="72"/>
      <c r="T3233" s="72"/>
      <c r="U3233" s="72"/>
      <c r="V3233" s="136"/>
      <c r="W3233" s="72"/>
      <c r="X3233" s="72"/>
      <c r="Y3233" s="72"/>
      <c r="Z3233" s="72"/>
      <c r="AA3233" s="72"/>
    </row>
    <row r="3234" spans="1:27" ht="60" x14ac:dyDescent="0.25">
      <c r="A3234" s="3">
        <v>11</v>
      </c>
      <c r="B3234" s="2" t="s">
        <v>1710</v>
      </c>
      <c r="C3234" s="339">
        <v>432</v>
      </c>
      <c r="D3234" s="3" t="s">
        <v>9</v>
      </c>
      <c r="E3234" s="276">
        <v>105</v>
      </c>
      <c r="F3234" s="276">
        <f t="shared" si="87"/>
        <v>45360</v>
      </c>
      <c r="O3234" s="136"/>
      <c r="P3234" s="72"/>
      <c r="Q3234" s="72"/>
      <c r="S3234" s="136"/>
      <c r="T3234" s="72"/>
      <c r="U3234" s="72"/>
      <c r="V3234" s="136"/>
      <c r="W3234" s="72"/>
      <c r="X3234" s="136"/>
      <c r="Y3234" s="72"/>
      <c r="AA3234" s="72"/>
    </row>
    <row r="3235" spans="1:27" x14ac:dyDescent="0.25">
      <c r="A3235" s="3">
        <v>12</v>
      </c>
      <c r="B3235" s="2" t="s">
        <v>1711</v>
      </c>
      <c r="C3235" s="339">
        <v>5</v>
      </c>
      <c r="D3235" s="3" t="s">
        <v>33</v>
      </c>
      <c r="E3235" s="276">
        <v>120</v>
      </c>
      <c r="F3235" s="276">
        <f t="shared" si="87"/>
        <v>600</v>
      </c>
      <c r="N3235" s="136"/>
      <c r="O3235" s="72"/>
      <c r="P3235" s="72"/>
      <c r="Q3235" s="72"/>
      <c r="R3235" s="136"/>
      <c r="S3235" s="72"/>
      <c r="T3235" s="72"/>
      <c r="U3235" s="72"/>
      <c r="V3235" s="136"/>
      <c r="W3235" s="72"/>
      <c r="AA3235" s="72"/>
    </row>
    <row r="3236" spans="1:27" x14ac:dyDescent="0.25">
      <c r="A3236" s="3">
        <v>13</v>
      </c>
      <c r="B3236" s="2" t="s">
        <v>1761</v>
      </c>
      <c r="C3236" s="339">
        <v>20</v>
      </c>
      <c r="D3236" s="3" t="s">
        <v>9</v>
      </c>
      <c r="E3236" s="276">
        <v>130</v>
      </c>
      <c r="F3236" s="276">
        <f t="shared" si="87"/>
        <v>2600</v>
      </c>
    </row>
    <row r="3237" spans="1:27" x14ac:dyDescent="0.25">
      <c r="A3237" s="3">
        <v>14</v>
      </c>
      <c r="B3237" s="2" t="s">
        <v>1762</v>
      </c>
      <c r="C3237" s="339">
        <v>8</v>
      </c>
      <c r="D3237" s="3" t="s">
        <v>1763</v>
      </c>
      <c r="E3237" s="276">
        <v>100</v>
      </c>
      <c r="F3237" s="276">
        <f t="shared" si="87"/>
        <v>800</v>
      </c>
    </row>
    <row r="3238" spans="1:27" x14ac:dyDescent="0.25">
      <c r="A3238" s="3">
        <v>15</v>
      </c>
      <c r="B3238" s="2" t="s">
        <v>1712</v>
      </c>
      <c r="C3238" s="339">
        <v>44</v>
      </c>
      <c r="D3238" s="3" t="s">
        <v>33</v>
      </c>
      <c r="E3238" s="276">
        <v>190</v>
      </c>
      <c r="F3238" s="276">
        <f t="shared" si="87"/>
        <v>8360</v>
      </c>
    </row>
    <row r="3239" spans="1:27" x14ac:dyDescent="0.25">
      <c r="A3239" s="3">
        <v>16</v>
      </c>
      <c r="B3239" s="2" t="s">
        <v>1761</v>
      </c>
      <c r="C3239" s="339">
        <v>88</v>
      </c>
      <c r="D3239" s="3" t="s">
        <v>9</v>
      </c>
      <c r="E3239" s="276">
        <v>130</v>
      </c>
      <c r="F3239" s="276">
        <f t="shared" si="87"/>
        <v>11440</v>
      </c>
    </row>
    <row r="3240" spans="1:27" x14ac:dyDescent="0.25">
      <c r="A3240" s="3">
        <v>17</v>
      </c>
      <c r="B3240" s="2" t="s">
        <v>1762</v>
      </c>
      <c r="C3240" s="339">
        <v>24</v>
      </c>
      <c r="D3240" s="3" t="s">
        <v>1763</v>
      </c>
      <c r="E3240" s="276">
        <v>100</v>
      </c>
      <c r="F3240" s="276">
        <f t="shared" si="87"/>
        <v>2400</v>
      </c>
    </row>
    <row r="3241" spans="1:27" ht="45" x14ac:dyDescent="0.25">
      <c r="A3241" s="3">
        <v>18</v>
      </c>
      <c r="B3241" s="2" t="s">
        <v>1713</v>
      </c>
      <c r="C3241" s="339">
        <v>44</v>
      </c>
      <c r="D3241" s="3" t="s">
        <v>33</v>
      </c>
      <c r="E3241" s="276">
        <v>300</v>
      </c>
      <c r="F3241" s="276">
        <f t="shared" si="87"/>
        <v>13200</v>
      </c>
    </row>
    <row r="3242" spans="1:27" x14ac:dyDescent="0.25">
      <c r="A3242" s="3">
        <v>19</v>
      </c>
      <c r="B3242" s="2" t="s">
        <v>1761</v>
      </c>
      <c r="C3242" s="339">
        <v>110</v>
      </c>
      <c r="D3242" s="3" t="s">
        <v>33</v>
      </c>
      <c r="E3242" s="276">
        <v>130</v>
      </c>
      <c r="F3242" s="276">
        <f t="shared" si="87"/>
        <v>14300</v>
      </c>
    </row>
    <row r="3243" spans="1:27" x14ac:dyDescent="0.25">
      <c r="A3243" s="3">
        <v>20</v>
      </c>
      <c r="B3243" s="2" t="s">
        <v>1762</v>
      </c>
      <c r="C3243" s="339">
        <v>24</v>
      </c>
      <c r="D3243" s="3" t="s">
        <v>1763</v>
      </c>
      <c r="E3243" s="276">
        <v>100</v>
      </c>
      <c r="F3243" s="276">
        <f t="shared" si="87"/>
        <v>2400</v>
      </c>
    </row>
    <row r="3244" spans="1:27" ht="30" x14ac:dyDescent="0.25">
      <c r="A3244" s="3">
        <v>21</v>
      </c>
      <c r="B3244" s="2" t="s">
        <v>1714</v>
      </c>
      <c r="C3244" s="339">
        <v>25</v>
      </c>
      <c r="D3244" s="3" t="s">
        <v>9</v>
      </c>
      <c r="E3244" s="276">
        <v>70</v>
      </c>
      <c r="F3244" s="276">
        <f t="shared" si="87"/>
        <v>1750</v>
      </c>
    </row>
    <row r="3245" spans="1:27" x14ac:dyDescent="0.25">
      <c r="A3245" s="3">
        <v>22</v>
      </c>
      <c r="B3245" s="2" t="s">
        <v>1761</v>
      </c>
      <c r="C3245" s="339">
        <v>12</v>
      </c>
      <c r="D3245" s="3" t="s">
        <v>33</v>
      </c>
      <c r="E3245" s="276">
        <v>130</v>
      </c>
      <c r="F3245" s="276">
        <f t="shared" si="87"/>
        <v>1560</v>
      </c>
    </row>
    <row r="3246" spans="1:27" x14ac:dyDescent="0.25">
      <c r="A3246" s="3">
        <v>23</v>
      </c>
      <c r="B3246" s="2" t="s">
        <v>1762</v>
      </c>
      <c r="C3246" s="339">
        <v>21.8</v>
      </c>
      <c r="D3246" s="3" t="s">
        <v>1763</v>
      </c>
      <c r="E3246" s="276">
        <v>100</v>
      </c>
      <c r="F3246" s="276">
        <f t="shared" si="87"/>
        <v>2180</v>
      </c>
    </row>
    <row r="3247" spans="1:27" ht="30" x14ac:dyDescent="0.25">
      <c r="A3247" s="3">
        <v>24</v>
      </c>
      <c r="B3247" s="2" t="s">
        <v>1888</v>
      </c>
      <c r="C3247" s="339">
        <v>78</v>
      </c>
      <c r="D3247" s="3" t="s">
        <v>32</v>
      </c>
      <c r="E3247" s="276">
        <v>300</v>
      </c>
      <c r="F3247" s="276">
        <f t="shared" si="87"/>
        <v>23400</v>
      </c>
    </row>
    <row r="3248" spans="1:27" x14ac:dyDescent="0.25">
      <c r="A3248" s="3">
        <v>25</v>
      </c>
      <c r="B3248" s="2" t="s">
        <v>1279</v>
      </c>
      <c r="C3248" s="339">
        <v>234</v>
      </c>
      <c r="D3248" s="3" t="s">
        <v>9</v>
      </c>
      <c r="E3248" s="276">
        <v>90</v>
      </c>
      <c r="F3248" s="276">
        <f t="shared" si="87"/>
        <v>21060</v>
      </c>
    </row>
    <row r="3249" spans="1:6" x14ac:dyDescent="0.25">
      <c r="A3249" s="3">
        <v>26</v>
      </c>
      <c r="B3249" s="2" t="s">
        <v>1795</v>
      </c>
      <c r="C3249" s="339">
        <v>234</v>
      </c>
      <c r="D3249" s="3" t="s">
        <v>9</v>
      </c>
      <c r="E3249" s="276">
        <v>30</v>
      </c>
      <c r="F3249" s="276">
        <f t="shared" si="87"/>
        <v>7020</v>
      </c>
    </row>
    <row r="3250" spans="1:6" ht="30" x14ac:dyDescent="0.25">
      <c r="A3250" s="3">
        <v>27</v>
      </c>
      <c r="B3250" s="2" t="s">
        <v>1715</v>
      </c>
      <c r="C3250" s="339">
        <v>468</v>
      </c>
      <c r="D3250" s="3" t="s">
        <v>9</v>
      </c>
      <c r="E3250" s="276">
        <v>95</v>
      </c>
      <c r="F3250" s="276">
        <f t="shared" si="87"/>
        <v>44460</v>
      </c>
    </row>
    <row r="3251" spans="1:6" ht="30" x14ac:dyDescent="0.25">
      <c r="A3251" s="3">
        <v>28</v>
      </c>
      <c r="B3251" s="2" t="s">
        <v>1716</v>
      </c>
      <c r="C3251" s="339">
        <v>476</v>
      </c>
      <c r="D3251" s="3" t="s">
        <v>9</v>
      </c>
      <c r="E3251" s="276">
        <v>75</v>
      </c>
      <c r="F3251" s="276">
        <f t="shared" si="87"/>
        <v>35700</v>
      </c>
    </row>
    <row r="3252" spans="1:6" ht="30" x14ac:dyDescent="0.25">
      <c r="A3252" s="3">
        <v>29</v>
      </c>
      <c r="B3252" s="2" t="s">
        <v>1687</v>
      </c>
      <c r="C3252" s="339">
        <v>468</v>
      </c>
      <c r="D3252" s="3" t="s">
        <v>9</v>
      </c>
      <c r="E3252" s="276">
        <v>35</v>
      </c>
      <c r="F3252" s="276">
        <f t="shared" si="87"/>
        <v>16380</v>
      </c>
    </row>
    <row r="3253" spans="1:6" ht="45" x14ac:dyDescent="0.25">
      <c r="A3253" s="3">
        <v>30</v>
      </c>
      <c r="B3253" s="2" t="s">
        <v>1686</v>
      </c>
      <c r="C3253" s="339">
        <v>476</v>
      </c>
      <c r="D3253" s="3" t="s">
        <v>9</v>
      </c>
      <c r="E3253" s="276">
        <v>35</v>
      </c>
      <c r="F3253" s="276">
        <f t="shared" si="87"/>
        <v>16660</v>
      </c>
    </row>
    <row r="3254" spans="1:6" ht="30" x14ac:dyDescent="0.25">
      <c r="A3254" s="3">
        <v>31</v>
      </c>
      <c r="B3254" s="2" t="s">
        <v>1717</v>
      </c>
      <c r="C3254" s="339">
        <v>408</v>
      </c>
      <c r="D3254" s="3" t="s">
        <v>9</v>
      </c>
      <c r="E3254" s="276">
        <v>180</v>
      </c>
      <c r="F3254" s="276">
        <f t="shared" si="87"/>
        <v>73440</v>
      </c>
    </row>
    <row r="3255" spans="1:6" ht="30" x14ac:dyDescent="0.25">
      <c r="A3255" s="3">
        <v>32</v>
      </c>
      <c r="B3255" s="2" t="s">
        <v>1718</v>
      </c>
      <c r="C3255" s="339">
        <v>408</v>
      </c>
      <c r="D3255" s="3" t="s">
        <v>9</v>
      </c>
      <c r="E3255" s="276">
        <v>190</v>
      </c>
      <c r="F3255" s="276">
        <f t="shared" si="87"/>
        <v>77520</v>
      </c>
    </row>
    <row r="3256" spans="1:6" x14ac:dyDescent="0.25">
      <c r="A3256" s="3">
        <v>33</v>
      </c>
      <c r="B3256" s="2" t="s">
        <v>1685</v>
      </c>
      <c r="C3256" s="339">
        <v>408</v>
      </c>
      <c r="D3256" s="3" t="s">
        <v>9</v>
      </c>
      <c r="E3256" s="276">
        <v>52</v>
      </c>
      <c r="F3256" s="276">
        <f t="shared" si="87"/>
        <v>21216</v>
      </c>
    </row>
    <row r="3257" spans="1:6" x14ac:dyDescent="0.25">
      <c r="A3257" s="3">
        <v>34</v>
      </c>
      <c r="B3257" s="2" t="s">
        <v>1698</v>
      </c>
      <c r="C3257" s="339">
        <v>60</v>
      </c>
      <c r="D3257" s="3" t="s">
        <v>33</v>
      </c>
      <c r="E3257" s="276">
        <v>220</v>
      </c>
      <c r="F3257" s="276">
        <f t="shared" si="87"/>
        <v>13200</v>
      </c>
    </row>
    <row r="3258" spans="1:6" x14ac:dyDescent="0.25">
      <c r="A3258" s="3">
        <v>35</v>
      </c>
      <c r="B3258" s="2" t="s">
        <v>1684</v>
      </c>
      <c r="C3258" s="339">
        <v>60</v>
      </c>
      <c r="D3258" s="3" t="s">
        <v>33</v>
      </c>
      <c r="E3258" s="276">
        <v>45</v>
      </c>
      <c r="F3258" s="276">
        <f t="shared" si="87"/>
        <v>2700</v>
      </c>
    </row>
    <row r="3259" spans="1:6" ht="30" x14ac:dyDescent="0.25">
      <c r="A3259" s="3">
        <v>36</v>
      </c>
      <c r="B3259" s="2" t="s">
        <v>1719</v>
      </c>
      <c r="C3259" s="339">
        <v>1</v>
      </c>
      <c r="D3259" s="3" t="s">
        <v>11</v>
      </c>
      <c r="E3259" s="276">
        <v>6500</v>
      </c>
      <c r="F3259" s="276">
        <f t="shared" si="87"/>
        <v>6500</v>
      </c>
    </row>
    <row r="3260" spans="1:6" x14ac:dyDescent="0.25">
      <c r="A3260" s="3">
        <v>37</v>
      </c>
      <c r="B3260" s="2" t="s">
        <v>1681</v>
      </c>
      <c r="C3260" s="339">
        <v>234</v>
      </c>
      <c r="D3260" s="3" t="s">
        <v>9</v>
      </c>
      <c r="E3260" s="276">
        <v>30</v>
      </c>
      <c r="F3260" s="276">
        <f t="shared" si="87"/>
        <v>7020</v>
      </c>
    </row>
    <row r="3261" spans="1:6" ht="30" x14ac:dyDescent="0.25">
      <c r="A3261" s="3">
        <v>38</v>
      </c>
      <c r="B3261" s="2" t="s">
        <v>1680</v>
      </c>
      <c r="C3261" s="339">
        <v>18</v>
      </c>
      <c r="D3261" s="3" t="s">
        <v>33</v>
      </c>
      <c r="E3261" s="276">
        <v>130</v>
      </c>
      <c r="F3261" s="276">
        <f t="shared" si="87"/>
        <v>2340</v>
      </c>
    </row>
    <row r="3262" spans="1:6" x14ac:dyDescent="0.25">
      <c r="A3262" s="3">
        <v>39</v>
      </c>
      <c r="B3262" s="2" t="s">
        <v>1889</v>
      </c>
      <c r="C3262" s="339">
        <v>104</v>
      </c>
      <c r="D3262" s="3" t="s">
        <v>9</v>
      </c>
      <c r="E3262" s="276">
        <v>105</v>
      </c>
      <c r="F3262" s="276">
        <f t="shared" si="87"/>
        <v>10920</v>
      </c>
    </row>
    <row r="3263" spans="1:6" x14ac:dyDescent="0.25">
      <c r="A3263" s="3">
        <v>40</v>
      </c>
      <c r="B3263" s="2" t="s">
        <v>1676</v>
      </c>
      <c r="C3263" s="339">
        <v>47.6</v>
      </c>
      <c r="D3263" s="3" t="s">
        <v>1873</v>
      </c>
      <c r="E3263" s="276">
        <v>300</v>
      </c>
      <c r="F3263" s="276">
        <f t="shared" si="87"/>
        <v>14280</v>
      </c>
    </row>
    <row r="3264" spans="1:6" x14ac:dyDescent="0.25">
      <c r="A3264" s="3">
        <v>41</v>
      </c>
      <c r="B3264" s="2" t="s">
        <v>1677</v>
      </c>
      <c r="C3264" s="339">
        <v>247</v>
      </c>
      <c r="D3264" s="3" t="s">
        <v>9</v>
      </c>
      <c r="E3264" s="276">
        <v>90</v>
      </c>
      <c r="F3264" s="276">
        <f t="shared" si="87"/>
        <v>22230</v>
      </c>
    </row>
    <row r="3265" spans="1:6" x14ac:dyDescent="0.25">
      <c r="A3265" s="3">
        <v>42</v>
      </c>
      <c r="B3265" s="14" t="s">
        <v>1798</v>
      </c>
      <c r="C3265" s="316">
        <v>53</v>
      </c>
      <c r="D3265" s="15" t="s">
        <v>33</v>
      </c>
      <c r="E3265" s="16">
        <v>280</v>
      </c>
      <c r="F3265" s="276">
        <f t="shared" si="87"/>
        <v>14840</v>
      </c>
    </row>
    <row r="3266" spans="1:6" x14ac:dyDescent="0.25">
      <c r="A3266" s="3">
        <v>43</v>
      </c>
      <c r="B3266" s="14" t="s">
        <v>1799</v>
      </c>
      <c r="C3266" s="316">
        <v>53</v>
      </c>
      <c r="D3266" s="15" t="s">
        <v>33</v>
      </c>
      <c r="E3266" s="16">
        <v>205</v>
      </c>
      <c r="F3266" s="276">
        <f t="shared" si="87"/>
        <v>10865</v>
      </c>
    </row>
    <row r="3267" spans="1:6" x14ac:dyDescent="0.25">
      <c r="A3267" s="3"/>
      <c r="F3267" s="276"/>
    </row>
    <row r="3268" spans="1:6" x14ac:dyDescent="0.25">
      <c r="A3268" s="3"/>
      <c r="B3268" s="4" t="s">
        <v>330</v>
      </c>
      <c r="C3268" s="339"/>
      <c r="D3268" s="3"/>
      <c r="E3268" s="276"/>
      <c r="F3268" s="276"/>
    </row>
    <row r="3269" spans="1:6" ht="45" x14ac:dyDescent="0.25">
      <c r="A3269" s="3">
        <v>44</v>
      </c>
      <c r="B3269" s="2" t="s">
        <v>1038</v>
      </c>
      <c r="C3269" s="339">
        <v>1</v>
      </c>
      <c r="D3269" s="3" t="s">
        <v>407</v>
      </c>
      <c r="E3269" s="276">
        <v>26500</v>
      </c>
      <c r="F3269" s="276">
        <f t="shared" si="87"/>
        <v>26500</v>
      </c>
    </row>
    <row r="3270" spans="1:6" ht="30" x14ac:dyDescent="0.25">
      <c r="A3270" s="3">
        <v>45</v>
      </c>
      <c r="B3270" s="2" t="s">
        <v>1031</v>
      </c>
      <c r="C3270" s="339">
        <v>1</v>
      </c>
      <c r="D3270" s="3" t="s">
        <v>407</v>
      </c>
      <c r="E3270" s="276">
        <v>3500</v>
      </c>
      <c r="F3270" s="276">
        <f t="shared" si="87"/>
        <v>3500</v>
      </c>
    </row>
    <row r="3271" spans="1:6" x14ac:dyDescent="0.25">
      <c r="A3271" s="3">
        <v>46</v>
      </c>
      <c r="B3271" s="2" t="s">
        <v>1032</v>
      </c>
      <c r="C3271" s="339">
        <v>1</v>
      </c>
      <c r="D3271" s="3" t="s">
        <v>407</v>
      </c>
      <c r="E3271" s="276">
        <v>8500</v>
      </c>
      <c r="F3271" s="276">
        <f t="shared" si="87"/>
        <v>8500</v>
      </c>
    </row>
    <row r="3272" spans="1:6" x14ac:dyDescent="0.25">
      <c r="A3272" s="3">
        <v>47</v>
      </c>
      <c r="B3272" s="2" t="s">
        <v>1033</v>
      </c>
      <c r="C3272" s="339">
        <v>80</v>
      </c>
      <c r="D3272" s="3" t="s">
        <v>9</v>
      </c>
      <c r="E3272" s="276">
        <v>115</v>
      </c>
      <c r="F3272" s="276">
        <f t="shared" si="87"/>
        <v>9200</v>
      </c>
    </row>
    <row r="3273" spans="1:6" x14ac:dyDescent="0.25">
      <c r="A3273" s="3">
        <v>48</v>
      </c>
      <c r="B3273" s="2" t="s">
        <v>998</v>
      </c>
      <c r="C3273" s="339">
        <v>334</v>
      </c>
      <c r="D3273" s="3" t="s">
        <v>9</v>
      </c>
      <c r="E3273" s="276">
        <v>95</v>
      </c>
      <c r="F3273" s="276">
        <f t="shared" si="87"/>
        <v>31730</v>
      </c>
    </row>
    <row r="3274" spans="1:6" x14ac:dyDescent="0.25">
      <c r="A3274" s="3">
        <v>49</v>
      </c>
      <c r="B3274" s="2" t="s">
        <v>1036</v>
      </c>
      <c r="C3274" s="339">
        <v>284</v>
      </c>
      <c r="D3274" s="3" t="s">
        <v>9</v>
      </c>
      <c r="E3274" s="276">
        <v>130</v>
      </c>
      <c r="F3274" s="276">
        <f t="shared" si="87"/>
        <v>36920</v>
      </c>
    </row>
    <row r="3275" spans="1:6" x14ac:dyDescent="0.25">
      <c r="A3275" s="3">
        <v>50</v>
      </c>
      <c r="B3275" s="2" t="s">
        <v>1034</v>
      </c>
      <c r="C3275" s="339">
        <v>42.5</v>
      </c>
      <c r="D3275" s="3" t="s">
        <v>9</v>
      </c>
      <c r="E3275" s="276">
        <v>100</v>
      </c>
      <c r="F3275" s="276">
        <f t="shared" si="87"/>
        <v>4250</v>
      </c>
    </row>
    <row r="3276" spans="1:6" x14ac:dyDescent="0.25">
      <c r="A3276" s="3">
        <v>51</v>
      </c>
      <c r="B3276" s="2" t="s">
        <v>1035</v>
      </c>
      <c r="C3276" s="339">
        <v>42.5</v>
      </c>
      <c r="D3276" s="3" t="s">
        <v>9</v>
      </c>
      <c r="E3276" s="276">
        <v>75</v>
      </c>
      <c r="F3276" s="276">
        <f t="shared" si="87"/>
        <v>3187.5</v>
      </c>
    </row>
    <row r="3277" spans="1:6" x14ac:dyDescent="0.25">
      <c r="A3277" s="3">
        <v>52</v>
      </c>
      <c r="B3277" s="2" t="s">
        <v>1037</v>
      </c>
      <c r="C3277" s="339">
        <v>42.5</v>
      </c>
      <c r="D3277" s="3" t="s">
        <v>9</v>
      </c>
      <c r="E3277" s="276">
        <v>130</v>
      </c>
      <c r="F3277" s="276">
        <f t="shared" si="87"/>
        <v>5525</v>
      </c>
    </row>
    <row r="3278" spans="1:6" ht="30" x14ac:dyDescent="0.25">
      <c r="A3278" s="3">
        <v>53</v>
      </c>
      <c r="B3278" s="2" t="s">
        <v>1760</v>
      </c>
      <c r="C3278" s="339">
        <v>1</v>
      </c>
      <c r="D3278" s="3" t="s">
        <v>407</v>
      </c>
      <c r="E3278" s="276">
        <v>8500</v>
      </c>
      <c r="F3278" s="276">
        <f t="shared" si="87"/>
        <v>8500</v>
      </c>
    </row>
    <row r="3279" spans="1:6" x14ac:dyDescent="0.25">
      <c r="A3279" s="3"/>
      <c r="B3279" s="2"/>
      <c r="C3279" s="339"/>
      <c r="D3279" s="3"/>
      <c r="E3279" s="276"/>
      <c r="F3279" s="276"/>
    </row>
    <row r="3280" spans="1:6" x14ac:dyDescent="0.25">
      <c r="A3280" s="3"/>
      <c r="B3280" s="4" t="s">
        <v>10</v>
      </c>
      <c r="C3280" s="338"/>
      <c r="D3280" s="1"/>
      <c r="E3280" s="275"/>
      <c r="F3280" s="275">
        <f>SUM(F3224:F3278)</f>
        <v>801071.5</v>
      </c>
    </row>
    <row r="3281" spans="1:16" x14ac:dyDescent="0.25">
      <c r="A3281" s="3"/>
      <c r="B3281" s="2"/>
      <c r="C3281" s="339"/>
      <c r="D3281" s="3"/>
      <c r="E3281" s="276"/>
      <c r="F3281" s="276"/>
    </row>
    <row r="3282" spans="1:16" x14ac:dyDescent="0.25">
      <c r="A3282" s="1" t="s">
        <v>0</v>
      </c>
      <c r="B3282" s="1" t="s">
        <v>1</v>
      </c>
      <c r="C3282" s="338" t="s">
        <v>2</v>
      </c>
      <c r="D3282" s="1" t="s">
        <v>3</v>
      </c>
      <c r="E3282" s="275" t="s">
        <v>4</v>
      </c>
      <c r="F3282" s="275" t="s">
        <v>5</v>
      </c>
    </row>
    <row r="3283" spans="1:16" ht="60" x14ac:dyDescent="0.25">
      <c r="A3283" s="1"/>
      <c r="B3283" s="27" t="s">
        <v>2259</v>
      </c>
      <c r="C3283" s="326">
        <v>6699</v>
      </c>
      <c r="D3283" s="25" t="s">
        <v>9</v>
      </c>
      <c r="E3283" s="259">
        <v>35</v>
      </c>
      <c r="F3283" s="259">
        <f>E3283*C3283</f>
        <v>234465</v>
      </c>
    </row>
    <row r="3284" spans="1:16" ht="60" x14ac:dyDescent="0.25">
      <c r="A3284" s="1"/>
      <c r="B3284" s="27" t="s">
        <v>2260</v>
      </c>
      <c r="C3284" s="326">
        <v>2303</v>
      </c>
      <c r="D3284" s="25" t="s">
        <v>9</v>
      </c>
      <c r="E3284" s="259">
        <v>15</v>
      </c>
      <c r="F3284" s="259">
        <f>E3284*C3284</f>
        <v>34545</v>
      </c>
    </row>
    <row r="3285" spans="1:16" ht="45" x14ac:dyDescent="0.25">
      <c r="A3285" s="13" t="s">
        <v>1618</v>
      </c>
      <c r="B3285" s="14" t="s">
        <v>2262</v>
      </c>
      <c r="C3285" s="316">
        <v>6699</v>
      </c>
      <c r="D3285" s="15" t="s">
        <v>9</v>
      </c>
      <c r="E3285" s="16">
        <v>250</v>
      </c>
      <c r="F3285" s="16">
        <f t="shared" ref="F3285:F3296" si="88">E3285*C3285</f>
        <v>1674750</v>
      </c>
    </row>
    <row r="3286" spans="1:16" ht="30" x14ac:dyDescent="0.25">
      <c r="A3286" s="13" t="s">
        <v>1620</v>
      </c>
      <c r="B3286" s="14" t="s">
        <v>2261</v>
      </c>
      <c r="C3286" s="316">
        <v>215</v>
      </c>
      <c r="D3286" s="15" t="s">
        <v>33</v>
      </c>
      <c r="E3286" s="16">
        <v>400</v>
      </c>
      <c r="F3286" s="16">
        <f t="shared" si="88"/>
        <v>86000</v>
      </c>
    </row>
    <row r="3287" spans="1:16" ht="30" x14ac:dyDescent="0.25">
      <c r="A3287" s="13" t="s">
        <v>1621</v>
      </c>
      <c r="B3287" s="14" t="s">
        <v>2268</v>
      </c>
      <c r="C3287" s="316">
        <v>1458</v>
      </c>
      <c r="D3287" s="15" t="s">
        <v>9</v>
      </c>
      <c r="E3287" s="16">
        <v>320</v>
      </c>
      <c r="F3287" s="16">
        <f t="shared" si="88"/>
        <v>466560</v>
      </c>
    </row>
    <row r="3288" spans="1:16" ht="45" x14ac:dyDescent="0.25">
      <c r="A3288" s="13" t="s">
        <v>1623</v>
      </c>
      <c r="B3288" s="14" t="s">
        <v>2267</v>
      </c>
      <c r="C3288" s="316">
        <v>263</v>
      </c>
      <c r="D3288" s="15" t="s">
        <v>33</v>
      </c>
      <c r="E3288" s="16">
        <v>480</v>
      </c>
      <c r="F3288" s="16">
        <f t="shared" si="88"/>
        <v>126240</v>
      </c>
    </row>
    <row r="3289" spans="1:16" x14ac:dyDescent="0.25">
      <c r="A3289" s="13" t="s">
        <v>1631</v>
      </c>
      <c r="B3289" s="14" t="s">
        <v>2263</v>
      </c>
      <c r="C3289" s="316">
        <v>928</v>
      </c>
      <c r="D3289" s="15" t="s">
        <v>33</v>
      </c>
      <c r="E3289" s="16">
        <v>660</v>
      </c>
      <c r="F3289" s="16">
        <f t="shared" si="88"/>
        <v>612480</v>
      </c>
    </row>
    <row r="3290" spans="1:16" x14ac:dyDescent="0.25">
      <c r="A3290" s="13" t="s">
        <v>1632</v>
      </c>
      <c r="B3290" s="14" t="s">
        <v>2264</v>
      </c>
      <c r="C3290" s="316">
        <v>3850</v>
      </c>
      <c r="D3290" s="15" t="s">
        <v>33</v>
      </c>
      <c r="E3290" s="16">
        <v>380</v>
      </c>
      <c r="F3290" s="16">
        <f t="shared" si="88"/>
        <v>1463000</v>
      </c>
      <c r="L3290" s="33" t="s">
        <v>1891</v>
      </c>
      <c r="M3290" s="215">
        <v>5406</v>
      </c>
      <c r="N3290" s="33" t="s">
        <v>1890</v>
      </c>
      <c r="O3290" s="33">
        <v>250</v>
      </c>
    </row>
    <row r="3291" spans="1:16" x14ac:dyDescent="0.25">
      <c r="A3291" s="13" t="s">
        <v>1633</v>
      </c>
      <c r="B3291" s="14" t="s">
        <v>2265</v>
      </c>
      <c r="C3291" s="316">
        <v>100</v>
      </c>
      <c r="D3291" s="15" t="s">
        <v>33</v>
      </c>
      <c r="E3291" s="16">
        <v>1450</v>
      </c>
      <c r="F3291" s="16">
        <f t="shared" si="88"/>
        <v>145000</v>
      </c>
      <c r="L3291" s="33" t="s">
        <v>1892</v>
      </c>
    </row>
    <row r="3292" spans="1:16" x14ac:dyDescent="0.25">
      <c r="A3292" s="13" t="s">
        <v>1634</v>
      </c>
      <c r="B3292" s="14" t="s">
        <v>2266</v>
      </c>
      <c r="C3292" s="316">
        <v>561</v>
      </c>
      <c r="D3292" s="15" t="s">
        <v>33</v>
      </c>
      <c r="E3292" s="16">
        <v>200</v>
      </c>
      <c r="F3292" s="16">
        <f t="shared" si="88"/>
        <v>112200</v>
      </c>
    </row>
    <row r="3294" spans="1:16" ht="15.75" x14ac:dyDescent="0.25">
      <c r="B3294" s="35" t="s">
        <v>10</v>
      </c>
      <c r="C3294" s="317"/>
      <c r="D3294" s="36"/>
      <c r="E3294" s="240"/>
      <c r="F3294" s="240">
        <f>SUM(F3285:F3292)</f>
        <v>4686230</v>
      </c>
      <c r="N3294" s="33">
        <v>282.24</v>
      </c>
      <c r="O3294" s="33">
        <v>59.29</v>
      </c>
      <c r="P3294" s="33">
        <v>129.47999999999999</v>
      </c>
    </row>
    <row r="3295" spans="1:16" x14ac:dyDescent="0.25">
      <c r="N3295" s="33">
        <v>278.88</v>
      </c>
      <c r="O3295" s="33">
        <v>132.03</v>
      </c>
    </row>
    <row r="3296" spans="1:16" ht="15.75" thickBot="1" x14ac:dyDescent="0.3">
      <c r="F3296" s="16">
        <f t="shared" si="88"/>
        <v>0</v>
      </c>
      <c r="N3296" s="33">
        <v>63.08</v>
      </c>
      <c r="O3296" s="33">
        <v>133.6</v>
      </c>
    </row>
    <row r="3297" spans="1:17" ht="31.5" x14ac:dyDescent="0.25">
      <c r="A3297" s="435"/>
      <c r="B3297" s="137" t="s">
        <v>1893</v>
      </c>
      <c r="C3297" s="473" t="s">
        <v>1895</v>
      </c>
      <c r="D3297" s="474"/>
      <c r="E3297" s="474"/>
      <c r="F3297" s="475"/>
      <c r="N3297" s="33">
        <v>59.28</v>
      </c>
      <c r="O3297" s="33">
        <v>127.14</v>
      </c>
    </row>
    <row r="3298" spans="1:17" x14ac:dyDescent="0.25">
      <c r="A3298" s="469"/>
      <c r="B3298" s="138"/>
      <c r="C3298" s="476" t="s">
        <v>2370</v>
      </c>
      <c r="D3298" s="477"/>
      <c r="E3298" s="477"/>
      <c r="F3298" s="478"/>
      <c r="N3298" s="33">
        <v>63.08</v>
      </c>
      <c r="O3298" s="33">
        <v>129.47999999999999</v>
      </c>
      <c r="Q3298" s="33">
        <f>SUM(N3294:N3298,O3294:O3298,P3294:P3298)</f>
        <v>1457.5800000000002</v>
      </c>
    </row>
    <row r="3299" spans="1:17" ht="15.75" thickBot="1" x14ac:dyDescent="0.3">
      <c r="A3299" s="469"/>
      <c r="B3299" s="139" t="s">
        <v>1894</v>
      </c>
      <c r="C3299" s="494" t="s">
        <v>1897</v>
      </c>
      <c r="D3299" s="495"/>
      <c r="E3299" s="495"/>
      <c r="F3299" s="496"/>
    </row>
    <row r="3300" spans="1:17" ht="15.75" thickBot="1" x14ac:dyDescent="0.3">
      <c r="A3300" s="470"/>
      <c r="B3300" s="140"/>
      <c r="C3300" s="497" t="s">
        <v>1898</v>
      </c>
      <c r="D3300" s="498"/>
      <c r="E3300" s="498"/>
      <c r="F3300" s="499"/>
    </row>
    <row r="3301" spans="1:17" ht="16.5" thickTop="1" thickBot="1" x14ac:dyDescent="0.3">
      <c r="A3301" s="141" t="s">
        <v>1899</v>
      </c>
      <c r="B3301" s="310" t="s">
        <v>1</v>
      </c>
      <c r="C3301" s="341" t="s">
        <v>3</v>
      </c>
      <c r="D3301" s="142" t="s">
        <v>2</v>
      </c>
      <c r="E3301" s="278" t="s">
        <v>1900</v>
      </c>
      <c r="F3301" s="279" t="s">
        <v>1427</v>
      </c>
    </row>
    <row r="3302" spans="1:17" ht="15.75" thickTop="1" x14ac:dyDescent="0.25">
      <c r="A3302" s="144"/>
      <c r="B3302" s="146"/>
      <c r="C3302" s="500"/>
      <c r="D3302" s="550"/>
      <c r="E3302" s="554"/>
      <c r="F3302" s="554"/>
    </row>
    <row r="3303" spans="1:17" x14ac:dyDescent="0.25">
      <c r="A3303" s="145" t="s">
        <v>1901</v>
      </c>
      <c r="B3303" s="147" t="s">
        <v>1902</v>
      </c>
      <c r="C3303" s="489"/>
      <c r="D3303" s="551"/>
      <c r="E3303" s="555"/>
      <c r="F3303" s="555"/>
    </row>
    <row r="3304" spans="1:17" ht="140.25" x14ac:dyDescent="0.25">
      <c r="A3304" s="149"/>
      <c r="B3304" s="150" t="s">
        <v>1903</v>
      </c>
      <c r="C3304" s="342" t="s">
        <v>48</v>
      </c>
      <c r="D3304" s="551"/>
      <c r="E3304" s="555"/>
      <c r="F3304" s="555"/>
    </row>
    <row r="3305" spans="1:17" x14ac:dyDescent="0.25">
      <c r="A3305" s="469"/>
      <c r="B3305" s="146"/>
      <c r="C3305" s="342"/>
      <c r="D3305" s="551"/>
      <c r="E3305" s="555"/>
      <c r="F3305" s="555"/>
    </row>
    <row r="3306" spans="1:17" ht="76.5" x14ac:dyDescent="0.25">
      <c r="A3306" s="469"/>
      <c r="B3306" s="150" t="s">
        <v>1904</v>
      </c>
      <c r="C3306" s="342" t="s">
        <v>48</v>
      </c>
      <c r="D3306" s="551"/>
      <c r="E3306" s="555"/>
      <c r="F3306" s="555"/>
    </row>
    <row r="3307" spans="1:17" x14ac:dyDescent="0.25">
      <c r="A3307" s="469"/>
      <c r="B3307" s="146"/>
      <c r="C3307" s="342"/>
      <c r="D3307" s="551"/>
      <c r="E3307" s="555"/>
      <c r="F3307" s="555"/>
    </row>
    <row r="3308" spans="1:17" ht="63.75" x14ac:dyDescent="0.25">
      <c r="A3308" s="469"/>
      <c r="B3308" s="150" t="s">
        <v>1905</v>
      </c>
      <c r="C3308" s="342" t="s">
        <v>48</v>
      </c>
      <c r="D3308" s="551"/>
      <c r="E3308" s="555"/>
      <c r="F3308" s="555"/>
    </row>
    <row r="3309" spans="1:17" x14ac:dyDescent="0.25">
      <c r="A3309" s="469"/>
      <c r="B3309" s="146"/>
      <c r="C3309" s="342"/>
      <c r="D3309" s="551"/>
      <c r="E3309" s="555"/>
      <c r="F3309" s="555"/>
    </row>
    <row r="3310" spans="1:17" ht="51" x14ac:dyDescent="0.25">
      <c r="A3310" s="469"/>
      <c r="B3310" s="150" t="s">
        <v>1906</v>
      </c>
      <c r="C3310" s="342" t="s">
        <v>48</v>
      </c>
      <c r="D3310" s="551"/>
      <c r="E3310" s="555"/>
      <c r="F3310" s="555"/>
    </row>
    <row r="3311" spans="1:17" x14ac:dyDescent="0.25">
      <c r="A3311" s="469"/>
      <c r="B3311" s="146"/>
      <c r="C3311" s="342"/>
      <c r="D3311" s="551"/>
      <c r="E3311" s="555"/>
      <c r="F3311" s="555"/>
    </row>
    <row r="3312" spans="1:17" ht="51.75" thickBot="1" x14ac:dyDescent="0.3">
      <c r="A3312" s="436"/>
      <c r="B3312" s="151" t="s">
        <v>1907</v>
      </c>
      <c r="C3312" s="343" t="s">
        <v>48</v>
      </c>
      <c r="D3312" s="564"/>
      <c r="E3312" s="565"/>
      <c r="F3312" s="565"/>
    </row>
    <row r="3313" spans="1:6" ht="31.5" x14ac:dyDescent="0.25">
      <c r="A3313" s="435"/>
      <c r="B3313" s="137" t="s">
        <v>1893</v>
      </c>
      <c r="C3313" s="473" t="s">
        <v>1895</v>
      </c>
      <c r="D3313" s="474"/>
      <c r="E3313" s="474"/>
      <c r="F3313" s="475"/>
    </row>
    <row r="3314" spans="1:6" x14ac:dyDescent="0.25">
      <c r="A3314" s="469"/>
      <c r="B3314" s="138"/>
      <c r="C3314" s="476" t="s">
        <v>1896</v>
      </c>
      <c r="D3314" s="477"/>
      <c r="E3314" s="477"/>
      <c r="F3314" s="478"/>
    </row>
    <row r="3315" spans="1:6" ht="15.75" thickBot="1" x14ac:dyDescent="0.3">
      <c r="A3315" s="469"/>
      <c r="B3315" s="139" t="s">
        <v>1894</v>
      </c>
      <c r="C3315" s="494" t="s">
        <v>1897</v>
      </c>
      <c r="D3315" s="495"/>
      <c r="E3315" s="495"/>
      <c r="F3315" s="496"/>
    </row>
    <row r="3316" spans="1:6" ht="15.75" thickBot="1" x14ac:dyDescent="0.3">
      <c r="A3316" s="470"/>
      <c r="B3316" s="140"/>
      <c r="C3316" s="497" t="s">
        <v>1898</v>
      </c>
      <c r="D3316" s="498"/>
      <c r="E3316" s="498"/>
      <c r="F3316" s="499"/>
    </row>
    <row r="3317" spans="1:6" ht="16.5" thickTop="1" thickBot="1" x14ac:dyDescent="0.3">
      <c r="A3317" s="141" t="s">
        <v>1899</v>
      </c>
      <c r="B3317" s="310" t="s">
        <v>1</v>
      </c>
      <c r="C3317" s="341" t="s">
        <v>3</v>
      </c>
      <c r="D3317" s="142" t="s">
        <v>2</v>
      </c>
      <c r="E3317" s="278" t="s">
        <v>1900</v>
      </c>
      <c r="F3317" s="279" t="s">
        <v>1427</v>
      </c>
    </row>
    <row r="3318" spans="1:6" ht="15.75" thickTop="1" x14ac:dyDescent="0.25">
      <c r="A3318" s="501"/>
      <c r="B3318" s="146"/>
      <c r="C3318" s="342"/>
      <c r="D3318" s="550"/>
      <c r="E3318" s="554"/>
      <c r="F3318" s="554"/>
    </row>
    <row r="3319" spans="1:6" ht="38.25" x14ac:dyDescent="0.25">
      <c r="A3319" s="469"/>
      <c r="B3319" s="150" t="s">
        <v>1908</v>
      </c>
      <c r="C3319" s="342" t="s">
        <v>48</v>
      </c>
      <c r="D3319" s="551"/>
      <c r="E3319" s="555"/>
      <c r="F3319" s="555"/>
    </row>
    <row r="3320" spans="1:6" ht="25.5" x14ac:dyDescent="0.25">
      <c r="A3320" s="469"/>
      <c r="B3320" s="150" t="s">
        <v>1909</v>
      </c>
      <c r="C3320" s="342" t="s">
        <v>48</v>
      </c>
      <c r="D3320" s="551"/>
      <c r="E3320" s="555"/>
      <c r="F3320" s="555"/>
    </row>
    <row r="3321" spans="1:6" x14ac:dyDescent="0.25">
      <c r="A3321" s="469"/>
      <c r="B3321" s="155" t="s">
        <v>1910</v>
      </c>
      <c r="C3321" s="345"/>
      <c r="D3321" s="551"/>
      <c r="E3321" s="555"/>
      <c r="F3321" s="555"/>
    </row>
    <row r="3322" spans="1:6" ht="38.25" x14ac:dyDescent="0.25">
      <c r="A3322" s="469"/>
      <c r="B3322" s="150" t="s">
        <v>1911</v>
      </c>
      <c r="C3322" s="342" t="s">
        <v>48</v>
      </c>
      <c r="D3322" s="551"/>
      <c r="E3322" s="555"/>
      <c r="F3322" s="555"/>
    </row>
    <row r="3323" spans="1:6" x14ac:dyDescent="0.25">
      <c r="A3323" s="469"/>
      <c r="B3323" s="146"/>
      <c r="C3323" s="342"/>
      <c r="D3323" s="551"/>
      <c r="E3323" s="555"/>
      <c r="F3323" s="555"/>
    </row>
    <row r="3324" spans="1:6" ht="89.25" x14ac:dyDescent="0.25">
      <c r="A3324" s="469"/>
      <c r="B3324" s="150" t="s">
        <v>1912</v>
      </c>
      <c r="C3324" s="342" t="s">
        <v>48</v>
      </c>
      <c r="D3324" s="551"/>
      <c r="E3324" s="555"/>
      <c r="F3324" s="555"/>
    </row>
    <row r="3325" spans="1:6" x14ac:dyDescent="0.25">
      <c r="A3325" s="469"/>
      <c r="B3325" s="146"/>
      <c r="C3325" s="342"/>
      <c r="D3325" s="551"/>
      <c r="E3325" s="555"/>
      <c r="F3325" s="555"/>
    </row>
    <row r="3326" spans="1:6" ht="63.75" x14ac:dyDescent="0.25">
      <c r="A3326" s="469"/>
      <c r="B3326" s="150" t="s">
        <v>1913</v>
      </c>
      <c r="C3326" s="342" t="s">
        <v>48</v>
      </c>
      <c r="D3326" s="551"/>
      <c r="E3326" s="555"/>
      <c r="F3326" s="555"/>
    </row>
    <row r="3327" spans="1:6" x14ac:dyDescent="0.25">
      <c r="A3327" s="469"/>
      <c r="B3327" s="146"/>
      <c r="C3327" s="342"/>
      <c r="D3327" s="551"/>
      <c r="E3327" s="555"/>
      <c r="F3327" s="555"/>
    </row>
    <row r="3328" spans="1:6" ht="63.75" x14ac:dyDescent="0.25">
      <c r="A3328" s="469"/>
      <c r="B3328" s="150" t="s">
        <v>1914</v>
      </c>
      <c r="C3328" s="342" t="s">
        <v>48</v>
      </c>
      <c r="D3328" s="551"/>
      <c r="E3328" s="555"/>
      <c r="F3328" s="555"/>
    </row>
    <row r="3329" spans="1:6" ht="39" thickBot="1" x14ac:dyDescent="0.3">
      <c r="A3329" s="436"/>
      <c r="B3329" s="151" t="s">
        <v>1915</v>
      </c>
      <c r="C3329" s="343" t="s">
        <v>48</v>
      </c>
      <c r="D3329" s="564"/>
      <c r="E3329" s="565"/>
      <c r="F3329" s="565"/>
    </row>
    <row r="3330" spans="1:6" ht="31.5" x14ac:dyDescent="0.25">
      <c r="A3330" s="435"/>
      <c r="B3330" s="137" t="s">
        <v>1893</v>
      </c>
      <c r="C3330" s="473" t="s">
        <v>1895</v>
      </c>
      <c r="D3330" s="474"/>
      <c r="E3330" s="474"/>
      <c r="F3330" s="475"/>
    </row>
    <row r="3331" spans="1:6" x14ac:dyDescent="0.25">
      <c r="A3331" s="469"/>
      <c r="B3331" s="138"/>
      <c r="C3331" s="476" t="s">
        <v>1896</v>
      </c>
      <c r="D3331" s="477"/>
      <c r="E3331" s="477"/>
      <c r="F3331" s="478"/>
    </row>
    <row r="3332" spans="1:6" ht="15.75" thickBot="1" x14ac:dyDescent="0.3">
      <c r="A3332" s="469"/>
      <c r="B3332" s="139" t="s">
        <v>1894</v>
      </c>
      <c r="C3332" s="494" t="s">
        <v>1897</v>
      </c>
      <c r="D3332" s="495"/>
      <c r="E3332" s="495"/>
      <c r="F3332" s="496"/>
    </row>
    <row r="3333" spans="1:6" ht="15.75" thickBot="1" x14ac:dyDescent="0.3">
      <c r="A3333" s="470"/>
      <c r="B3333" s="140"/>
      <c r="C3333" s="497" t="s">
        <v>1898</v>
      </c>
      <c r="D3333" s="498"/>
      <c r="E3333" s="498"/>
      <c r="F3333" s="499"/>
    </row>
    <row r="3334" spans="1:6" ht="16.5" thickTop="1" thickBot="1" x14ac:dyDescent="0.3">
      <c r="A3334" s="156" t="s">
        <v>1899</v>
      </c>
      <c r="B3334" s="310" t="s">
        <v>1</v>
      </c>
      <c r="C3334" s="341" t="s">
        <v>3</v>
      </c>
      <c r="D3334" s="142" t="s">
        <v>2</v>
      </c>
      <c r="E3334" s="278" t="s">
        <v>1900</v>
      </c>
      <c r="F3334" s="279" t="s">
        <v>1427</v>
      </c>
    </row>
    <row r="3335" spans="1:6" ht="15.75" thickTop="1" x14ac:dyDescent="0.25">
      <c r="A3335" s="501"/>
      <c r="B3335" s="146"/>
      <c r="C3335" s="500"/>
      <c r="D3335" s="501"/>
      <c r="E3335" s="280"/>
      <c r="F3335" s="280"/>
    </row>
    <row r="3336" spans="1:6" x14ac:dyDescent="0.25">
      <c r="A3336" s="469"/>
      <c r="B3336" s="147" t="s">
        <v>1916</v>
      </c>
      <c r="C3336" s="489"/>
      <c r="D3336" s="469"/>
      <c r="E3336" s="281"/>
      <c r="F3336" s="281"/>
    </row>
    <row r="3337" spans="1:6" ht="127.5" x14ac:dyDescent="0.25">
      <c r="A3337" s="157" t="s">
        <v>1917</v>
      </c>
      <c r="B3337" s="150" t="s">
        <v>1918</v>
      </c>
      <c r="C3337" s="342" t="s">
        <v>11</v>
      </c>
      <c r="D3337" s="158">
        <v>1</v>
      </c>
      <c r="E3337" s="281">
        <v>35000</v>
      </c>
      <c r="F3337" s="281">
        <v>35000</v>
      </c>
    </row>
    <row r="3338" spans="1:6" x14ac:dyDescent="0.25">
      <c r="A3338" s="149"/>
      <c r="B3338" s="147" t="s">
        <v>1919</v>
      </c>
      <c r="C3338" s="345"/>
      <c r="D3338" s="148"/>
      <c r="E3338" s="281"/>
      <c r="F3338" s="281"/>
    </row>
    <row r="3339" spans="1:6" ht="102" x14ac:dyDescent="0.25">
      <c r="A3339" s="157" t="s">
        <v>1920</v>
      </c>
      <c r="B3339" s="150" t="s">
        <v>1921</v>
      </c>
      <c r="C3339" s="342" t="s">
        <v>11</v>
      </c>
      <c r="D3339" s="158">
        <v>1</v>
      </c>
      <c r="E3339" s="281"/>
      <c r="F3339" s="281"/>
    </row>
    <row r="3340" spans="1:6" ht="64.5" thickBot="1" x14ac:dyDescent="0.3">
      <c r="A3340" s="159" t="s">
        <v>1922</v>
      </c>
      <c r="B3340" s="151" t="s">
        <v>1923</v>
      </c>
      <c r="C3340" s="343" t="s">
        <v>11</v>
      </c>
      <c r="D3340" s="160">
        <v>1</v>
      </c>
      <c r="E3340" s="282"/>
      <c r="F3340" s="282"/>
    </row>
    <row r="3341" spans="1:6" ht="31.5" x14ac:dyDescent="0.25">
      <c r="A3341" s="435"/>
      <c r="B3341" s="137" t="s">
        <v>1893</v>
      </c>
      <c r="C3341" s="473" t="s">
        <v>1895</v>
      </c>
      <c r="D3341" s="474"/>
      <c r="E3341" s="474"/>
      <c r="F3341" s="475"/>
    </row>
    <row r="3342" spans="1:6" x14ac:dyDescent="0.25">
      <c r="A3342" s="469"/>
      <c r="B3342" s="138"/>
      <c r="C3342" s="476" t="s">
        <v>1896</v>
      </c>
      <c r="D3342" s="477"/>
      <c r="E3342" s="477"/>
      <c r="F3342" s="478"/>
    </row>
    <row r="3343" spans="1:6" ht="15.75" thickBot="1" x14ac:dyDescent="0.3">
      <c r="A3343" s="469"/>
      <c r="B3343" s="139" t="s">
        <v>1894</v>
      </c>
      <c r="C3343" s="494" t="s">
        <v>1897</v>
      </c>
      <c r="D3343" s="495"/>
      <c r="E3343" s="495"/>
      <c r="F3343" s="496"/>
    </row>
    <row r="3344" spans="1:6" ht="15.75" thickBot="1" x14ac:dyDescent="0.3">
      <c r="A3344" s="470"/>
      <c r="B3344" s="140"/>
      <c r="C3344" s="497" t="s">
        <v>1898</v>
      </c>
      <c r="D3344" s="498"/>
      <c r="E3344" s="498"/>
      <c r="F3344" s="499"/>
    </row>
    <row r="3345" spans="1:6" ht="16.5" thickTop="1" thickBot="1" x14ac:dyDescent="0.3">
      <c r="A3345" s="156" t="s">
        <v>1899</v>
      </c>
      <c r="B3345" s="310" t="s">
        <v>1</v>
      </c>
      <c r="C3345" s="341" t="s">
        <v>3</v>
      </c>
      <c r="D3345" s="142" t="s">
        <v>2</v>
      </c>
      <c r="E3345" s="278" t="s">
        <v>1900</v>
      </c>
      <c r="F3345" s="279" t="s">
        <v>1427</v>
      </c>
    </row>
    <row r="3346" spans="1:6" ht="15.75" thickTop="1" x14ac:dyDescent="0.25">
      <c r="A3346" s="501"/>
      <c r="B3346" s="146"/>
      <c r="C3346" s="500"/>
      <c r="D3346" s="501"/>
      <c r="E3346" s="280"/>
      <c r="F3346" s="280"/>
    </row>
    <row r="3347" spans="1:6" x14ac:dyDescent="0.25">
      <c r="A3347" s="469"/>
      <c r="B3347" s="147" t="s">
        <v>1924</v>
      </c>
      <c r="C3347" s="489"/>
      <c r="D3347" s="469"/>
      <c r="E3347" s="281"/>
      <c r="F3347" s="281"/>
    </row>
    <row r="3348" spans="1:6" ht="25.5" x14ac:dyDescent="0.25">
      <c r="A3348" s="157" t="s">
        <v>1925</v>
      </c>
      <c r="B3348" s="146" t="s">
        <v>1926</v>
      </c>
      <c r="C3348" s="342" t="s">
        <v>11</v>
      </c>
      <c r="D3348" s="158">
        <v>1</v>
      </c>
      <c r="E3348" s="281"/>
      <c r="F3348" s="281"/>
    </row>
    <row r="3349" spans="1:6" ht="25.5" x14ac:dyDescent="0.25">
      <c r="A3349" s="157" t="s">
        <v>1927</v>
      </c>
      <c r="B3349" s="146" t="s">
        <v>1928</v>
      </c>
      <c r="C3349" s="342" t="s">
        <v>11</v>
      </c>
      <c r="D3349" s="158">
        <v>1</v>
      </c>
      <c r="E3349" s="281"/>
      <c r="F3349" s="281"/>
    </row>
    <row r="3350" spans="1:6" ht="51.75" thickBot="1" x14ac:dyDescent="0.3">
      <c r="A3350" s="159" t="s">
        <v>1929</v>
      </c>
      <c r="B3350" s="151" t="s">
        <v>1930</v>
      </c>
      <c r="C3350" s="343" t="s">
        <v>11</v>
      </c>
      <c r="D3350" s="160">
        <v>1</v>
      </c>
      <c r="E3350" s="282"/>
      <c r="F3350" s="282"/>
    </row>
    <row r="3351" spans="1:6" ht="26.25" thickBot="1" x14ac:dyDescent="0.3">
      <c r="A3351" s="161"/>
      <c r="B3351" s="162" t="s">
        <v>1931</v>
      </c>
      <c r="C3351" s="355"/>
      <c r="D3351" s="163"/>
      <c r="E3351" s="283" t="s">
        <v>1932</v>
      </c>
      <c r="F3351" s="284">
        <v>35000</v>
      </c>
    </row>
    <row r="3352" spans="1:6" ht="32.25" thickTop="1" x14ac:dyDescent="0.25">
      <c r="A3352" s="546"/>
      <c r="B3352" s="137" t="s">
        <v>1893</v>
      </c>
      <c r="C3352" s="476" t="s">
        <v>1895</v>
      </c>
      <c r="D3352" s="477"/>
      <c r="E3352" s="477"/>
      <c r="F3352" s="478"/>
    </row>
    <row r="3353" spans="1:6" x14ac:dyDescent="0.25">
      <c r="A3353" s="469"/>
      <c r="B3353" s="138"/>
      <c r="C3353" s="476" t="s">
        <v>1896</v>
      </c>
      <c r="D3353" s="477"/>
      <c r="E3353" s="477"/>
      <c r="F3353" s="478"/>
    </row>
    <row r="3354" spans="1:6" ht="15.75" thickBot="1" x14ac:dyDescent="0.3">
      <c r="A3354" s="469"/>
      <c r="B3354" s="139" t="s">
        <v>1894</v>
      </c>
      <c r="C3354" s="494" t="s">
        <v>1897</v>
      </c>
      <c r="D3354" s="495"/>
      <c r="E3354" s="495"/>
      <c r="F3354" s="496"/>
    </row>
    <row r="3355" spans="1:6" ht="15.75" thickBot="1" x14ac:dyDescent="0.3">
      <c r="A3355" s="470"/>
      <c r="B3355" s="140"/>
      <c r="C3355" s="538" t="s">
        <v>1898</v>
      </c>
      <c r="D3355" s="539"/>
      <c r="E3355" s="539"/>
      <c r="F3355" s="540"/>
    </row>
    <row r="3356" spans="1:6" ht="16.5" thickTop="1" thickBot="1" x14ac:dyDescent="0.3">
      <c r="A3356" s="156" t="s">
        <v>1899</v>
      </c>
      <c r="B3356" s="310" t="s">
        <v>1</v>
      </c>
      <c r="C3356" s="341" t="s">
        <v>3</v>
      </c>
      <c r="D3356" s="143" t="s">
        <v>2</v>
      </c>
      <c r="E3356" s="279" t="s">
        <v>1900</v>
      </c>
      <c r="F3356" s="279" t="s">
        <v>1427</v>
      </c>
    </row>
    <row r="3357" spans="1:6" ht="15.75" thickTop="1" x14ac:dyDescent="0.25">
      <c r="A3357" s="144"/>
      <c r="B3357" s="146"/>
      <c r="C3357" s="500"/>
      <c r="D3357" s="501"/>
      <c r="E3357" s="502"/>
      <c r="F3357" s="502"/>
    </row>
    <row r="3358" spans="1:6" x14ac:dyDescent="0.25">
      <c r="A3358" s="164" t="s">
        <v>1933</v>
      </c>
      <c r="B3358" s="155" t="s">
        <v>1934</v>
      </c>
      <c r="C3358" s="489"/>
      <c r="D3358" s="469"/>
      <c r="E3358" s="503"/>
      <c r="F3358" s="503"/>
    </row>
    <row r="3359" spans="1:6" x14ac:dyDescent="0.25">
      <c r="A3359" s="469"/>
      <c r="B3359" s="541" t="s">
        <v>1935</v>
      </c>
      <c r="C3359" s="342"/>
      <c r="D3359" s="469"/>
      <c r="E3359" s="503"/>
      <c r="F3359" s="503"/>
    </row>
    <row r="3360" spans="1:6" x14ac:dyDescent="0.25">
      <c r="A3360" s="469"/>
      <c r="B3360" s="541"/>
      <c r="C3360" s="342"/>
      <c r="D3360" s="469"/>
      <c r="E3360" s="503"/>
      <c r="F3360" s="503"/>
    </row>
    <row r="3361" spans="1:6" x14ac:dyDescent="0.25">
      <c r="A3361" s="469"/>
      <c r="B3361" s="541"/>
      <c r="C3361" s="342"/>
      <c r="D3361" s="469"/>
      <c r="E3361" s="503"/>
      <c r="F3361" s="503"/>
    </row>
    <row r="3362" spans="1:6" x14ac:dyDescent="0.25">
      <c r="A3362" s="469"/>
      <c r="B3362" s="541"/>
      <c r="C3362" s="342" t="s">
        <v>48</v>
      </c>
      <c r="D3362" s="469"/>
      <c r="E3362" s="503"/>
      <c r="F3362" s="503"/>
    </row>
    <row r="3363" spans="1:6" x14ac:dyDescent="0.25">
      <c r="A3363" s="469"/>
      <c r="B3363" s="541" t="s">
        <v>1936</v>
      </c>
      <c r="C3363" s="342"/>
      <c r="D3363" s="469"/>
      <c r="E3363" s="503"/>
      <c r="F3363" s="503"/>
    </row>
    <row r="3364" spans="1:6" x14ac:dyDescent="0.25">
      <c r="A3364" s="469"/>
      <c r="B3364" s="541"/>
      <c r="C3364" s="342"/>
      <c r="D3364" s="469"/>
      <c r="E3364" s="503"/>
      <c r="F3364" s="503"/>
    </row>
    <row r="3365" spans="1:6" x14ac:dyDescent="0.25">
      <c r="A3365" s="469"/>
      <c r="B3365" s="541"/>
      <c r="C3365" s="342"/>
      <c r="D3365" s="469"/>
      <c r="E3365" s="503"/>
      <c r="F3365" s="503"/>
    </row>
    <row r="3366" spans="1:6" x14ac:dyDescent="0.25">
      <c r="A3366" s="469"/>
      <c r="B3366" s="541"/>
      <c r="C3366" s="342"/>
      <c r="D3366" s="469"/>
      <c r="E3366" s="503"/>
      <c r="F3366" s="503"/>
    </row>
    <row r="3367" spans="1:6" x14ac:dyDescent="0.25">
      <c r="A3367" s="469"/>
      <c r="B3367" s="541"/>
      <c r="C3367" s="342"/>
      <c r="D3367" s="469"/>
      <c r="E3367" s="503"/>
      <c r="F3367" s="503"/>
    </row>
    <row r="3368" spans="1:6" x14ac:dyDescent="0.25">
      <c r="A3368" s="469"/>
      <c r="B3368" s="541"/>
      <c r="C3368" s="342" t="s">
        <v>48</v>
      </c>
      <c r="D3368" s="469"/>
      <c r="E3368" s="503"/>
      <c r="F3368" s="503"/>
    </row>
    <row r="3369" spans="1:6" x14ac:dyDescent="0.25">
      <c r="A3369" s="469"/>
      <c r="B3369" s="542" t="s">
        <v>1937</v>
      </c>
      <c r="C3369" s="342"/>
      <c r="D3369" s="469"/>
      <c r="E3369" s="503"/>
      <c r="F3369" s="503"/>
    </row>
    <row r="3370" spans="1:6" x14ac:dyDescent="0.25">
      <c r="A3370" s="469"/>
      <c r="B3370" s="542"/>
      <c r="C3370" s="342"/>
      <c r="D3370" s="469"/>
      <c r="E3370" s="503"/>
      <c r="F3370" s="503"/>
    </row>
    <row r="3371" spans="1:6" x14ac:dyDescent="0.25">
      <c r="A3371" s="469"/>
      <c r="B3371" s="542"/>
      <c r="C3371" s="342"/>
      <c r="D3371" s="469"/>
      <c r="E3371" s="503"/>
      <c r="F3371" s="503"/>
    </row>
    <row r="3372" spans="1:6" x14ac:dyDescent="0.25">
      <c r="A3372" s="469"/>
      <c r="B3372" s="542"/>
      <c r="C3372" s="342" t="s">
        <v>48</v>
      </c>
      <c r="D3372" s="469"/>
      <c r="E3372" s="503"/>
      <c r="F3372" s="503"/>
    </row>
    <row r="3373" spans="1:6" x14ac:dyDescent="0.25">
      <c r="A3373" s="469"/>
      <c r="B3373" s="542" t="s">
        <v>1938</v>
      </c>
      <c r="C3373" s="342"/>
      <c r="D3373" s="469"/>
      <c r="E3373" s="503"/>
      <c r="F3373" s="503"/>
    </row>
    <row r="3374" spans="1:6" x14ac:dyDescent="0.25">
      <c r="A3374" s="469"/>
      <c r="B3374" s="542"/>
      <c r="C3374" s="342"/>
      <c r="D3374" s="469"/>
      <c r="E3374" s="503"/>
      <c r="F3374" s="503"/>
    </row>
    <row r="3375" spans="1:6" x14ac:dyDescent="0.25">
      <c r="A3375" s="469"/>
      <c r="B3375" s="542"/>
      <c r="C3375" s="342"/>
      <c r="D3375" s="469"/>
      <c r="E3375" s="503"/>
      <c r="F3375" s="503"/>
    </row>
    <row r="3376" spans="1:6" x14ac:dyDescent="0.25">
      <c r="A3376" s="469"/>
      <c r="B3376" s="542"/>
      <c r="C3376" s="342" t="s">
        <v>48</v>
      </c>
      <c r="D3376" s="469"/>
      <c r="E3376" s="503"/>
      <c r="F3376" s="503"/>
    </row>
    <row r="3377" spans="1:6" x14ac:dyDescent="0.25">
      <c r="A3377" s="469"/>
      <c r="B3377" s="542" t="s">
        <v>1939</v>
      </c>
      <c r="C3377" s="342"/>
      <c r="D3377" s="469"/>
      <c r="E3377" s="503"/>
      <c r="F3377" s="503"/>
    </row>
    <row r="3378" spans="1:6" x14ac:dyDescent="0.25">
      <c r="A3378" s="469"/>
      <c r="B3378" s="542"/>
      <c r="C3378" s="342"/>
      <c r="D3378" s="469"/>
      <c r="E3378" s="503"/>
      <c r="F3378" s="503"/>
    </row>
    <row r="3379" spans="1:6" x14ac:dyDescent="0.25">
      <c r="A3379" s="469"/>
      <c r="B3379" s="542"/>
      <c r="C3379" s="342"/>
      <c r="D3379" s="469"/>
      <c r="E3379" s="503"/>
      <c r="F3379" s="503"/>
    </row>
    <row r="3380" spans="1:6" x14ac:dyDescent="0.25">
      <c r="A3380" s="469"/>
      <c r="B3380" s="542"/>
      <c r="C3380" s="342"/>
      <c r="D3380" s="469"/>
      <c r="E3380" s="503"/>
      <c r="F3380" s="503"/>
    </row>
    <row r="3381" spans="1:6" ht="15.75" thickBot="1" x14ac:dyDescent="0.3">
      <c r="A3381" s="436"/>
      <c r="B3381" s="543"/>
      <c r="C3381" s="343" t="s">
        <v>48</v>
      </c>
      <c r="D3381" s="436"/>
      <c r="E3381" s="444"/>
      <c r="F3381" s="444"/>
    </row>
    <row r="3382" spans="1:6" ht="31.5" x14ac:dyDescent="0.25">
      <c r="A3382" s="435"/>
      <c r="B3382" s="137" t="s">
        <v>1893</v>
      </c>
      <c r="C3382" s="473" t="s">
        <v>1895</v>
      </c>
      <c r="D3382" s="474"/>
      <c r="E3382" s="474"/>
      <c r="F3382" s="475"/>
    </row>
    <row r="3383" spans="1:6" x14ac:dyDescent="0.25">
      <c r="A3383" s="469"/>
      <c r="B3383" s="138"/>
      <c r="C3383" s="476" t="s">
        <v>1896</v>
      </c>
      <c r="D3383" s="477"/>
      <c r="E3383" s="477"/>
      <c r="F3383" s="478"/>
    </row>
    <row r="3384" spans="1:6" ht="15.75" thickBot="1" x14ac:dyDescent="0.3">
      <c r="A3384" s="469"/>
      <c r="B3384" s="139" t="s">
        <v>1894</v>
      </c>
      <c r="C3384" s="494" t="s">
        <v>1897</v>
      </c>
      <c r="D3384" s="495"/>
      <c r="E3384" s="495"/>
      <c r="F3384" s="496"/>
    </row>
    <row r="3385" spans="1:6" ht="15.75" thickBot="1" x14ac:dyDescent="0.3">
      <c r="A3385" s="470"/>
      <c r="B3385" s="140"/>
      <c r="C3385" s="538" t="s">
        <v>1898</v>
      </c>
      <c r="D3385" s="539"/>
      <c r="E3385" s="539"/>
      <c r="F3385" s="540"/>
    </row>
    <row r="3386" spans="1:6" ht="16.5" thickTop="1" thickBot="1" x14ac:dyDescent="0.3">
      <c r="A3386" s="165" t="s">
        <v>1899</v>
      </c>
      <c r="B3386" s="310" t="s">
        <v>1</v>
      </c>
      <c r="C3386" s="341" t="s">
        <v>3</v>
      </c>
      <c r="D3386" s="143" t="s">
        <v>2</v>
      </c>
      <c r="E3386" s="279" t="s">
        <v>1900</v>
      </c>
      <c r="F3386" s="279" t="s">
        <v>1427</v>
      </c>
    </row>
    <row r="3387" spans="1:6" ht="15.75" thickTop="1" x14ac:dyDescent="0.25">
      <c r="A3387" s="501"/>
      <c r="B3387" s="544" t="s">
        <v>1940</v>
      </c>
      <c r="C3387" s="342"/>
      <c r="D3387" s="501"/>
      <c r="E3387" s="502"/>
      <c r="F3387" s="502"/>
    </row>
    <row r="3388" spans="1:6" x14ac:dyDescent="0.25">
      <c r="A3388" s="469"/>
      <c r="B3388" s="542"/>
      <c r="C3388" s="342"/>
      <c r="D3388" s="469"/>
      <c r="E3388" s="503"/>
      <c r="F3388" s="503"/>
    </row>
    <row r="3389" spans="1:6" x14ac:dyDescent="0.25">
      <c r="A3389" s="469"/>
      <c r="B3389" s="542"/>
      <c r="C3389" s="342" t="s">
        <v>48</v>
      </c>
      <c r="D3389" s="469"/>
      <c r="E3389" s="503"/>
      <c r="F3389" s="503"/>
    </row>
    <row r="3390" spans="1:6" x14ac:dyDescent="0.25">
      <c r="A3390" s="469"/>
      <c r="B3390" s="542" t="s">
        <v>1941</v>
      </c>
      <c r="C3390" s="342"/>
      <c r="D3390" s="469"/>
      <c r="E3390" s="503"/>
      <c r="F3390" s="503"/>
    </row>
    <row r="3391" spans="1:6" x14ac:dyDescent="0.25">
      <c r="A3391" s="469"/>
      <c r="B3391" s="542"/>
      <c r="C3391" s="342"/>
      <c r="D3391" s="469"/>
      <c r="E3391" s="503"/>
      <c r="F3391" s="503"/>
    </row>
    <row r="3392" spans="1:6" x14ac:dyDescent="0.25">
      <c r="A3392" s="469"/>
      <c r="B3392" s="542"/>
      <c r="C3392" s="342" t="s">
        <v>48</v>
      </c>
      <c r="D3392" s="469"/>
      <c r="E3392" s="503"/>
      <c r="F3392" s="503"/>
    </row>
    <row r="3393" spans="1:6" ht="25.5" x14ac:dyDescent="0.25">
      <c r="A3393" s="469"/>
      <c r="B3393" s="150" t="s">
        <v>1942</v>
      </c>
      <c r="C3393" s="342"/>
      <c r="D3393" s="469"/>
      <c r="E3393" s="503"/>
      <c r="F3393" s="503"/>
    </row>
    <row r="3394" spans="1:6" ht="51" x14ac:dyDescent="0.25">
      <c r="A3394" s="469"/>
      <c r="B3394" s="150" t="s">
        <v>1943</v>
      </c>
      <c r="C3394" s="342"/>
      <c r="D3394" s="469"/>
      <c r="E3394" s="503"/>
      <c r="F3394" s="503"/>
    </row>
    <row r="3395" spans="1:6" x14ac:dyDescent="0.25">
      <c r="A3395" s="469"/>
      <c r="B3395" s="166"/>
      <c r="C3395" s="342"/>
      <c r="D3395" s="469"/>
      <c r="E3395" s="503"/>
      <c r="F3395" s="503"/>
    </row>
    <row r="3396" spans="1:6" x14ac:dyDescent="0.25">
      <c r="A3396" s="469"/>
      <c r="B3396" s="166"/>
      <c r="C3396" s="342"/>
      <c r="D3396" s="469"/>
      <c r="E3396" s="503"/>
      <c r="F3396" s="503"/>
    </row>
    <row r="3397" spans="1:6" x14ac:dyDescent="0.25">
      <c r="A3397" s="469"/>
      <c r="B3397" s="166"/>
      <c r="C3397" s="342" t="s">
        <v>48</v>
      </c>
      <c r="D3397" s="469"/>
      <c r="E3397" s="503"/>
      <c r="F3397" s="503"/>
    </row>
    <row r="3398" spans="1:6" x14ac:dyDescent="0.25">
      <c r="A3398" s="469"/>
      <c r="B3398" s="146"/>
      <c r="C3398" s="342"/>
      <c r="D3398" s="469"/>
      <c r="E3398" s="503"/>
      <c r="F3398" s="503"/>
    </row>
    <row r="3399" spans="1:6" ht="38.25" x14ac:dyDescent="0.25">
      <c r="A3399" s="469"/>
      <c r="B3399" s="150" t="s">
        <v>1944</v>
      </c>
      <c r="C3399" s="342"/>
      <c r="D3399" s="469"/>
      <c r="E3399" s="503"/>
      <c r="F3399" s="503"/>
    </row>
    <row r="3400" spans="1:6" x14ac:dyDescent="0.25">
      <c r="A3400" s="469"/>
      <c r="B3400" s="166"/>
      <c r="C3400" s="342" t="s">
        <v>48</v>
      </c>
      <c r="D3400" s="469"/>
      <c r="E3400" s="503"/>
      <c r="F3400" s="503"/>
    </row>
    <row r="3401" spans="1:6" x14ac:dyDescent="0.25">
      <c r="A3401" s="469"/>
      <c r="B3401" s="542" t="s">
        <v>1945</v>
      </c>
      <c r="C3401" s="342"/>
      <c r="D3401" s="469"/>
      <c r="E3401" s="503"/>
      <c r="F3401" s="503"/>
    </row>
    <row r="3402" spans="1:6" x14ac:dyDescent="0.25">
      <c r="A3402" s="469"/>
      <c r="B3402" s="542"/>
      <c r="C3402" s="342" t="s">
        <v>48</v>
      </c>
      <c r="D3402" s="469"/>
      <c r="E3402" s="503"/>
      <c r="F3402" s="503"/>
    </row>
    <row r="3403" spans="1:6" x14ac:dyDescent="0.25">
      <c r="A3403" s="469"/>
      <c r="B3403" s="541" t="s">
        <v>1946</v>
      </c>
      <c r="C3403" s="342"/>
      <c r="D3403" s="469"/>
      <c r="E3403" s="503"/>
      <c r="F3403" s="503"/>
    </row>
    <row r="3404" spans="1:6" x14ac:dyDescent="0.25">
      <c r="A3404" s="469"/>
      <c r="B3404" s="541"/>
      <c r="C3404" s="342"/>
      <c r="D3404" s="469"/>
      <c r="E3404" s="503"/>
      <c r="F3404" s="503"/>
    </row>
    <row r="3405" spans="1:6" x14ac:dyDescent="0.25">
      <c r="A3405" s="469"/>
      <c r="B3405" s="541"/>
      <c r="C3405" s="342"/>
      <c r="D3405" s="469"/>
      <c r="E3405" s="503"/>
      <c r="F3405" s="503"/>
    </row>
    <row r="3406" spans="1:6" ht="15.75" thickBot="1" x14ac:dyDescent="0.3">
      <c r="A3406" s="436"/>
      <c r="B3406" s="545"/>
      <c r="C3406" s="343" t="s">
        <v>48</v>
      </c>
      <c r="D3406" s="436"/>
      <c r="E3406" s="444"/>
      <c r="F3406" s="444"/>
    </row>
    <row r="3407" spans="1:6" ht="31.5" x14ac:dyDescent="0.25">
      <c r="A3407" s="435"/>
      <c r="B3407" s="137" t="s">
        <v>1893</v>
      </c>
      <c r="C3407" s="473" t="s">
        <v>1895</v>
      </c>
      <c r="D3407" s="474"/>
      <c r="E3407" s="474"/>
      <c r="F3407" s="475"/>
    </row>
    <row r="3408" spans="1:6" x14ac:dyDescent="0.25">
      <c r="A3408" s="469"/>
      <c r="B3408" s="138"/>
      <c r="C3408" s="476" t="s">
        <v>1896</v>
      </c>
      <c r="D3408" s="477"/>
      <c r="E3408" s="477"/>
      <c r="F3408" s="478"/>
    </row>
    <row r="3409" spans="1:6" ht="15.75" thickBot="1" x14ac:dyDescent="0.3">
      <c r="A3409" s="469"/>
      <c r="B3409" s="139" t="s">
        <v>1894</v>
      </c>
      <c r="C3409" s="494" t="s">
        <v>1897</v>
      </c>
      <c r="D3409" s="495"/>
      <c r="E3409" s="495"/>
      <c r="F3409" s="496"/>
    </row>
    <row r="3410" spans="1:6" ht="15.75" thickBot="1" x14ac:dyDescent="0.3">
      <c r="A3410" s="470"/>
      <c r="B3410" s="140"/>
      <c r="C3410" s="538" t="s">
        <v>1898</v>
      </c>
      <c r="D3410" s="539"/>
      <c r="E3410" s="539"/>
      <c r="F3410" s="540"/>
    </row>
    <row r="3411" spans="1:6" ht="16.5" thickTop="1" thickBot="1" x14ac:dyDescent="0.3">
      <c r="A3411" s="165" t="s">
        <v>1899</v>
      </c>
      <c r="B3411" s="310" t="s">
        <v>1</v>
      </c>
      <c r="C3411" s="341" t="s">
        <v>3</v>
      </c>
      <c r="D3411" s="143" t="s">
        <v>2</v>
      </c>
      <c r="E3411" s="279" t="s">
        <v>1900</v>
      </c>
      <c r="F3411" s="279" t="s">
        <v>1427</v>
      </c>
    </row>
    <row r="3412" spans="1:6" ht="15.75" thickTop="1" x14ac:dyDescent="0.25">
      <c r="A3412" s="501"/>
      <c r="B3412" s="146"/>
      <c r="C3412" s="342"/>
      <c r="D3412" s="501"/>
      <c r="E3412" s="502"/>
      <c r="F3412" s="502"/>
    </row>
    <row r="3413" spans="1:6" ht="191.25" x14ac:dyDescent="0.25">
      <c r="A3413" s="469"/>
      <c r="B3413" s="146" t="s">
        <v>1947</v>
      </c>
      <c r="C3413" s="342"/>
      <c r="D3413" s="469"/>
      <c r="E3413" s="503"/>
      <c r="F3413" s="503"/>
    </row>
    <row r="3414" spans="1:6" x14ac:dyDescent="0.25">
      <c r="A3414" s="469"/>
      <c r="B3414" s="166"/>
      <c r="C3414" s="342"/>
      <c r="D3414" s="469"/>
      <c r="E3414" s="503"/>
      <c r="F3414" s="503"/>
    </row>
    <row r="3415" spans="1:6" x14ac:dyDescent="0.25">
      <c r="A3415" s="469"/>
      <c r="B3415" s="166"/>
      <c r="C3415" s="342"/>
      <c r="D3415" s="469"/>
      <c r="E3415" s="503"/>
      <c r="F3415" s="503"/>
    </row>
    <row r="3416" spans="1:6" x14ac:dyDescent="0.25">
      <c r="A3416" s="469"/>
      <c r="B3416" s="166"/>
      <c r="C3416" s="342"/>
      <c r="D3416" s="469"/>
      <c r="E3416" s="503"/>
      <c r="F3416" s="503"/>
    </row>
    <row r="3417" spans="1:6" x14ac:dyDescent="0.25">
      <c r="A3417" s="469"/>
      <c r="B3417" s="166"/>
      <c r="C3417" s="342"/>
      <c r="D3417" s="469"/>
      <c r="E3417" s="503"/>
      <c r="F3417" s="503"/>
    </row>
    <row r="3418" spans="1:6" x14ac:dyDescent="0.25">
      <c r="A3418" s="469"/>
      <c r="B3418" s="166"/>
      <c r="C3418" s="342"/>
      <c r="D3418" s="469"/>
      <c r="E3418" s="503"/>
      <c r="F3418" s="503"/>
    </row>
    <row r="3419" spans="1:6" x14ac:dyDescent="0.25">
      <c r="A3419" s="469"/>
      <c r="B3419" s="166"/>
      <c r="C3419" s="342"/>
      <c r="D3419" s="469"/>
      <c r="E3419" s="503"/>
      <c r="F3419" s="503"/>
    </row>
    <row r="3420" spans="1:6" x14ac:dyDescent="0.25">
      <c r="A3420" s="469"/>
      <c r="B3420" s="166"/>
      <c r="C3420" s="342"/>
      <c r="D3420" s="469"/>
      <c r="E3420" s="503"/>
      <c r="F3420" s="503"/>
    </row>
    <row r="3421" spans="1:6" x14ac:dyDescent="0.25">
      <c r="A3421" s="469"/>
      <c r="B3421" s="166"/>
      <c r="C3421" s="342" t="s">
        <v>48</v>
      </c>
      <c r="D3421" s="469"/>
      <c r="E3421" s="503"/>
      <c r="F3421" s="503"/>
    </row>
    <row r="3422" spans="1:6" x14ac:dyDescent="0.25">
      <c r="A3422" s="469"/>
      <c r="B3422" s="146"/>
      <c r="C3422" s="342"/>
      <c r="D3422" s="469"/>
      <c r="E3422" s="503"/>
      <c r="F3422" s="503"/>
    </row>
    <row r="3423" spans="1:6" ht="63.75" x14ac:dyDescent="0.25">
      <c r="A3423" s="469"/>
      <c r="B3423" s="146" t="s">
        <v>1948</v>
      </c>
      <c r="C3423" s="342"/>
      <c r="D3423" s="469"/>
      <c r="E3423" s="503"/>
      <c r="F3423" s="503"/>
    </row>
    <row r="3424" spans="1:6" x14ac:dyDescent="0.25">
      <c r="A3424" s="469"/>
      <c r="B3424" s="166"/>
      <c r="C3424" s="342"/>
      <c r="D3424" s="469"/>
      <c r="E3424" s="503"/>
      <c r="F3424" s="503"/>
    </row>
    <row r="3425" spans="1:6" x14ac:dyDescent="0.25">
      <c r="A3425" s="469"/>
      <c r="B3425" s="166"/>
      <c r="C3425" s="342" t="s">
        <v>48</v>
      </c>
      <c r="D3425" s="469"/>
      <c r="E3425" s="503"/>
      <c r="F3425" s="503"/>
    </row>
    <row r="3426" spans="1:6" x14ac:dyDescent="0.25">
      <c r="A3426" s="469"/>
      <c r="B3426" s="541" t="s">
        <v>1949</v>
      </c>
      <c r="C3426" s="342"/>
      <c r="D3426" s="469"/>
      <c r="E3426" s="503"/>
      <c r="F3426" s="503"/>
    </row>
    <row r="3427" spans="1:6" x14ac:dyDescent="0.25">
      <c r="A3427" s="469"/>
      <c r="B3427" s="541"/>
      <c r="C3427" s="342"/>
      <c r="D3427" s="469"/>
      <c r="E3427" s="503"/>
      <c r="F3427" s="503"/>
    </row>
    <row r="3428" spans="1:6" x14ac:dyDescent="0.25">
      <c r="A3428" s="469"/>
      <c r="B3428" s="541"/>
      <c r="C3428" s="342" t="s">
        <v>48</v>
      </c>
      <c r="D3428" s="469"/>
      <c r="E3428" s="503"/>
      <c r="F3428" s="503"/>
    </row>
    <row r="3429" spans="1:6" x14ac:dyDescent="0.25">
      <c r="A3429" s="469"/>
      <c r="B3429" s="146"/>
      <c r="C3429" s="342"/>
      <c r="D3429" s="469"/>
      <c r="E3429" s="503"/>
      <c r="F3429" s="503"/>
    </row>
    <row r="3430" spans="1:6" ht="51" x14ac:dyDescent="0.25">
      <c r="A3430" s="469"/>
      <c r="B3430" s="150" t="s">
        <v>1950</v>
      </c>
      <c r="C3430" s="342"/>
      <c r="D3430" s="469"/>
      <c r="E3430" s="503"/>
      <c r="F3430" s="503"/>
    </row>
    <row r="3431" spans="1:6" x14ac:dyDescent="0.25">
      <c r="A3431" s="469"/>
      <c r="B3431" s="166"/>
      <c r="C3431" s="342" t="s">
        <v>48</v>
      </c>
      <c r="D3431" s="469"/>
      <c r="E3431" s="503"/>
      <c r="F3431" s="503"/>
    </row>
    <row r="3432" spans="1:6" x14ac:dyDescent="0.25">
      <c r="A3432" s="469"/>
      <c r="B3432" s="542" t="s">
        <v>1951</v>
      </c>
      <c r="C3432" s="342"/>
      <c r="D3432" s="469"/>
      <c r="E3432" s="503"/>
      <c r="F3432" s="503"/>
    </row>
    <row r="3433" spans="1:6" ht="15.75" thickBot="1" x14ac:dyDescent="0.3">
      <c r="A3433" s="436"/>
      <c r="B3433" s="543"/>
      <c r="C3433" s="343" t="s">
        <v>48</v>
      </c>
      <c r="D3433" s="436"/>
      <c r="E3433" s="444"/>
      <c r="F3433" s="444"/>
    </row>
    <row r="3434" spans="1:6" ht="31.5" x14ac:dyDescent="0.25">
      <c r="A3434" s="435"/>
      <c r="B3434" s="137" t="s">
        <v>1893</v>
      </c>
      <c r="C3434" s="473" t="s">
        <v>1895</v>
      </c>
      <c r="D3434" s="474"/>
      <c r="E3434" s="474"/>
      <c r="F3434" s="475"/>
    </row>
    <row r="3435" spans="1:6" x14ac:dyDescent="0.25">
      <c r="A3435" s="469"/>
      <c r="B3435" s="138"/>
      <c r="C3435" s="476" t="s">
        <v>1896</v>
      </c>
      <c r="D3435" s="477"/>
      <c r="E3435" s="477"/>
      <c r="F3435" s="478"/>
    </row>
    <row r="3436" spans="1:6" ht="15.75" thickBot="1" x14ac:dyDescent="0.3">
      <c r="A3436" s="469"/>
      <c r="B3436" s="139" t="s">
        <v>1894</v>
      </c>
      <c r="C3436" s="494" t="s">
        <v>1897</v>
      </c>
      <c r="D3436" s="495"/>
      <c r="E3436" s="495"/>
      <c r="F3436" s="496"/>
    </row>
    <row r="3437" spans="1:6" ht="15.75" thickBot="1" x14ac:dyDescent="0.3">
      <c r="A3437" s="470"/>
      <c r="B3437" s="140"/>
      <c r="C3437" s="538" t="s">
        <v>1898</v>
      </c>
      <c r="D3437" s="539"/>
      <c r="E3437" s="539"/>
      <c r="F3437" s="540"/>
    </row>
    <row r="3438" spans="1:6" ht="16.5" thickTop="1" thickBot="1" x14ac:dyDescent="0.3">
      <c r="A3438" s="156" t="s">
        <v>1899</v>
      </c>
      <c r="B3438" s="310" t="s">
        <v>1</v>
      </c>
      <c r="C3438" s="341" t="s">
        <v>3</v>
      </c>
      <c r="D3438" s="143" t="s">
        <v>2</v>
      </c>
      <c r="E3438" s="279" t="s">
        <v>1900</v>
      </c>
      <c r="F3438" s="279" t="s">
        <v>1427</v>
      </c>
    </row>
    <row r="3439" spans="1:6" ht="15.75" thickTop="1" x14ac:dyDescent="0.25">
      <c r="A3439" s="501"/>
      <c r="B3439" s="146"/>
      <c r="C3439" s="500"/>
      <c r="D3439" s="501"/>
      <c r="E3439" s="280"/>
      <c r="F3439" s="280"/>
    </row>
    <row r="3440" spans="1:6" x14ac:dyDescent="0.25">
      <c r="A3440" s="469"/>
      <c r="B3440" s="155" t="s">
        <v>1952</v>
      </c>
      <c r="C3440" s="489"/>
      <c r="D3440" s="469"/>
      <c r="E3440" s="281"/>
      <c r="F3440" s="281"/>
    </row>
    <row r="3441" spans="1:6" ht="153" x14ac:dyDescent="0.25">
      <c r="A3441" s="157" t="s">
        <v>1953</v>
      </c>
      <c r="B3441" s="150" t="s">
        <v>1954</v>
      </c>
      <c r="C3441" s="342" t="s">
        <v>11</v>
      </c>
      <c r="D3441" s="158">
        <v>1</v>
      </c>
      <c r="E3441" s="281">
        <v>15000</v>
      </c>
      <c r="F3441" s="281">
        <f>E3441*D3441</f>
        <v>15000</v>
      </c>
    </row>
    <row r="3442" spans="1:6" x14ac:dyDescent="0.25">
      <c r="A3442" s="469"/>
      <c r="B3442" s="146"/>
      <c r="C3442" s="489"/>
      <c r="D3442" s="469"/>
      <c r="E3442" s="281"/>
      <c r="F3442" s="281"/>
    </row>
    <row r="3443" spans="1:6" x14ac:dyDescent="0.25">
      <c r="A3443" s="469"/>
      <c r="B3443" s="155" t="s">
        <v>1955</v>
      </c>
      <c r="C3443" s="489"/>
      <c r="D3443" s="469"/>
      <c r="E3443" s="281"/>
      <c r="F3443" s="281"/>
    </row>
    <row r="3444" spans="1:6" x14ac:dyDescent="0.25">
      <c r="A3444" s="167"/>
      <c r="B3444" s="146"/>
      <c r="C3444" s="342"/>
      <c r="D3444" s="146"/>
      <c r="E3444" s="281"/>
      <c r="F3444" s="281"/>
    </row>
    <row r="3445" spans="1:6" ht="63.75" x14ac:dyDescent="0.25">
      <c r="A3445" s="157" t="s">
        <v>1956</v>
      </c>
      <c r="B3445" s="150" t="s">
        <v>1957</v>
      </c>
      <c r="C3445" s="342" t="s">
        <v>1958</v>
      </c>
      <c r="D3445" s="158">
        <v>10</v>
      </c>
      <c r="E3445" s="281">
        <v>110</v>
      </c>
      <c r="F3445" s="281">
        <f>E3445*D3445</f>
        <v>1100</v>
      </c>
    </row>
    <row r="3446" spans="1:6" x14ac:dyDescent="0.25">
      <c r="A3446" s="167"/>
      <c r="B3446" s="146"/>
      <c r="C3446" s="342"/>
      <c r="D3446" s="146"/>
      <c r="E3446" s="281"/>
      <c r="F3446" s="281"/>
    </row>
    <row r="3447" spans="1:6" ht="51" x14ac:dyDescent="0.25">
      <c r="A3447" s="157" t="s">
        <v>1959</v>
      </c>
      <c r="B3447" s="150" t="s">
        <v>1960</v>
      </c>
      <c r="C3447" s="342" t="s">
        <v>1958</v>
      </c>
      <c r="D3447" s="158">
        <v>450</v>
      </c>
      <c r="E3447" s="281">
        <v>110</v>
      </c>
      <c r="F3447" s="281">
        <f>E3447*D3447</f>
        <v>49500</v>
      </c>
    </row>
    <row r="3448" spans="1:6" x14ac:dyDescent="0.25">
      <c r="A3448" s="167"/>
      <c r="B3448" s="146"/>
      <c r="C3448" s="342"/>
      <c r="D3448" s="146"/>
      <c r="E3448" s="281"/>
      <c r="F3448" s="281"/>
    </row>
    <row r="3449" spans="1:6" ht="64.5" thickBot="1" x14ac:dyDescent="0.3">
      <c r="A3449" s="159" t="s">
        <v>1961</v>
      </c>
      <c r="B3449" s="151" t="s">
        <v>1962</v>
      </c>
      <c r="C3449" s="343" t="s">
        <v>11</v>
      </c>
      <c r="D3449" s="160">
        <v>1</v>
      </c>
      <c r="E3449" s="282">
        <v>6500</v>
      </c>
      <c r="F3449" s="281">
        <f>E3449*D3449</f>
        <v>6500</v>
      </c>
    </row>
    <row r="3450" spans="1:6" ht="31.5" x14ac:dyDescent="0.25">
      <c r="A3450" s="435"/>
      <c r="B3450" s="137" t="s">
        <v>1893</v>
      </c>
      <c r="C3450" s="473" t="s">
        <v>1895</v>
      </c>
      <c r="D3450" s="474"/>
      <c r="E3450" s="474"/>
      <c r="F3450" s="475"/>
    </row>
    <row r="3451" spans="1:6" x14ac:dyDescent="0.25">
      <c r="A3451" s="469"/>
      <c r="B3451" s="138"/>
      <c r="C3451" s="476" t="s">
        <v>1896</v>
      </c>
      <c r="D3451" s="477"/>
      <c r="E3451" s="477"/>
      <c r="F3451" s="478"/>
    </row>
    <row r="3452" spans="1:6" ht="15.75" thickBot="1" x14ac:dyDescent="0.3">
      <c r="A3452" s="469"/>
      <c r="B3452" s="139" t="s">
        <v>1894</v>
      </c>
      <c r="C3452" s="494" t="s">
        <v>1897</v>
      </c>
      <c r="D3452" s="495"/>
      <c r="E3452" s="495"/>
      <c r="F3452" s="496"/>
    </row>
    <row r="3453" spans="1:6" ht="15.75" thickBot="1" x14ac:dyDescent="0.3">
      <c r="A3453" s="470"/>
      <c r="B3453" s="140"/>
      <c r="C3453" s="538" t="s">
        <v>1898</v>
      </c>
      <c r="D3453" s="539"/>
      <c r="E3453" s="539"/>
      <c r="F3453" s="540"/>
    </row>
    <row r="3454" spans="1:6" ht="16.5" thickTop="1" thickBot="1" x14ac:dyDescent="0.3">
      <c r="A3454" s="156" t="s">
        <v>1899</v>
      </c>
      <c r="B3454" s="310" t="s">
        <v>1</v>
      </c>
      <c r="C3454" s="341" t="s">
        <v>3</v>
      </c>
      <c r="D3454" s="143" t="s">
        <v>2</v>
      </c>
      <c r="E3454" s="279" t="s">
        <v>1900</v>
      </c>
      <c r="F3454" s="279" t="s">
        <v>1427</v>
      </c>
    </row>
    <row r="3455" spans="1:6" ht="15.75" thickTop="1" x14ac:dyDescent="0.25">
      <c r="A3455" s="149"/>
      <c r="B3455" s="155" t="s">
        <v>1963</v>
      </c>
      <c r="C3455" s="345"/>
      <c r="D3455" s="148"/>
      <c r="E3455" s="280"/>
      <c r="F3455" s="280"/>
    </row>
    <row r="3456" spans="1:6" ht="51" x14ac:dyDescent="0.25">
      <c r="A3456" s="157" t="s">
        <v>1964</v>
      </c>
      <c r="B3456" s="146" t="s">
        <v>1972</v>
      </c>
      <c r="C3456" s="342" t="s">
        <v>1958</v>
      </c>
      <c r="D3456" s="158">
        <v>600</v>
      </c>
      <c r="E3456" s="281">
        <v>100</v>
      </c>
      <c r="F3456" s="281">
        <f>E3456*D3456</f>
        <v>60000</v>
      </c>
    </row>
    <row r="3457" spans="1:6" x14ac:dyDescent="0.25">
      <c r="A3457" s="149"/>
      <c r="B3457" s="146"/>
      <c r="C3457" s="345"/>
      <c r="D3457" s="148"/>
      <c r="E3457" s="281"/>
      <c r="F3457" s="281"/>
    </row>
    <row r="3458" spans="1:6" x14ac:dyDescent="0.25">
      <c r="A3458" s="149"/>
      <c r="B3458" s="155" t="s">
        <v>1965</v>
      </c>
      <c r="C3458" s="345"/>
      <c r="D3458" s="148"/>
      <c r="E3458" s="281"/>
      <c r="F3458" s="281"/>
    </row>
    <row r="3459" spans="1:6" x14ac:dyDescent="0.25">
      <c r="A3459" s="167"/>
      <c r="B3459" s="146"/>
      <c r="C3459" s="342"/>
      <c r="D3459" s="146"/>
      <c r="E3459" s="281"/>
      <c r="F3459" s="281"/>
    </row>
    <row r="3460" spans="1:6" ht="63.75" x14ac:dyDescent="0.25">
      <c r="A3460" s="157" t="s">
        <v>1966</v>
      </c>
      <c r="B3460" s="146" t="s">
        <v>1973</v>
      </c>
      <c r="C3460" s="342" t="s">
        <v>668</v>
      </c>
      <c r="D3460" s="158">
        <v>2</v>
      </c>
      <c r="E3460" s="281">
        <v>4500</v>
      </c>
      <c r="F3460" s="281">
        <f>E3460*D3460</f>
        <v>9000</v>
      </c>
    </row>
    <row r="3461" spans="1:6" x14ac:dyDescent="0.25">
      <c r="A3461" s="149"/>
      <c r="B3461" s="146"/>
      <c r="C3461" s="345"/>
      <c r="D3461" s="148"/>
      <c r="E3461" s="281"/>
      <c r="F3461" s="281"/>
    </row>
    <row r="3462" spans="1:6" ht="63.75" x14ac:dyDescent="0.25">
      <c r="A3462" s="157" t="s">
        <v>1967</v>
      </c>
      <c r="B3462" s="146" t="s">
        <v>1974</v>
      </c>
      <c r="C3462" s="342" t="s">
        <v>668</v>
      </c>
      <c r="D3462" s="158">
        <v>1</v>
      </c>
      <c r="E3462" s="281">
        <v>4500</v>
      </c>
      <c r="F3462" s="281">
        <f>E3462*D3462</f>
        <v>4500</v>
      </c>
    </row>
    <row r="3463" spans="1:6" x14ac:dyDescent="0.25">
      <c r="A3463" s="149"/>
      <c r="B3463" s="146"/>
      <c r="C3463" s="345"/>
      <c r="D3463" s="148"/>
      <c r="E3463" s="281"/>
      <c r="F3463" s="281"/>
    </row>
    <row r="3464" spans="1:6" ht="63.75" x14ac:dyDescent="0.25">
      <c r="A3464" s="157" t="s">
        <v>1968</v>
      </c>
      <c r="B3464" s="146" t="s">
        <v>1975</v>
      </c>
      <c r="C3464" s="342" t="s">
        <v>668</v>
      </c>
      <c r="D3464" s="158">
        <v>1</v>
      </c>
      <c r="E3464" s="281">
        <v>4500</v>
      </c>
      <c r="F3464" s="281">
        <f>E3464*D3464</f>
        <v>4500</v>
      </c>
    </row>
    <row r="3465" spans="1:6" x14ac:dyDescent="0.25">
      <c r="A3465" s="469"/>
      <c r="B3465" s="146"/>
      <c r="C3465" s="489"/>
      <c r="D3465" s="469"/>
      <c r="E3465" s="281"/>
      <c r="F3465" s="281"/>
    </row>
    <row r="3466" spans="1:6" x14ac:dyDescent="0.25">
      <c r="A3466" s="469"/>
      <c r="B3466" s="155" t="s">
        <v>1969</v>
      </c>
      <c r="C3466" s="489"/>
      <c r="D3466" s="469"/>
      <c r="E3466" s="281"/>
      <c r="F3466" s="281"/>
    </row>
    <row r="3467" spans="1:6" ht="51.75" thickBot="1" x14ac:dyDescent="0.3">
      <c r="A3467" s="157" t="s">
        <v>1970</v>
      </c>
      <c r="B3467" s="146" t="s">
        <v>1976</v>
      </c>
      <c r="C3467" s="342" t="s">
        <v>11</v>
      </c>
      <c r="D3467" s="158">
        <v>1</v>
      </c>
      <c r="E3467" s="281"/>
      <c r="F3467" s="281"/>
    </row>
    <row r="3468" spans="1:6" x14ac:dyDescent="0.25">
      <c r="A3468" s="435"/>
      <c r="B3468" s="536" t="s">
        <v>1971</v>
      </c>
      <c r="C3468" s="490"/>
      <c r="D3468" s="560"/>
      <c r="E3468" s="562" t="s">
        <v>1932</v>
      </c>
      <c r="F3468" s="561">
        <f>SUM(F3456:F3467,F3441:F3449)</f>
        <v>150100</v>
      </c>
    </row>
    <row r="3469" spans="1:6" ht="15.75" thickBot="1" x14ac:dyDescent="0.3">
      <c r="A3469" s="436"/>
      <c r="B3469" s="537"/>
      <c r="C3469" s="491"/>
      <c r="D3469" s="436"/>
      <c r="E3469" s="563"/>
      <c r="F3469" s="444"/>
    </row>
    <row r="3470" spans="1:6" ht="31.5" x14ac:dyDescent="0.25">
      <c r="A3470" s="435"/>
      <c r="B3470" s="152" t="s">
        <v>1893</v>
      </c>
      <c r="C3470" s="473" t="s">
        <v>1895</v>
      </c>
      <c r="D3470" s="474"/>
      <c r="E3470" s="474"/>
      <c r="F3470" s="475"/>
    </row>
    <row r="3471" spans="1:6" x14ac:dyDescent="0.25">
      <c r="A3471" s="469"/>
      <c r="B3471" s="138"/>
      <c r="C3471" s="476" t="s">
        <v>1896</v>
      </c>
      <c r="D3471" s="477"/>
      <c r="E3471" s="477"/>
      <c r="F3471" s="478"/>
    </row>
    <row r="3472" spans="1:6" ht="15.75" thickBot="1" x14ac:dyDescent="0.3">
      <c r="A3472" s="469"/>
      <c r="B3472" s="139" t="s">
        <v>1894</v>
      </c>
      <c r="C3472" s="494" t="s">
        <v>1897</v>
      </c>
      <c r="D3472" s="495"/>
      <c r="E3472" s="495"/>
      <c r="F3472" s="496"/>
    </row>
    <row r="3473" spans="1:6" ht="15.75" thickBot="1" x14ac:dyDescent="0.3">
      <c r="A3473" s="470"/>
      <c r="B3473" s="140"/>
      <c r="C3473" s="497" t="s">
        <v>1898</v>
      </c>
      <c r="D3473" s="498"/>
      <c r="E3473" s="498"/>
      <c r="F3473" s="499"/>
    </row>
    <row r="3474" spans="1:6" ht="16.5" thickTop="1" thickBot="1" x14ac:dyDescent="0.3">
      <c r="A3474" s="156" t="s">
        <v>1899</v>
      </c>
      <c r="B3474" s="310" t="s">
        <v>1</v>
      </c>
      <c r="C3474" s="341" t="s">
        <v>3</v>
      </c>
      <c r="D3474" s="173" t="s">
        <v>2</v>
      </c>
      <c r="E3474" s="278" t="s">
        <v>1900</v>
      </c>
      <c r="F3474" s="279" t="s">
        <v>1427</v>
      </c>
    </row>
    <row r="3475" spans="1:6" ht="15.75" thickTop="1" x14ac:dyDescent="0.25">
      <c r="A3475" s="144"/>
      <c r="B3475" s="146"/>
      <c r="C3475" s="500"/>
      <c r="D3475" s="501"/>
      <c r="E3475" s="502"/>
      <c r="F3475" s="502"/>
    </row>
    <row r="3476" spans="1:6" x14ac:dyDescent="0.25">
      <c r="A3476" s="164" t="s">
        <v>1977</v>
      </c>
      <c r="B3476" s="155" t="s">
        <v>1978</v>
      </c>
      <c r="C3476" s="489"/>
      <c r="D3476" s="469"/>
      <c r="E3476" s="503"/>
      <c r="F3476" s="503"/>
    </row>
    <row r="3477" spans="1:6" ht="76.5" x14ac:dyDescent="0.25">
      <c r="A3477" s="149"/>
      <c r="B3477" s="150" t="s">
        <v>1979</v>
      </c>
      <c r="C3477" s="342" t="s">
        <v>48</v>
      </c>
      <c r="D3477" s="469"/>
      <c r="E3477" s="503"/>
      <c r="F3477" s="503"/>
    </row>
    <row r="3478" spans="1:6" ht="25.5" x14ac:dyDescent="0.25">
      <c r="A3478" s="149"/>
      <c r="B3478" s="147" t="s">
        <v>1980</v>
      </c>
      <c r="C3478" s="345"/>
      <c r="D3478" s="469"/>
      <c r="E3478" s="503"/>
      <c r="F3478" s="503"/>
    </row>
    <row r="3479" spans="1:6" ht="38.25" x14ac:dyDescent="0.25">
      <c r="A3479" s="149"/>
      <c r="B3479" s="150" t="s">
        <v>1981</v>
      </c>
      <c r="C3479" s="342" t="s">
        <v>48</v>
      </c>
      <c r="D3479" s="469"/>
      <c r="E3479" s="503"/>
      <c r="F3479" s="503"/>
    </row>
    <row r="3480" spans="1:6" ht="38.25" x14ac:dyDescent="0.25">
      <c r="A3480" s="149"/>
      <c r="B3480" s="150" t="s">
        <v>1982</v>
      </c>
      <c r="C3480" s="342" t="s">
        <v>48</v>
      </c>
      <c r="D3480" s="469"/>
      <c r="E3480" s="503"/>
      <c r="F3480" s="503"/>
    </row>
    <row r="3481" spans="1:6" ht="63.75" x14ac:dyDescent="0.25">
      <c r="A3481" s="149"/>
      <c r="B3481" s="150" t="s">
        <v>1983</v>
      </c>
      <c r="C3481" s="342" t="s">
        <v>48</v>
      </c>
      <c r="D3481" s="469"/>
      <c r="E3481" s="503"/>
      <c r="F3481" s="503"/>
    </row>
    <row r="3482" spans="1:6" ht="25.5" x14ac:dyDescent="0.25">
      <c r="A3482" s="149"/>
      <c r="B3482" s="146" t="s">
        <v>1984</v>
      </c>
      <c r="C3482" s="342" t="s">
        <v>48</v>
      </c>
      <c r="D3482" s="469"/>
      <c r="E3482" s="503"/>
      <c r="F3482" s="503"/>
    </row>
    <row r="3483" spans="1:6" ht="51" x14ac:dyDescent="0.25">
      <c r="A3483" s="149"/>
      <c r="B3483" s="150" t="s">
        <v>1985</v>
      </c>
      <c r="C3483" s="342" t="s">
        <v>48</v>
      </c>
      <c r="D3483" s="469"/>
      <c r="E3483" s="503"/>
      <c r="F3483" s="503"/>
    </row>
    <row r="3484" spans="1:6" ht="76.5" x14ac:dyDescent="0.25">
      <c r="A3484" s="149"/>
      <c r="B3484" s="150" t="s">
        <v>1986</v>
      </c>
      <c r="C3484" s="342" t="s">
        <v>48</v>
      </c>
      <c r="D3484" s="469"/>
      <c r="E3484" s="503"/>
      <c r="F3484" s="503"/>
    </row>
    <row r="3485" spans="1:6" ht="39" thickBot="1" x14ac:dyDescent="0.3">
      <c r="A3485" s="154"/>
      <c r="B3485" s="170" t="s">
        <v>1987</v>
      </c>
      <c r="C3485" s="343" t="s">
        <v>48</v>
      </c>
      <c r="D3485" s="436"/>
      <c r="E3485" s="444"/>
      <c r="F3485" s="444"/>
    </row>
    <row r="3486" spans="1:6" ht="31.5" x14ac:dyDescent="0.25">
      <c r="A3486" s="435"/>
      <c r="B3486" s="152" t="s">
        <v>1893</v>
      </c>
      <c r="C3486" s="473" t="s">
        <v>1895</v>
      </c>
      <c r="D3486" s="474"/>
      <c r="E3486" s="474"/>
      <c r="F3486" s="475"/>
    </row>
    <row r="3487" spans="1:6" x14ac:dyDescent="0.25">
      <c r="A3487" s="469"/>
      <c r="B3487" s="138"/>
      <c r="C3487" s="476" t="s">
        <v>1896</v>
      </c>
      <c r="D3487" s="477"/>
      <c r="E3487" s="477"/>
      <c r="F3487" s="478"/>
    </row>
    <row r="3488" spans="1:6" ht="15.75" thickBot="1" x14ac:dyDescent="0.3">
      <c r="A3488" s="469"/>
      <c r="B3488" s="139" t="s">
        <v>1894</v>
      </c>
      <c r="C3488" s="494" t="s">
        <v>1897</v>
      </c>
      <c r="D3488" s="495"/>
      <c r="E3488" s="495"/>
      <c r="F3488" s="496"/>
    </row>
    <row r="3489" spans="1:6" ht="15.75" thickBot="1" x14ac:dyDescent="0.3">
      <c r="A3489" s="470"/>
      <c r="B3489" s="140"/>
      <c r="C3489" s="497" t="s">
        <v>1898</v>
      </c>
      <c r="D3489" s="498"/>
      <c r="E3489" s="498"/>
      <c r="F3489" s="499"/>
    </row>
    <row r="3490" spans="1:6" ht="16.5" thickTop="1" thickBot="1" x14ac:dyDescent="0.3">
      <c r="A3490" s="141" t="s">
        <v>1899</v>
      </c>
      <c r="B3490" s="310" t="s">
        <v>1</v>
      </c>
      <c r="C3490" s="341" t="s">
        <v>3</v>
      </c>
      <c r="D3490" s="173" t="s">
        <v>2</v>
      </c>
      <c r="E3490" s="278" t="s">
        <v>1900</v>
      </c>
      <c r="F3490" s="279" t="s">
        <v>1427</v>
      </c>
    </row>
    <row r="3491" spans="1:6" ht="64.5" thickTop="1" x14ac:dyDescent="0.25">
      <c r="A3491" s="501"/>
      <c r="B3491" s="150" t="s">
        <v>1988</v>
      </c>
      <c r="C3491" s="342" t="s">
        <v>48</v>
      </c>
      <c r="D3491" s="501"/>
      <c r="E3491" s="502"/>
      <c r="F3491" s="502"/>
    </row>
    <row r="3492" spans="1:6" ht="25.5" x14ac:dyDescent="0.25">
      <c r="A3492" s="469"/>
      <c r="B3492" s="146" t="s">
        <v>1989</v>
      </c>
      <c r="C3492" s="342" t="s">
        <v>48</v>
      </c>
      <c r="D3492" s="469"/>
      <c r="E3492" s="503"/>
      <c r="F3492" s="503"/>
    </row>
    <row r="3493" spans="1:6" ht="51" x14ac:dyDescent="0.25">
      <c r="A3493" s="469"/>
      <c r="B3493" s="150" t="s">
        <v>1990</v>
      </c>
      <c r="C3493" s="342" t="s">
        <v>48</v>
      </c>
      <c r="D3493" s="469"/>
      <c r="E3493" s="503"/>
      <c r="F3493" s="503"/>
    </row>
    <row r="3494" spans="1:6" ht="63.75" x14ac:dyDescent="0.25">
      <c r="A3494" s="469"/>
      <c r="B3494" s="150" t="s">
        <v>1991</v>
      </c>
      <c r="C3494" s="342" t="s">
        <v>48</v>
      </c>
      <c r="D3494" s="469"/>
      <c r="E3494" s="503"/>
      <c r="F3494" s="503"/>
    </row>
    <row r="3495" spans="1:6" ht="51" x14ac:dyDescent="0.25">
      <c r="A3495" s="469"/>
      <c r="B3495" s="150" t="s">
        <v>1992</v>
      </c>
      <c r="C3495" s="342" t="s">
        <v>48</v>
      </c>
      <c r="D3495" s="469"/>
      <c r="E3495" s="503"/>
      <c r="F3495" s="503"/>
    </row>
    <row r="3496" spans="1:6" ht="76.5" x14ac:dyDescent="0.25">
      <c r="A3496" s="469"/>
      <c r="B3496" s="150" t="s">
        <v>1993</v>
      </c>
      <c r="C3496" s="342" t="s">
        <v>48</v>
      </c>
      <c r="D3496" s="469"/>
      <c r="E3496" s="503"/>
      <c r="F3496" s="503"/>
    </row>
    <row r="3497" spans="1:6" x14ac:dyDescent="0.25">
      <c r="A3497" s="469"/>
      <c r="B3497" s="146"/>
      <c r="C3497" s="342"/>
      <c r="D3497" s="469"/>
      <c r="E3497" s="503"/>
      <c r="F3497" s="503"/>
    </row>
    <row r="3498" spans="1:6" ht="38.25" x14ac:dyDescent="0.25">
      <c r="A3498" s="469"/>
      <c r="B3498" s="150" t="s">
        <v>1994</v>
      </c>
      <c r="C3498" s="342" t="s">
        <v>48</v>
      </c>
      <c r="D3498" s="469"/>
      <c r="E3498" s="503"/>
      <c r="F3498" s="503"/>
    </row>
    <row r="3499" spans="1:6" ht="64.5" thickBot="1" x14ac:dyDescent="0.3">
      <c r="A3499" s="436"/>
      <c r="B3499" s="151" t="s">
        <v>1995</v>
      </c>
      <c r="C3499" s="343" t="s">
        <v>48</v>
      </c>
      <c r="D3499" s="436"/>
      <c r="E3499" s="444"/>
      <c r="F3499" s="444"/>
    </row>
    <row r="3500" spans="1:6" ht="31.5" x14ac:dyDescent="0.25">
      <c r="A3500" s="435"/>
      <c r="B3500" s="152" t="s">
        <v>1893</v>
      </c>
      <c r="C3500" s="473" t="s">
        <v>1895</v>
      </c>
      <c r="D3500" s="474"/>
      <c r="E3500" s="474"/>
      <c r="F3500" s="475"/>
    </row>
    <row r="3501" spans="1:6" x14ac:dyDescent="0.25">
      <c r="A3501" s="469"/>
      <c r="B3501" s="138"/>
      <c r="C3501" s="476" t="s">
        <v>1896</v>
      </c>
      <c r="D3501" s="477"/>
      <c r="E3501" s="477"/>
      <c r="F3501" s="478"/>
    </row>
    <row r="3502" spans="1:6" ht="15.75" thickBot="1" x14ac:dyDescent="0.3">
      <c r="A3502" s="469"/>
      <c r="B3502" s="139" t="s">
        <v>1894</v>
      </c>
      <c r="C3502" s="494" t="s">
        <v>1897</v>
      </c>
      <c r="D3502" s="495"/>
      <c r="E3502" s="495"/>
      <c r="F3502" s="496"/>
    </row>
    <row r="3503" spans="1:6" ht="15.75" thickBot="1" x14ac:dyDescent="0.3">
      <c r="A3503" s="470"/>
      <c r="B3503" s="140"/>
      <c r="C3503" s="497" t="s">
        <v>1898</v>
      </c>
      <c r="D3503" s="498"/>
      <c r="E3503" s="498"/>
      <c r="F3503" s="499"/>
    </row>
    <row r="3504" spans="1:6" ht="16.5" thickTop="1" thickBot="1" x14ac:dyDescent="0.3">
      <c r="A3504" s="141" t="s">
        <v>1899</v>
      </c>
      <c r="B3504" s="310" t="s">
        <v>1</v>
      </c>
      <c r="C3504" s="341" t="s">
        <v>3</v>
      </c>
      <c r="D3504" s="173" t="s">
        <v>2</v>
      </c>
      <c r="E3504" s="278" t="s">
        <v>1900</v>
      </c>
      <c r="F3504" s="279" t="s">
        <v>1427</v>
      </c>
    </row>
    <row r="3505" spans="1:6" ht="15.75" thickTop="1" x14ac:dyDescent="0.25">
      <c r="A3505" s="501"/>
      <c r="B3505" s="155" t="s">
        <v>1790</v>
      </c>
      <c r="C3505" s="345"/>
      <c r="D3505" s="501"/>
      <c r="E3505" s="502"/>
      <c r="F3505" s="502"/>
    </row>
    <row r="3506" spans="1:6" ht="51" x14ac:dyDescent="0.25">
      <c r="A3506" s="469"/>
      <c r="B3506" s="150" t="s">
        <v>1996</v>
      </c>
      <c r="C3506" s="342" t="s">
        <v>48</v>
      </c>
      <c r="D3506" s="469"/>
      <c r="E3506" s="503"/>
      <c r="F3506" s="503"/>
    </row>
    <row r="3507" spans="1:6" ht="25.5" x14ac:dyDescent="0.25">
      <c r="A3507" s="469"/>
      <c r="B3507" s="146" t="s">
        <v>1997</v>
      </c>
      <c r="C3507" s="342" t="s">
        <v>48</v>
      </c>
      <c r="D3507" s="469"/>
      <c r="E3507" s="503"/>
      <c r="F3507" s="503"/>
    </row>
    <row r="3508" spans="1:6" x14ac:dyDescent="0.25">
      <c r="A3508" s="469"/>
      <c r="B3508" s="155" t="s">
        <v>1761</v>
      </c>
      <c r="C3508" s="345"/>
      <c r="D3508" s="469"/>
      <c r="E3508" s="503"/>
      <c r="F3508" s="503"/>
    </row>
    <row r="3509" spans="1:6" ht="127.5" x14ac:dyDescent="0.25">
      <c r="A3509" s="469"/>
      <c r="B3509" s="150" t="s">
        <v>1998</v>
      </c>
      <c r="C3509" s="342" t="s">
        <v>48</v>
      </c>
      <c r="D3509" s="469"/>
      <c r="E3509" s="503"/>
      <c r="F3509" s="503"/>
    </row>
    <row r="3510" spans="1:6" ht="114.75" x14ac:dyDescent="0.25">
      <c r="A3510" s="469"/>
      <c r="B3510" s="150" t="s">
        <v>1999</v>
      </c>
      <c r="C3510" s="342" t="s">
        <v>48</v>
      </c>
      <c r="D3510" s="469"/>
      <c r="E3510" s="503"/>
      <c r="F3510" s="503"/>
    </row>
    <row r="3511" spans="1:6" ht="51" x14ac:dyDescent="0.25">
      <c r="A3511" s="469"/>
      <c r="B3511" s="150" t="s">
        <v>2000</v>
      </c>
      <c r="C3511" s="342" t="s">
        <v>48</v>
      </c>
      <c r="D3511" s="469"/>
      <c r="E3511" s="503"/>
      <c r="F3511" s="503"/>
    </row>
    <row r="3512" spans="1:6" ht="25.5" x14ac:dyDescent="0.25">
      <c r="A3512" s="469"/>
      <c r="B3512" s="146" t="s">
        <v>2001</v>
      </c>
      <c r="C3512" s="342" t="s">
        <v>48</v>
      </c>
      <c r="D3512" s="469"/>
      <c r="E3512" s="503"/>
      <c r="F3512" s="503"/>
    </row>
    <row r="3513" spans="1:6" ht="26.25" thickBot="1" x14ac:dyDescent="0.3">
      <c r="A3513" s="436"/>
      <c r="B3513" s="170" t="s">
        <v>2002</v>
      </c>
      <c r="C3513" s="343" t="s">
        <v>48</v>
      </c>
      <c r="D3513" s="436"/>
      <c r="E3513" s="444"/>
      <c r="F3513" s="444"/>
    </row>
    <row r="3514" spans="1:6" ht="31.5" x14ac:dyDescent="0.25">
      <c r="A3514" s="435"/>
      <c r="B3514" s="152" t="s">
        <v>1893</v>
      </c>
      <c r="C3514" s="473" t="s">
        <v>1895</v>
      </c>
      <c r="D3514" s="474"/>
      <c r="E3514" s="474"/>
      <c r="F3514" s="475"/>
    </row>
    <row r="3515" spans="1:6" x14ac:dyDescent="0.25">
      <c r="A3515" s="469"/>
      <c r="B3515" s="138"/>
      <c r="C3515" s="476" t="s">
        <v>1896</v>
      </c>
      <c r="D3515" s="477"/>
      <c r="E3515" s="477"/>
      <c r="F3515" s="478"/>
    </row>
    <row r="3516" spans="1:6" ht="15.75" thickBot="1" x14ac:dyDescent="0.3">
      <c r="A3516" s="469"/>
      <c r="B3516" s="139" t="s">
        <v>1894</v>
      </c>
      <c r="C3516" s="494" t="s">
        <v>1897</v>
      </c>
      <c r="D3516" s="495"/>
      <c r="E3516" s="495"/>
      <c r="F3516" s="496"/>
    </row>
    <row r="3517" spans="1:6" ht="15.75" thickBot="1" x14ac:dyDescent="0.3">
      <c r="A3517" s="470"/>
      <c r="B3517" s="140"/>
      <c r="C3517" s="497" t="s">
        <v>1898</v>
      </c>
      <c r="D3517" s="498"/>
      <c r="E3517" s="498"/>
      <c r="F3517" s="499"/>
    </row>
    <row r="3518" spans="1:6" ht="16.5" thickTop="1" thickBot="1" x14ac:dyDescent="0.3">
      <c r="A3518" s="141" t="s">
        <v>1899</v>
      </c>
      <c r="B3518" s="310" t="s">
        <v>1</v>
      </c>
      <c r="C3518" s="341" t="s">
        <v>3</v>
      </c>
      <c r="D3518" s="173" t="s">
        <v>2</v>
      </c>
      <c r="E3518" s="278" t="s">
        <v>1900</v>
      </c>
      <c r="F3518" s="279" t="s">
        <v>1427</v>
      </c>
    </row>
    <row r="3519" spans="1:6" ht="51.75" thickTop="1" x14ac:dyDescent="0.25">
      <c r="A3519" s="501"/>
      <c r="B3519" s="150" t="s">
        <v>2003</v>
      </c>
      <c r="C3519" s="342" t="s">
        <v>48</v>
      </c>
      <c r="D3519" s="501"/>
      <c r="E3519" s="502"/>
      <c r="F3519" s="502"/>
    </row>
    <row r="3520" spans="1:6" ht="51" x14ac:dyDescent="0.25">
      <c r="A3520" s="469"/>
      <c r="B3520" s="150" t="s">
        <v>2004</v>
      </c>
      <c r="C3520" s="342" t="s">
        <v>48</v>
      </c>
      <c r="D3520" s="469"/>
      <c r="E3520" s="503"/>
      <c r="F3520" s="503"/>
    </row>
    <row r="3521" spans="1:6" ht="153" x14ac:dyDescent="0.25">
      <c r="A3521" s="469"/>
      <c r="B3521" s="150" t="s">
        <v>2005</v>
      </c>
      <c r="C3521" s="342" t="s">
        <v>48</v>
      </c>
      <c r="D3521" s="469"/>
      <c r="E3521" s="503"/>
      <c r="F3521" s="503"/>
    </row>
    <row r="3522" spans="1:6" ht="25.5" x14ac:dyDescent="0.25">
      <c r="A3522" s="469"/>
      <c r="B3522" s="146" t="s">
        <v>2006</v>
      </c>
      <c r="C3522" s="342" t="s">
        <v>48</v>
      </c>
      <c r="D3522" s="469"/>
      <c r="E3522" s="503"/>
      <c r="F3522" s="503"/>
    </row>
    <row r="3523" spans="1:6" ht="90" thickBot="1" x14ac:dyDescent="0.3">
      <c r="A3523" s="436"/>
      <c r="B3523" s="151" t="s">
        <v>2007</v>
      </c>
      <c r="C3523" s="343" t="s">
        <v>48</v>
      </c>
      <c r="D3523" s="436"/>
      <c r="E3523" s="444"/>
      <c r="F3523" s="444"/>
    </row>
    <row r="3524" spans="1:6" ht="31.5" x14ac:dyDescent="0.25">
      <c r="A3524" s="435"/>
      <c r="B3524" s="152" t="s">
        <v>1893</v>
      </c>
      <c r="C3524" s="473" t="s">
        <v>1895</v>
      </c>
      <c r="D3524" s="474"/>
      <c r="E3524" s="474"/>
      <c r="F3524" s="475"/>
    </row>
    <row r="3525" spans="1:6" x14ac:dyDescent="0.25">
      <c r="A3525" s="469"/>
      <c r="B3525" s="138"/>
      <c r="C3525" s="476" t="s">
        <v>1896</v>
      </c>
      <c r="D3525" s="477"/>
      <c r="E3525" s="477"/>
      <c r="F3525" s="478"/>
    </row>
    <row r="3526" spans="1:6" ht="15.75" thickBot="1" x14ac:dyDescent="0.3">
      <c r="A3526" s="469"/>
      <c r="B3526" s="139" t="s">
        <v>1894</v>
      </c>
      <c r="C3526" s="494" t="s">
        <v>1897</v>
      </c>
      <c r="D3526" s="495"/>
      <c r="E3526" s="495"/>
      <c r="F3526" s="496"/>
    </row>
    <row r="3527" spans="1:6" ht="15.75" thickBot="1" x14ac:dyDescent="0.3">
      <c r="A3527" s="470"/>
      <c r="B3527" s="140"/>
      <c r="C3527" s="497" t="s">
        <v>1898</v>
      </c>
      <c r="D3527" s="498"/>
      <c r="E3527" s="498"/>
      <c r="F3527" s="499"/>
    </row>
    <row r="3528" spans="1:6" ht="16.5" thickTop="1" thickBot="1" x14ac:dyDescent="0.3">
      <c r="A3528" s="156" t="s">
        <v>1899</v>
      </c>
      <c r="B3528" s="310" t="s">
        <v>1</v>
      </c>
      <c r="C3528" s="341" t="s">
        <v>3</v>
      </c>
      <c r="D3528" s="173" t="s">
        <v>2</v>
      </c>
      <c r="E3528" s="278" t="s">
        <v>1900</v>
      </c>
      <c r="F3528" s="279" t="s">
        <v>1427</v>
      </c>
    </row>
    <row r="3529" spans="1:6" ht="15.75" thickTop="1" x14ac:dyDescent="0.25">
      <c r="A3529" s="149"/>
      <c r="B3529" s="155" t="s">
        <v>2008</v>
      </c>
      <c r="C3529" s="345"/>
      <c r="D3529" s="148"/>
      <c r="E3529" s="280"/>
      <c r="F3529" s="280"/>
    </row>
    <row r="3530" spans="1:6" ht="25.5" x14ac:dyDescent="0.25">
      <c r="A3530" s="149"/>
      <c r="B3530" s="147" t="s">
        <v>2232</v>
      </c>
      <c r="C3530" s="345"/>
      <c r="D3530" s="148"/>
      <c r="E3530" s="281"/>
      <c r="F3530" s="281"/>
    </row>
    <row r="3531" spans="1:6" x14ac:dyDescent="0.25">
      <c r="A3531" s="149"/>
      <c r="B3531" s="147"/>
      <c r="C3531" s="345"/>
      <c r="D3531" s="148"/>
      <c r="E3531" s="281"/>
      <c r="F3531" s="281"/>
    </row>
    <row r="3532" spans="1:6" ht="38.25" x14ac:dyDescent="0.25">
      <c r="A3532" s="172" t="s">
        <v>2010</v>
      </c>
      <c r="B3532" s="146" t="s">
        <v>2231</v>
      </c>
      <c r="C3532" s="342" t="s">
        <v>188</v>
      </c>
      <c r="D3532" s="158">
        <v>1</v>
      </c>
      <c r="E3532" s="281">
        <v>105000</v>
      </c>
      <c r="F3532" s="281">
        <f>E3532*D3532</f>
        <v>105000</v>
      </c>
    </row>
    <row r="3533" spans="1:6" x14ac:dyDescent="0.25">
      <c r="A3533" s="469"/>
      <c r="B3533" s="146"/>
      <c r="C3533" s="489"/>
      <c r="D3533" s="469"/>
      <c r="E3533" s="281"/>
      <c r="F3533" s="281"/>
    </row>
    <row r="3534" spans="1:6" ht="25.5" x14ac:dyDescent="0.25">
      <c r="A3534" s="469"/>
      <c r="B3534" s="155" t="s">
        <v>2368</v>
      </c>
      <c r="C3534" s="489"/>
      <c r="D3534" s="469"/>
      <c r="E3534" s="281"/>
      <c r="F3534" s="281"/>
    </row>
    <row r="3535" spans="1:6" x14ac:dyDescent="0.25">
      <c r="A3535" s="149"/>
      <c r="B3535" s="155"/>
      <c r="C3535" s="345"/>
      <c r="D3535" s="148"/>
      <c r="E3535" s="281"/>
      <c r="F3535" s="281"/>
    </row>
    <row r="3536" spans="1:6" ht="51" x14ac:dyDescent="0.25">
      <c r="A3536" s="149"/>
      <c r="B3536" s="146" t="s">
        <v>2230</v>
      </c>
      <c r="C3536" s="345"/>
      <c r="D3536" s="148"/>
      <c r="E3536" s="281"/>
      <c r="F3536" s="281"/>
    </row>
    <row r="3537" spans="1:6" x14ac:dyDescent="0.25">
      <c r="A3537" s="168"/>
      <c r="B3537" s="146"/>
      <c r="C3537" s="356"/>
      <c r="D3537" s="169"/>
      <c r="E3537" s="281"/>
      <c r="F3537" s="281"/>
    </row>
    <row r="3538" spans="1:6" x14ac:dyDescent="0.25">
      <c r="A3538" s="172" t="s">
        <v>2012</v>
      </c>
      <c r="B3538" s="146" t="s">
        <v>2013</v>
      </c>
      <c r="C3538" s="342" t="s">
        <v>2014</v>
      </c>
      <c r="D3538" s="158">
        <v>13</v>
      </c>
      <c r="E3538" s="281">
        <v>1850</v>
      </c>
      <c r="F3538" s="281">
        <f>E3538*D3538</f>
        <v>24050</v>
      </c>
    </row>
    <row r="3539" spans="1:6" x14ac:dyDescent="0.25">
      <c r="A3539" s="172" t="s">
        <v>2015</v>
      </c>
      <c r="B3539" s="146" t="s">
        <v>2016</v>
      </c>
      <c r="C3539" s="342" t="s">
        <v>2014</v>
      </c>
      <c r="D3539" s="158">
        <v>13</v>
      </c>
      <c r="E3539" s="281">
        <v>1450</v>
      </c>
      <c r="F3539" s="281">
        <f>E3539*D3539</f>
        <v>18850</v>
      </c>
    </row>
    <row r="3540" spans="1:6" x14ac:dyDescent="0.25">
      <c r="A3540" s="172" t="s">
        <v>2017</v>
      </c>
      <c r="B3540" s="146" t="s">
        <v>2018</v>
      </c>
      <c r="C3540" s="342" t="s">
        <v>2014</v>
      </c>
      <c r="D3540" s="158">
        <v>44</v>
      </c>
      <c r="E3540" s="281">
        <v>1800</v>
      </c>
      <c r="F3540" s="281">
        <f>E3540*D3540</f>
        <v>79200</v>
      </c>
    </row>
    <row r="3541" spans="1:6" ht="89.25" x14ac:dyDescent="0.25">
      <c r="A3541" s="172" t="s">
        <v>2019</v>
      </c>
      <c r="B3541" s="146" t="s">
        <v>2229</v>
      </c>
      <c r="C3541" s="342" t="s">
        <v>11</v>
      </c>
      <c r="D3541" s="158">
        <v>1</v>
      </c>
      <c r="E3541" s="281">
        <v>8500</v>
      </c>
      <c r="F3541" s="281">
        <f>E3541*D3541</f>
        <v>8500</v>
      </c>
    </row>
    <row r="3542" spans="1:6" ht="15.75" thickBot="1" x14ac:dyDescent="0.3">
      <c r="A3542" s="168"/>
      <c r="B3542" s="146"/>
      <c r="C3542" s="356"/>
      <c r="D3542" s="169"/>
      <c r="E3542" s="281"/>
      <c r="F3542" s="281"/>
    </row>
    <row r="3543" spans="1:6" ht="31.5" x14ac:dyDescent="0.25">
      <c r="A3543" s="435"/>
      <c r="B3543" s="152" t="s">
        <v>1893</v>
      </c>
      <c r="C3543" s="473" t="s">
        <v>1895</v>
      </c>
      <c r="D3543" s="474"/>
      <c r="E3543" s="474"/>
      <c r="F3543" s="475"/>
    </row>
    <row r="3544" spans="1:6" x14ac:dyDescent="0.25">
      <c r="A3544" s="469"/>
      <c r="B3544" s="138"/>
      <c r="C3544" s="476" t="s">
        <v>1896</v>
      </c>
      <c r="D3544" s="477"/>
      <c r="E3544" s="477"/>
      <c r="F3544" s="478"/>
    </row>
    <row r="3545" spans="1:6" ht="15.75" thickBot="1" x14ac:dyDescent="0.3">
      <c r="A3545" s="469"/>
      <c r="B3545" s="139" t="s">
        <v>1894</v>
      </c>
      <c r="C3545" s="494" t="s">
        <v>1897</v>
      </c>
      <c r="D3545" s="495"/>
      <c r="E3545" s="495"/>
      <c r="F3545" s="496"/>
    </row>
    <row r="3546" spans="1:6" ht="15.75" thickBot="1" x14ac:dyDescent="0.3">
      <c r="A3546" s="470"/>
      <c r="B3546" s="140"/>
      <c r="C3546" s="497" t="s">
        <v>1898</v>
      </c>
      <c r="D3546" s="498"/>
      <c r="E3546" s="498"/>
      <c r="F3546" s="499"/>
    </row>
    <row r="3547" spans="1:6" ht="16.5" thickTop="1" thickBot="1" x14ac:dyDescent="0.3">
      <c r="A3547" s="156" t="s">
        <v>1899</v>
      </c>
      <c r="B3547" s="310" t="s">
        <v>1</v>
      </c>
      <c r="C3547" s="341" t="s">
        <v>3</v>
      </c>
      <c r="D3547" s="173" t="s">
        <v>2</v>
      </c>
      <c r="E3547" s="278" t="s">
        <v>1900</v>
      </c>
      <c r="F3547" s="279" t="s">
        <v>1427</v>
      </c>
    </row>
    <row r="3548" spans="1:6" ht="15.75" thickTop="1" x14ac:dyDescent="0.25">
      <c r="A3548" s="149"/>
      <c r="B3548" s="155" t="s">
        <v>2020</v>
      </c>
      <c r="C3548" s="345"/>
      <c r="D3548" s="148"/>
      <c r="E3548" s="280"/>
      <c r="F3548" s="280"/>
    </row>
    <row r="3549" spans="1:6" x14ac:dyDescent="0.25">
      <c r="A3549" s="469"/>
      <c r="B3549" s="174" t="s">
        <v>2021</v>
      </c>
      <c r="C3549" s="489"/>
      <c r="D3549" s="469"/>
      <c r="E3549" s="281"/>
      <c r="F3549" s="281"/>
    </row>
    <row r="3550" spans="1:6" ht="51" x14ac:dyDescent="0.25">
      <c r="A3550" s="469"/>
      <c r="B3550" s="175" t="s">
        <v>1996</v>
      </c>
      <c r="C3550" s="489"/>
      <c r="D3550" s="469"/>
      <c r="E3550" s="281"/>
      <c r="F3550" s="281"/>
    </row>
    <row r="3551" spans="1:6" x14ac:dyDescent="0.25">
      <c r="A3551" s="149"/>
      <c r="B3551" s="147" t="s">
        <v>2022</v>
      </c>
      <c r="C3551" s="345"/>
      <c r="D3551" s="148"/>
      <c r="E3551" s="281"/>
      <c r="F3551" s="281"/>
    </row>
    <row r="3552" spans="1:6" x14ac:dyDescent="0.25">
      <c r="A3552" s="144"/>
      <c r="B3552" s="146"/>
      <c r="C3552" s="342"/>
      <c r="D3552" s="146"/>
      <c r="E3552" s="281"/>
      <c r="F3552" s="281"/>
    </row>
    <row r="3553" spans="1:6" ht="51" x14ac:dyDescent="0.25">
      <c r="A3553" s="172" t="s">
        <v>2023</v>
      </c>
      <c r="B3553" s="150" t="s">
        <v>2024</v>
      </c>
      <c r="C3553" s="342" t="s">
        <v>1958</v>
      </c>
      <c r="D3553" s="158">
        <v>100</v>
      </c>
      <c r="E3553" s="281">
        <v>750</v>
      </c>
      <c r="F3553" s="281">
        <f>E3553*D3553</f>
        <v>75000</v>
      </c>
    </row>
    <row r="3554" spans="1:6" x14ac:dyDescent="0.25">
      <c r="A3554" s="469"/>
      <c r="B3554" s="146"/>
      <c r="C3554" s="489"/>
      <c r="D3554" s="469"/>
      <c r="E3554" s="281"/>
      <c r="F3554" s="281"/>
    </row>
    <row r="3555" spans="1:6" ht="51" x14ac:dyDescent="0.25">
      <c r="A3555" s="469"/>
      <c r="B3555" s="150" t="s">
        <v>2025</v>
      </c>
      <c r="C3555" s="489"/>
      <c r="D3555" s="469"/>
      <c r="E3555" s="281"/>
      <c r="F3555" s="281"/>
    </row>
    <row r="3556" spans="1:6" ht="15.75" thickBot="1" x14ac:dyDescent="0.3">
      <c r="A3556" s="176" t="s">
        <v>2026</v>
      </c>
      <c r="B3556" s="170" t="s">
        <v>2027</v>
      </c>
      <c r="C3556" s="343" t="s">
        <v>668</v>
      </c>
      <c r="D3556" s="160">
        <v>16</v>
      </c>
      <c r="E3556" s="282">
        <v>1450</v>
      </c>
      <c r="F3556" s="281">
        <f>E3556*D3556</f>
        <v>23200</v>
      </c>
    </row>
    <row r="3557" spans="1:6" ht="26.25" thickBot="1" x14ac:dyDescent="0.3">
      <c r="A3557" s="154"/>
      <c r="B3557" s="177" t="s">
        <v>2028</v>
      </c>
      <c r="C3557" s="346"/>
      <c r="D3557" s="171"/>
      <c r="E3557" s="285" t="s">
        <v>1932</v>
      </c>
      <c r="F3557" s="286">
        <f>SUM(F3556,F3553,F3538:F3541,F3532)</f>
        <v>333800</v>
      </c>
    </row>
    <row r="3558" spans="1:6" ht="31.5" x14ac:dyDescent="0.25">
      <c r="A3558" s="435"/>
      <c r="B3558" s="137" t="s">
        <v>1893</v>
      </c>
      <c r="C3558" s="473" t="s">
        <v>1895</v>
      </c>
      <c r="D3558" s="474"/>
      <c r="E3558" s="474"/>
      <c r="F3558" s="478"/>
    </row>
    <row r="3559" spans="1:6" x14ac:dyDescent="0.25">
      <c r="A3559" s="469"/>
      <c r="B3559" s="138"/>
      <c r="C3559" s="476" t="s">
        <v>1896</v>
      </c>
      <c r="D3559" s="477"/>
      <c r="E3559" s="477"/>
      <c r="F3559" s="478"/>
    </row>
    <row r="3560" spans="1:6" ht="15.75" thickBot="1" x14ac:dyDescent="0.3">
      <c r="A3560" s="469"/>
      <c r="B3560" s="139" t="s">
        <v>1894</v>
      </c>
      <c r="C3560" s="494" t="s">
        <v>1897</v>
      </c>
      <c r="D3560" s="495"/>
      <c r="E3560" s="495"/>
      <c r="F3560" s="496"/>
    </row>
    <row r="3561" spans="1:6" ht="15.75" thickBot="1" x14ac:dyDescent="0.3">
      <c r="A3561" s="470"/>
      <c r="B3561" s="140"/>
      <c r="C3561" s="497" t="s">
        <v>1898</v>
      </c>
      <c r="D3561" s="498"/>
      <c r="E3561" s="498"/>
      <c r="F3561" s="499"/>
    </row>
    <row r="3562" spans="1:6" ht="16.5" thickTop="1" thickBot="1" x14ac:dyDescent="0.3">
      <c r="A3562" s="156" t="s">
        <v>1899</v>
      </c>
      <c r="B3562" s="310" t="s">
        <v>1</v>
      </c>
      <c r="C3562" s="341" t="s">
        <v>3</v>
      </c>
      <c r="D3562" s="173" t="s">
        <v>2</v>
      </c>
      <c r="E3562" s="278" t="s">
        <v>1900</v>
      </c>
      <c r="F3562" s="287" t="s">
        <v>1427</v>
      </c>
    </row>
    <row r="3563" spans="1:6" ht="15.75" thickTop="1" x14ac:dyDescent="0.25">
      <c r="A3563" s="144"/>
      <c r="B3563" s="146"/>
      <c r="C3563" s="500"/>
      <c r="D3563" s="501"/>
      <c r="E3563" s="502"/>
      <c r="F3563" s="502"/>
    </row>
    <row r="3564" spans="1:6" x14ac:dyDescent="0.25">
      <c r="A3564" s="164" t="s">
        <v>2029</v>
      </c>
      <c r="B3564" s="155" t="s">
        <v>2030</v>
      </c>
      <c r="C3564" s="489"/>
      <c r="D3564" s="469"/>
      <c r="E3564" s="503"/>
      <c r="F3564" s="503"/>
    </row>
    <row r="3565" spans="1:6" ht="102" x14ac:dyDescent="0.25">
      <c r="A3565" s="149"/>
      <c r="B3565" s="150" t="s">
        <v>2031</v>
      </c>
      <c r="C3565" s="342" t="s">
        <v>48</v>
      </c>
      <c r="D3565" s="469"/>
      <c r="E3565" s="503"/>
      <c r="F3565" s="503"/>
    </row>
    <row r="3566" spans="1:6" ht="51" x14ac:dyDescent="0.25">
      <c r="A3566" s="149"/>
      <c r="B3566" s="150" t="s">
        <v>2032</v>
      </c>
      <c r="C3566" s="342" t="s">
        <v>48</v>
      </c>
      <c r="D3566" s="469"/>
      <c r="E3566" s="503"/>
      <c r="F3566" s="503"/>
    </row>
    <row r="3567" spans="1:6" ht="38.25" x14ac:dyDescent="0.25">
      <c r="A3567" s="149"/>
      <c r="B3567" s="150" t="s">
        <v>2033</v>
      </c>
      <c r="C3567" s="342" t="s">
        <v>48</v>
      </c>
      <c r="D3567" s="469"/>
      <c r="E3567" s="503"/>
      <c r="F3567" s="503"/>
    </row>
    <row r="3568" spans="1:6" ht="63.75" x14ac:dyDescent="0.25">
      <c r="A3568" s="149"/>
      <c r="B3568" s="150" t="s">
        <v>2034</v>
      </c>
      <c r="C3568" s="342" t="s">
        <v>48</v>
      </c>
      <c r="D3568" s="469"/>
      <c r="E3568" s="503"/>
      <c r="F3568" s="503"/>
    </row>
    <row r="3569" spans="1:6" x14ac:dyDescent="0.25">
      <c r="A3569" s="469"/>
      <c r="B3569" s="146"/>
      <c r="C3569" s="342"/>
      <c r="D3569" s="469"/>
      <c r="E3569" s="503"/>
      <c r="F3569" s="503"/>
    </row>
    <row r="3570" spans="1:6" ht="89.25" x14ac:dyDescent="0.25">
      <c r="A3570" s="469"/>
      <c r="B3570" s="150" t="s">
        <v>2035</v>
      </c>
      <c r="C3570" s="342" t="s">
        <v>48</v>
      </c>
      <c r="D3570" s="469"/>
      <c r="E3570" s="503"/>
      <c r="F3570" s="503"/>
    </row>
    <row r="3571" spans="1:6" ht="64.5" thickBot="1" x14ac:dyDescent="0.3">
      <c r="A3571" s="154"/>
      <c r="B3571" s="151" t="s">
        <v>2036</v>
      </c>
      <c r="C3571" s="343" t="s">
        <v>48</v>
      </c>
      <c r="D3571" s="436"/>
      <c r="E3571" s="444"/>
      <c r="F3571" s="444"/>
    </row>
    <row r="3572" spans="1:6" ht="31.5" x14ac:dyDescent="0.25">
      <c r="A3572" s="435"/>
      <c r="B3572" s="137" t="s">
        <v>1893</v>
      </c>
      <c r="C3572" s="473" t="s">
        <v>1895</v>
      </c>
      <c r="D3572" s="474"/>
      <c r="E3572" s="474"/>
      <c r="F3572" s="475"/>
    </row>
    <row r="3573" spans="1:6" x14ac:dyDescent="0.25">
      <c r="A3573" s="469"/>
      <c r="B3573" s="138"/>
      <c r="C3573" s="476" t="s">
        <v>1896</v>
      </c>
      <c r="D3573" s="477"/>
      <c r="E3573" s="477"/>
      <c r="F3573" s="478"/>
    </row>
    <row r="3574" spans="1:6" ht="15.75" thickBot="1" x14ac:dyDescent="0.3">
      <c r="A3574" s="469"/>
      <c r="B3574" s="139" t="s">
        <v>1894</v>
      </c>
      <c r="C3574" s="494" t="s">
        <v>1897</v>
      </c>
      <c r="D3574" s="495"/>
      <c r="E3574" s="495"/>
      <c r="F3574" s="496"/>
    </row>
    <row r="3575" spans="1:6" ht="15.75" thickBot="1" x14ac:dyDescent="0.3">
      <c r="A3575" s="470"/>
      <c r="B3575" s="140"/>
      <c r="C3575" s="497" t="s">
        <v>1898</v>
      </c>
      <c r="D3575" s="498"/>
      <c r="E3575" s="498"/>
      <c r="F3575" s="499"/>
    </row>
    <row r="3576" spans="1:6" ht="16.5" thickTop="1" thickBot="1" x14ac:dyDescent="0.3">
      <c r="A3576" s="141" t="s">
        <v>1899</v>
      </c>
      <c r="B3576" s="310" t="s">
        <v>1</v>
      </c>
      <c r="C3576" s="341" t="s">
        <v>3</v>
      </c>
      <c r="D3576" s="173" t="s">
        <v>2</v>
      </c>
      <c r="E3576" s="278" t="s">
        <v>1900</v>
      </c>
      <c r="F3576" s="287" t="s">
        <v>1427</v>
      </c>
    </row>
    <row r="3577" spans="1:6" ht="15.75" thickTop="1" x14ac:dyDescent="0.25">
      <c r="A3577" s="501"/>
      <c r="B3577" s="146"/>
      <c r="C3577" s="342"/>
      <c r="D3577" s="501"/>
      <c r="E3577" s="502"/>
      <c r="F3577" s="502"/>
    </row>
    <row r="3578" spans="1:6" ht="89.25" x14ac:dyDescent="0.25">
      <c r="A3578" s="469"/>
      <c r="B3578" s="150" t="s">
        <v>2037</v>
      </c>
      <c r="C3578" s="342" t="s">
        <v>48</v>
      </c>
      <c r="D3578" s="469"/>
      <c r="E3578" s="503"/>
      <c r="F3578" s="503"/>
    </row>
    <row r="3579" spans="1:6" x14ac:dyDescent="0.25">
      <c r="A3579" s="469"/>
      <c r="B3579" s="146"/>
      <c r="C3579" s="342"/>
      <c r="D3579" s="469"/>
      <c r="E3579" s="503"/>
      <c r="F3579" s="503"/>
    </row>
    <row r="3580" spans="1:6" ht="25.5" x14ac:dyDescent="0.25">
      <c r="A3580" s="469"/>
      <c r="B3580" s="146" t="s">
        <v>2038</v>
      </c>
      <c r="C3580" s="342" t="s">
        <v>48</v>
      </c>
      <c r="D3580" s="469"/>
      <c r="E3580" s="503"/>
      <c r="F3580" s="503"/>
    </row>
    <row r="3581" spans="1:6" ht="38.25" x14ac:dyDescent="0.25">
      <c r="A3581" s="469"/>
      <c r="B3581" s="150" t="s">
        <v>2033</v>
      </c>
      <c r="C3581" s="342" t="s">
        <v>48</v>
      </c>
      <c r="D3581" s="469"/>
      <c r="E3581" s="503"/>
      <c r="F3581" s="503"/>
    </row>
    <row r="3582" spans="1:6" x14ac:dyDescent="0.25">
      <c r="A3582" s="469"/>
      <c r="B3582" s="146" t="s">
        <v>2039</v>
      </c>
      <c r="C3582" s="342"/>
      <c r="D3582" s="469"/>
      <c r="E3582" s="503"/>
      <c r="F3582" s="503"/>
    </row>
    <row r="3583" spans="1:6" x14ac:dyDescent="0.25">
      <c r="A3583" s="469"/>
      <c r="B3583" s="311" t="s">
        <v>2040</v>
      </c>
      <c r="C3583" s="342"/>
      <c r="D3583" s="469"/>
      <c r="E3583" s="503"/>
      <c r="F3583" s="503"/>
    </row>
    <row r="3584" spans="1:6" x14ac:dyDescent="0.25">
      <c r="A3584" s="469"/>
      <c r="B3584" s="311" t="s">
        <v>2041</v>
      </c>
      <c r="C3584" s="342"/>
      <c r="D3584" s="469"/>
      <c r="E3584" s="503"/>
      <c r="F3584" s="503"/>
    </row>
    <row r="3585" spans="1:6" ht="25.5" x14ac:dyDescent="0.25">
      <c r="A3585" s="469"/>
      <c r="B3585" s="146" t="s">
        <v>2042</v>
      </c>
      <c r="C3585" s="342"/>
      <c r="D3585" s="469"/>
      <c r="E3585" s="503"/>
      <c r="F3585" s="503"/>
    </row>
    <row r="3586" spans="1:6" ht="25.5" x14ac:dyDescent="0.25">
      <c r="A3586" s="469"/>
      <c r="B3586" s="146" t="s">
        <v>2043</v>
      </c>
      <c r="C3586" s="342"/>
      <c r="D3586" s="469"/>
      <c r="E3586" s="503"/>
      <c r="F3586" s="503"/>
    </row>
    <row r="3587" spans="1:6" x14ac:dyDescent="0.25">
      <c r="A3587" s="469"/>
      <c r="B3587" s="166"/>
      <c r="C3587" s="342"/>
      <c r="D3587" s="469"/>
      <c r="E3587" s="503"/>
      <c r="F3587" s="503"/>
    </row>
    <row r="3588" spans="1:6" x14ac:dyDescent="0.25">
      <c r="A3588" s="469"/>
      <c r="B3588" s="166"/>
      <c r="C3588" s="342" t="s">
        <v>48</v>
      </c>
      <c r="D3588" s="469"/>
      <c r="E3588" s="503"/>
      <c r="F3588" s="503"/>
    </row>
    <row r="3589" spans="1:6" ht="38.25" x14ac:dyDescent="0.25">
      <c r="A3589" s="469"/>
      <c r="B3589" s="150" t="s">
        <v>2044</v>
      </c>
      <c r="C3589" s="342" t="s">
        <v>48</v>
      </c>
      <c r="D3589" s="469"/>
      <c r="E3589" s="503"/>
      <c r="F3589" s="503"/>
    </row>
    <row r="3590" spans="1:6" ht="38.25" x14ac:dyDescent="0.25">
      <c r="A3590" s="469"/>
      <c r="B3590" s="150" t="s">
        <v>2045</v>
      </c>
      <c r="C3590" s="342" t="s">
        <v>48</v>
      </c>
      <c r="D3590" s="469"/>
      <c r="E3590" s="503"/>
      <c r="F3590" s="503"/>
    </row>
    <row r="3591" spans="1:6" ht="38.25" x14ac:dyDescent="0.25">
      <c r="A3591" s="469"/>
      <c r="B3591" s="150" t="s">
        <v>1951</v>
      </c>
      <c r="C3591" s="342" t="s">
        <v>48</v>
      </c>
      <c r="D3591" s="469"/>
      <c r="E3591" s="503"/>
      <c r="F3591" s="503"/>
    </row>
    <row r="3592" spans="1:6" ht="51.75" thickBot="1" x14ac:dyDescent="0.3">
      <c r="A3592" s="436"/>
      <c r="B3592" s="151" t="s">
        <v>2046</v>
      </c>
      <c r="C3592" s="343" t="s">
        <v>48</v>
      </c>
      <c r="D3592" s="436"/>
      <c r="E3592" s="444"/>
      <c r="F3592" s="444"/>
    </row>
    <row r="3593" spans="1:6" ht="31.5" x14ac:dyDescent="0.25">
      <c r="A3593" s="435"/>
      <c r="B3593" s="137" t="s">
        <v>1893</v>
      </c>
      <c r="C3593" s="473" t="s">
        <v>1895</v>
      </c>
      <c r="D3593" s="474"/>
      <c r="E3593" s="474"/>
      <c r="F3593" s="475"/>
    </row>
    <row r="3594" spans="1:6" x14ac:dyDescent="0.25">
      <c r="A3594" s="469"/>
      <c r="B3594" s="138"/>
      <c r="C3594" s="476" t="s">
        <v>1896</v>
      </c>
      <c r="D3594" s="477"/>
      <c r="E3594" s="477"/>
      <c r="F3594" s="478"/>
    </row>
    <row r="3595" spans="1:6" ht="15.75" thickBot="1" x14ac:dyDescent="0.3">
      <c r="A3595" s="469"/>
      <c r="B3595" s="139" t="s">
        <v>1894</v>
      </c>
      <c r="C3595" s="494" t="s">
        <v>1897</v>
      </c>
      <c r="D3595" s="495"/>
      <c r="E3595" s="495"/>
      <c r="F3595" s="496"/>
    </row>
    <row r="3596" spans="1:6" ht="15.75" thickBot="1" x14ac:dyDescent="0.3">
      <c r="A3596" s="470"/>
      <c r="B3596" s="140"/>
      <c r="C3596" s="497" t="s">
        <v>1898</v>
      </c>
      <c r="D3596" s="498"/>
      <c r="E3596" s="498"/>
      <c r="F3596" s="499"/>
    </row>
    <row r="3597" spans="1:6" ht="16.5" thickTop="1" thickBot="1" x14ac:dyDescent="0.3">
      <c r="A3597" s="156" t="s">
        <v>1899</v>
      </c>
      <c r="B3597" s="310" t="s">
        <v>1</v>
      </c>
      <c r="C3597" s="341" t="s">
        <v>3</v>
      </c>
      <c r="D3597" s="173" t="s">
        <v>2</v>
      </c>
      <c r="E3597" s="278" t="s">
        <v>1900</v>
      </c>
      <c r="F3597" s="287" t="s">
        <v>1427</v>
      </c>
    </row>
    <row r="3598" spans="1:6" ht="15.75" thickTop="1" x14ac:dyDescent="0.25">
      <c r="A3598" s="149"/>
      <c r="B3598" s="155" t="s">
        <v>2047</v>
      </c>
      <c r="C3598" s="345"/>
      <c r="D3598" s="148"/>
      <c r="E3598" s="280"/>
      <c r="F3598" s="280"/>
    </row>
    <row r="3599" spans="1:6" ht="25.5" x14ac:dyDescent="0.25">
      <c r="A3599" s="172" t="s">
        <v>2048</v>
      </c>
      <c r="B3599" s="146" t="s">
        <v>2049</v>
      </c>
      <c r="C3599" s="342" t="s">
        <v>76</v>
      </c>
      <c r="D3599" s="158">
        <v>1</v>
      </c>
      <c r="E3599" s="281">
        <v>75000</v>
      </c>
      <c r="F3599" s="281">
        <f>E3599*D3599</f>
        <v>75000</v>
      </c>
    </row>
    <row r="3600" spans="1:6" ht="25.5" x14ac:dyDescent="0.25">
      <c r="A3600" s="172" t="s">
        <v>2050</v>
      </c>
      <c r="B3600" s="146" t="s">
        <v>2051</v>
      </c>
      <c r="C3600" s="342" t="s">
        <v>76</v>
      </c>
      <c r="D3600" s="158">
        <v>1</v>
      </c>
      <c r="E3600" s="281">
        <v>48000</v>
      </c>
      <c r="F3600" s="281">
        <f>E3600*D3600</f>
        <v>48000</v>
      </c>
    </row>
    <row r="3601" spans="1:6" ht="26.25" thickBot="1" x14ac:dyDescent="0.3">
      <c r="A3601" s="176" t="s">
        <v>2052</v>
      </c>
      <c r="B3601" s="170" t="s">
        <v>2053</v>
      </c>
      <c r="C3601" s="343" t="s">
        <v>76</v>
      </c>
      <c r="D3601" s="160">
        <v>1.26</v>
      </c>
      <c r="E3601" s="282">
        <v>38500</v>
      </c>
      <c r="F3601" s="281">
        <f>E3601*D3601</f>
        <v>48510</v>
      </c>
    </row>
    <row r="3602" spans="1:6" ht="26.25" thickBot="1" x14ac:dyDescent="0.3">
      <c r="A3602" s="154"/>
      <c r="B3602" s="177" t="s">
        <v>2054</v>
      </c>
      <c r="C3602" s="346"/>
      <c r="D3602" s="171"/>
      <c r="E3602" s="285" t="s">
        <v>1932</v>
      </c>
      <c r="F3602" s="286">
        <f>SUM(F3599:F3601)</f>
        <v>171510</v>
      </c>
    </row>
    <row r="3603" spans="1:6" ht="31.5" x14ac:dyDescent="0.25">
      <c r="A3603" s="435"/>
      <c r="B3603" s="137" t="s">
        <v>1893</v>
      </c>
      <c r="C3603" s="473" t="s">
        <v>1895</v>
      </c>
      <c r="D3603" s="474"/>
      <c r="E3603" s="474"/>
      <c r="F3603" s="478"/>
    </row>
    <row r="3604" spans="1:6" x14ac:dyDescent="0.25">
      <c r="A3604" s="469"/>
      <c r="B3604" s="138"/>
      <c r="C3604" s="476" t="s">
        <v>1896</v>
      </c>
      <c r="D3604" s="477"/>
      <c r="E3604" s="477"/>
      <c r="F3604" s="478"/>
    </row>
    <row r="3605" spans="1:6" ht="15.75" thickBot="1" x14ac:dyDescent="0.3">
      <c r="A3605" s="469"/>
      <c r="B3605" s="139" t="s">
        <v>1894</v>
      </c>
      <c r="C3605" s="494" t="s">
        <v>1897</v>
      </c>
      <c r="D3605" s="495"/>
      <c r="E3605" s="495"/>
      <c r="F3605" s="496"/>
    </row>
    <row r="3606" spans="1:6" ht="15.75" thickBot="1" x14ac:dyDescent="0.3">
      <c r="A3606" s="470"/>
      <c r="B3606" s="140"/>
      <c r="C3606" s="533" t="s">
        <v>1898</v>
      </c>
      <c r="D3606" s="534"/>
      <c r="E3606" s="534"/>
      <c r="F3606" s="535"/>
    </row>
    <row r="3607" spans="1:6" ht="16.5" thickTop="1" thickBot="1" x14ac:dyDescent="0.3">
      <c r="A3607" s="156" t="s">
        <v>1899</v>
      </c>
      <c r="B3607" s="310" t="s">
        <v>1</v>
      </c>
      <c r="C3607" s="341" t="s">
        <v>3</v>
      </c>
      <c r="D3607" s="142" t="s">
        <v>2</v>
      </c>
      <c r="E3607" s="279" t="s">
        <v>1900</v>
      </c>
      <c r="F3607" s="288" t="s">
        <v>1427</v>
      </c>
    </row>
    <row r="3608" spans="1:6" ht="15.75" thickTop="1" x14ac:dyDescent="0.25">
      <c r="A3608" s="144"/>
      <c r="B3608" s="146"/>
      <c r="C3608" s="500"/>
      <c r="D3608" s="501"/>
      <c r="E3608" s="502"/>
      <c r="F3608" s="502"/>
    </row>
    <row r="3609" spans="1:6" x14ac:dyDescent="0.25">
      <c r="A3609" s="164" t="s">
        <v>2055</v>
      </c>
      <c r="B3609" s="155" t="s">
        <v>2056</v>
      </c>
      <c r="C3609" s="489"/>
      <c r="D3609" s="469"/>
      <c r="E3609" s="503"/>
      <c r="F3609" s="503"/>
    </row>
    <row r="3610" spans="1:6" ht="114.75" x14ac:dyDescent="0.25">
      <c r="A3610" s="149"/>
      <c r="B3610" s="150" t="s">
        <v>2057</v>
      </c>
      <c r="C3610" s="342" t="s">
        <v>48</v>
      </c>
      <c r="D3610" s="469"/>
      <c r="E3610" s="503"/>
      <c r="F3610" s="503"/>
    </row>
    <row r="3611" spans="1:6" x14ac:dyDescent="0.25">
      <c r="A3611" s="469"/>
      <c r="B3611" s="146"/>
      <c r="C3611" s="342"/>
      <c r="D3611" s="469"/>
      <c r="E3611" s="503"/>
      <c r="F3611" s="503"/>
    </row>
    <row r="3612" spans="1:6" ht="76.5" x14ac:dyDescent="0.25">
      <c r="A3612" s="469"/>
      <c r="B3612" s="150" t="s">
        <v>2058</v>
      </c>
      <c r="C3612" s="342" t="s">
        <v>48</v>
      </c>
      <c r="D3612" s="469"/>
      <c r="E3612" s="503"/>
      <c r="F3612" s="503"/>
    </row>
    <row r="3613" spans="1:6" x14ac:dyDescent="0.25">
      <c r="A3613" s="469"/>
      <c r="B3613" s="146"/>
      <c r="C3613" s="342"/>
      <c r="D3613" s="469"/>
      <c r="E3613" s="503"/>
      <c r="F3613" s="503"/>
    </row>
    <row r="3614" spans="1:6" ht="51" x14ac:dyDescent="0.25">
      <c r="A3614" s="469"/>
      <c r="B3614" s="150" t="s">
        <v>2059</v>
      </c>
      <c r="C3614" s="342" t="s">
        <v>48</v>
      </c>
      <c r="D3614" s="469"/>
      <c r="E3614" s="503"/>
      <c r="F3614" s="503"/>
    </row>
    <row r="3615" spans="1:6" x14ac:dyDescent="0.25">
      <c r="A3615" s="469"/>
      <c r="B3615" s="146"/>
      <c r="C3615" s="342"/>
      <c r="D3615" s="469"/>
      <c r="E3615" s="503"/>
      <c r="F3615" s="503"/>
    </row>
    <row r="3616" spans="1:6" ht="25.5" x14ac:dyDescent="0.25">
      <c r="A3616" s="469"/>
      <c r="B3616" s="146" t="s">
        <v>2060</v>
      </c>
      <c r="C3616" s="342" t="s">
        <v>48</v>
      </c>
      <c r="D3616" s="469"/>
      <c r="E3616" s="503"/>
      <c r="F3616" s="503"/>
    </row>
    <row r="3617" spans="1:6" x14ac:dyDescent="0.25">
      <c r="A3617" s="469"/>
      <c r="B3617" s="311" t="s">
        <v>2061</v>
      </c>
      <c r="C3617" s="361"/>
      <c r="D3617" s="469"/>
      <c r="E3617" s="503"/>
      <c r="F3617" s="503"/>
    </row>
    <row r="3618" spans="1:6" x14ac:dyDescent="0.25">
      <c r="A3618" s="469"/>
      <c r="B3618" s="311" t="s">
        <v>2062</v>
      </c>
      <c r="C3618" s="361"/>
      <c r="D3618" s="469"/>
      <c r="E3618" s="503"/>
      <c r="F3618" s="503"/>
    </row>
    <row r="3619" spans="1:6" x14ac:dyDescent="0.25">
      <c r="A3619" s="469"/>
      <c r="B3619" s="311" t="s">
        <v>2063</v>
      </c>
      <c r="C3619" s="361"/>
      <c r="D3619" s="469"/>
      <c r="E3619" s="503"/>
      <c r="F3619" s="503"/>
    </row>
    <row r="3620" spans="1:6" x14ac:dyDescent="0.25">
      <c r="A3620" s="469"/>
      <c r="B3620" s="311" t="s">
        <v>2064</v>
      </c>
      <c r="C3620" s="361"/>
      <c r="D3620" s="469"/>
      <c r="E3620" s="503"/>
      <c r="F3620" s="503"/>
    </row>
    <row r="3621" spans="1:6" x14ac:dyDescent="0.25">
      <c r="A3621" s="469"/>
      <c r="B3621" s="311" t="s">
        <v>2065</v>
      </c>
      <c r="C3621" s="361"/>
      <c r="D3621" s="469"/>
      <c r="E3621" s="503"/>
      <c r="F3621" s="503"/>
    </row>
    <row r="3622" spans="1:6" ht="25.5" x14ac:dyDescent="0.25">
      <c r="A3622" s="469"/>
      <c r="B3622" s="146" t="s">
        <v>2066</v>
      </c>
      <c r="C3622" s="361"/>
      <c r="D3622" s="469"/>
      <c r="E3622" s="503"/>
      <c r="F3622" s="503"/>
    </row>
    <row r="3623" spans="1:6" x14ac:dyDescent="0.25">
      <c r="A3623" s="469"/>
      <c r="B3623" s="311" t="s">
        <v>2067</v>
      </c>
      <c r="C3623" s="361"/>
      <c r="D3623" s="469"/>
      <c r="E3623" s="503"/>
      <c r="F3623" s="503"/>
    </row>
    <row r="3624" spans="1:6" ht="15.75" thickBot="1" x14ac:dyDescent="0.3">
      <c r="A3624" s="436"/>
      <c r="B3624" s="312" t="s">
        <v>2068</v>
      </c>
      <c r="C3624" s="362"/>
      <c r="D3624" s="436"/>
      <c r="E3624" s="444"/>
      <c r="F3624" s="444"/>
    </row>
    <row r="3625" spans="1:6" ht="31.5" x14ac:dyDescent="0.25">
      <c r="A3625" s="435"/>
      <c r="B3625" s="137" t="s">
        <v>1893</v>
      </c>
      <c r="C3625" s="473" t="s">
        <v>1895</v>
      </c>
      <c r="D3625" s="474"/>
      <c r="E3625" s="474"/>
      <c r="F3625" s="475"/>
    </row>
    <row r="3626" spans="1:6" x14ac:dyDescent="0.25">
      <c r="A3626" s="469"/>
      <c r="B3626" s="138"/>
      <c r="C3626" s="476" t="s">
        <v>1896</v>
      </c>
      <c r="D3626" s="477"/>
      <c r="E3626" s="477"/>
      <c r="F3626" s="478"/>
    </row>
    <row r="3627" spans="1:6" ht="15.75" thickBot="1" x14ac:dyDescent="0.3">
      <c r="A3627" s="469"/>
      <c r="B3627" s="139" t="s">
        <v>1894</v>
      </c>
      <c r="C3627" s="494" t="s">
        <v>1897</v>
      </c>
      <c r="D3627" s="495"/>
      <c r="E3627" s="495"/>
      <c r="F3627" s="496"/>
    </row>
    <row r="3628" spans="1:6" ht="15.75" thickBot="1" x14ac:dyDescent="0.3">
      <c r="A3628" s="470"/>
      <c r="B3628" s="140"/>
      <c r="C3628" s="533" t="s">
        <v>1898</v>
      </c>
      <c r="D3628" s="534"/>
      <c r="E3628" s="534"/>
      <c r="F3628" s="535"/>
    </row>
    <row r="3629" spans="1:6" ht="16.5" thickTop="1" thickBot="1" x14ac:dyDescent="0.3">
      <c r="A3629" s="156" t="s">
        <v>1899</v>
      </c>
      <c r="B3629" s="310" t="s">
        <v>1</v>
      </c>
      <c r="C3629" s="341" t="s">
        <v>3</v>
      </c>
      <c r="D3629" s="142" t="s">
        <v>2</v>
      </c>
      <c r="E3629" s="279" t="s">
        <v>1900</v>
      </c>
      <c r="F3629" s="288" t="s">
        <v>1427</v>
      </c>
    </row>
    <row r="3630" spans="1:6" ht="90" thickTop="1" x14ac:dyDescent="0.25">
      <c r="A3630" s="149"/>
      <c r="B3630" s="150" t="s">
        <v>2069</v>
      </c>
      <c r="C3630" s="342" t="s">
        <v>48</v>
      </c>
      <c r="D3630" s="148"/>
      <c r="E3630" s="280"/>
      <c r="F3630" s="280"/>
    </row>
    <row r="3631" spans="1:6" x14ac:dyDescent="0.25">
      <c r="A3631" s="469"/>
      <c r="B3631" s="146"/>
      <c r="C3631" s="342"/>
      <c r="D3631" s="469"/>
      <c r="E3631" s="281"/>
      <c r="F3631" s="281"/>
    </row>
    <row r="3632" spans="1:6" ht="38.25" x14ac:dyDescent="0.25">
      <c r="A3632" s="469"/>
      <c r="B3632" s="150" t="s">
        <v>2070</v>
      </c>
      <c r="C3632" s="342" t="s">
        <v>48</v>
      </c>
      <c r="D3632" s="469"/>
      <c r="E3632" s="281"/>
      <c r="F3632" s="281"/>
    </row>
    <row r="3633" spans="1:6" ht="38.25" x14ac:dyDescent="0.25">
      <c r="A3633" s="149"/>
      <c r="B3633" s="150" t="s">
        <v>2071</v>
      </c>
      <c r="C3633" s="342" t="s">
        <v>48</v>
      </c>
      <c r="D3633" s="148"/>
      <c r="E3633" s="281"/>
      <c r="F3633" s="281"/>
    </row>
    <row r="3634" spans="1:6" ht="25.5" x14ac:dyDescent="0.25">
      <c r="A3634" s="149"/>
      <c r="B3634" s="146" t="s">
        <v>2072</v>
      </c>
      <c r="C3634" s="342" t="s">
        <v>48</v>
      </c>
      <c r="D3634" s="148"/>
      <c r="E3634" s="281"/>
      <c r="F3634" s="281"/>
    </row>
    <row r="3635" spans="1:6" x14ac:dyDescent="0.25">
      <c r="A3635" s="469"/>
      <c r="B3635" s="146"/>
      <c r="C3635" s="342"/>
      <c r="D3635" s="469"/>
      <c r="E3635" s="281"/>
      <c r="F3635" s="281"/>
    </row>
    <row r="3636" spans="1:6" ht="76.5" x14ac:dyDescent="0.25">
      <c r="A3636" s="469"/>
      <c r="B3636" s="150" t="s">
        <v>2073</v>
      </c>
      <c r="C3636" s="342" t="s">
        <v>48</v>
      </c>
      <c r="D3636" s="469"/>
      <c r="E3636" s="281"/>
      <c r="F3636" s="281"/>
    </row>
    <row r="3637" spans="1:6" x14ac:dyDescent="0.25">
      <c r="A3637" s="149"/>
      <c r="B3637" s="155" t="s">
        <v>2074</v>
      </c>
      <c r="C3637" s="345"/>
      <c r="D3637" s="148"/>
      <c r="E3637" s="281"/>
      <c r="F3637" s="281"/>
    </row>
    <row r="3638" spans="1:6" ht="64.5" thickBot="1" x14ac:dyDescent="0.3">
      <c r="A3638" s="176" t="s">
        <v>2075</v>
      </c>
      <c r="B3638" s="151" t="s">
        <v>2076</v>
      </c>
      <c r="C3638" s="343" t="s">
        <v>2077</v>
      </c>
      <c r="D3638" s="179">
        <v>1</v>
      </c>
      <c r="E3638" s="282">
        <v>39500</v>
      </c>
      <c r="F3638" s="282">
        <f>E3638*D3638</f>
        <v>39500</v>
      </c>
    </row>
    <row r="3639" spans="1:6" ht="31.5" x14ac:dyDescent="0.25">
      <c r="A3639" s="435"/>
      <c r="B3639" s="137" t="s">
        <v>1893</v>
      </c>
      <c r="C3639" s="473" t="s">
        <v>1895</v>
      </c>
      <c r="D3639" s="474"/>
      <c r="E3639" s="474"/>
      <c r="F3639" s="475"/>
    </row>
    <row r="3640" spans="1:6" x14ac:dyDescent="0.25">
      <c r="A3640" s="469"/>
      <c r="B3640" s="138"/>
      <c r="C3640" s="476" t="s">
        <v>1896</v>
      </c>
      <c r="D3640" s="477"/>
      <c r="E3640" s="477"/>
      <c r="F3640" s="478"/>
    </row>
    <row r="3641" spans="1:6" ht="15.75" thickBot="1" x14ac:dyDescent="0.3">
      <c r="A3641" s="469"/>
      <c r="B3641" s="139" t="s">
        <v>1894</v>
      </c>
      <c r="C3641" s="494" t="s">
        <v>1897</v>
      </c>
      <c r="D3641" s="495"/>
      <c r="E3641" s="495"/>
      <c r="F3641" s="496"/>
    </row>
    <row r="3642" spans="1:6" ht="15.75" thickBot="1" x14ac:dyDescent="0.3">
      <c r="A3642" s="470"/>
      <c r="B3642" s="140"/>
      <c r="C3642" s="533" t="s">
        <v>1898</v>
      </c>
      <c r="D3642" s="534"/>
      <c r="E3642" s="534"/>
      <c r="F3642" s="535"/>
    </row>
    <row r="3643" spans="1:6" ht="16.5" thickTop="1" thickBot="1" x14ac:dyDescent="0.3">
      <c r="A3643" s="156" t="s">
        <v>1899</v>
      </c>
      <c r="B3643" s="310" t="s">
        <v>1</v>
      </c>
      <c r="C3643" s="341" t="s">
        <v>3</v>
      </c>
      <c r="D3643" s="142" t="s">
        <v>2</v>
      </c>
      <c r="E3643" s="279" t="s">
        <v>1900</v>
      </c>
      <c r="F3643" s="288" t="s">
        <v>1427</v>
      </c>
    </row>
    <row r="3644" spans="1:6" ht="15.75" thickTop="1" x14ac:dyDescent="0.25">
      <c r="A3644" s="144"/>
      <c r="B3644" s="174" t="s">
        <v>2079</v>
      </c>
      <c r="C3644" s="342"/>
      <c r="D3644" s="146"/>
      <c r="E3644" s="280"/>
      <c r="F3644" s="280"/>
    </row>
    <row r="3645" spans="1:6" x14ac:dyDescent="0.25">
      <c r="A3645" s="144"/>
      <c r="B3645" s="146"/>
      <c r="C3645" s="342"/>
      <c r="D3645" s="146"/>
      <c r="E3645" s="281"/>
      <c r="F3645" s="281"/>
    </row>
    <row r="3646" spans="1:6" ht="90" thickBot="1" x14ac:dyDescent="0.3">
      <c r="A3646" s="176" t="s">
        <v>2078</v>
      </c>
      <c r="B3646" s="151" t="s">
        <v>2080</v>
      </c>
      <c r="C3646" s="343" t="s">
        <v>2077</v>
      </c>
      <c r="D3646" s="179">
        <v>2.8</v>
      </c>
      <c r="E3646" s="282">
        <v>39500</v>
      </c>
      <c r="F3646" s="282">
        <f>E3646*D3646</f>
        <v>110600</v>
      </c>
    </row>
    <row r="3647" spans="1:6" ht="25.5" x14ac:dyDescent="0.25">
      <c r="A3647" s="435"/>
      <c r="B3647" s="147" t="s">
        <v>2081</v>
      </c>
      <c r="C3647" s="490"/>
      <c r="D3647" s="435"/>
      <c r="E3647" s="558" t="s">
        <v>1932</v>
      </c>
      <c r="F3647" s="443">
        <f>SUM(F3646,F3638)</f>
        <v>150100</v>
      </c>
    </row>
    <row r="3648" spans="1:6" ht="15.75" thickBot="1" x14ac:dyDescent="0.3">
      <c r="A3648" s="436"/>
      <c r="B3648" s="177" t="s">
        <v>2082</v>
      </c>
      <c r="C3648" s="491"/>
      <c r="D3648" s="436"/>
      <c r="E3648" s="559"/>
      <c r="F3648" s="444"/>
    </row>
    <row r="3649" spans="1:6" ht="31.5" x14ac:dyDescent="0.25">
      <c r="A3649" s="435"/>
      <c r="B3649" s="137" t="s">
        <v>1893</v>
      </c>
      <c r="C3649" s="473" t="s">
        <v>1895</v>
      </c>
      <c r="D3649" s="474"/>
      <c r="E3649" s="474"/>
      <c r="F3649" s="475"/>
    </row>
    <row r="3650" spans="1:6" x14ac:dyDescent="0.25">
      <c r="A3650" s="469"/>
      <c r="B3650" s="138"/>
      <c r="C3650" s="476" t="s">
        <v>1896</v>
      </c>
      <c r="D3650" s="477"/>
      <c r="E3650" s="477"/>
      <c r="F3650" s="478"/>
    </row>
    <row r="3651" spans="1:6" ht="15.75" thickBot="1" x14ac:dyDescent="0.3">
      <c r="A3651" s="469"/>
      <c r="B3651" s="139" t="s">
        <v>1894</v>
      </c>
      <c r="C3651" s="494" t="s">
        <v>1897</v>
      </c>
      <c r="D3651" s="495"/>
      <c r="E3651" s="495"/>
      <c r="F3651" s="496"/>
    </row>
    <row r="3652" spans="1:6" ht="15.75" thickBot="1" x14ac:dyDescent="0.3">
      <c r="A3652" s="470"/>
      <c r="B3652" s="140"/>
      <c r="C3652" s="497" t="s">
        <v>1898</v>
      </c>
      <c r="D3652" s="498"/>
      <c r="E3652" s="498"/>
      <c r="F3652" s="499"/>
    </row>
    <row r="3653" spans="1:6" ht="16.5" thickTop="1" thickBot="1" x14ac:dyDescent="0.3">
      <c r="A3653" s="156" t="s">
        <v>1899</v>
      </c>
      <c r="B3653" s="310" t="s">
        <v>1</v>
      </c>
      <c r="C3653" s="341" t="s">
        <v>3</v>
      </c>
      <c r="D3653" s="142" t="s">
        <v>2</v>
      </c>
      <c r="E3653" s="278" t="s">
        <v>1900</v>
      </c>
      <c r="F3653" s="290" t="s">
        <v>1427</v>
      </c>
    </row>
    <row r="3654" spans="1:6" ht="15.75" thickTop="1" x14ac:dyDescent="0.25">
      <c r="A3654" s="164" t="s">
        <v>2083</v>
      </c>
      <c r="B3654" s="147" t="s">
        <v>2084</v>
      </c>
      <c r="C3654" s="345"/>
      <c r="D3654" s="501"/>
      <c r="E3654" s="502"/>
      <c r="F3654" s="502"/>
    </row>
    <row r="3655" spans="1:6" ht="76.5" x14ac:dyDescent="0.25">
      <c r="A3655" s="149"/>
      <c r="B3655" s="150" t="s">
        <v>1979</v>
      </c>
      <c r="C3655" s="342" t="s">
        <v>48</v>
      </c>
      <c r="D3655" s="469"/>
      <c r="E3655" s="503"/>
      <c r="F3655" s="503"/>
    </row>
    <row r="3656" spans="1:6" ht="63.75" x14ac:dyDescent="0.25">
      <c r="A3656" s="149"/>
      <c r="B3656" s="150" t="s">
        <v>2085</v>
      </c>
      <c r="C3656" s="342" t="s">
        <v>48</v>
      </c>
      <c r="D3656" s="469"/>
      <c r="E3656" s="503"/>
      <c r="F3656" s="503"/>
    </row>
    <row r="3657" spans="1:6" x14ac:dyDescent="0.25">
      <c r="A3657" s="469"/>
      <c r="B3657" s="146"/>
      <c r="C3657" s="342"/>
      <c r="D3657" s="469"/>
      <c r="E3657" s="503"/>
      <c r="F3657" s="503"/>
    </row>
    <row r="3658" spans="1:6" ht="114.75" x14ac:dyDescent="0.25">
      <c r="A3658" s="469"/>
      <c r="B3658" s="150" t="s">
        <v>2086</v>
      </c>
      <c r="C3658" s="342" t="s">
        <v>48</v>
      </c>
      <c r="D3658" s="469"/>
      <c r="E3658" s="503"/>
      <c r="F3658" s="503"/>
    </row>
    <row r="3659" spans="1:6" x14ac:dyDescent="0.25">
      <c r="A3659" s="469"/>
      <c r="B3659" s="146"/>
      <c r="C3659" s="342"/>
      <c r="D3659" s="469"/>
      <c r="E3659" s="503"/>
      <c r="F3659" s="503"/>
    </row>
    <row r="3660" spans="1:6" ht="51" x14ac:dyDescent="0.25">
      <c r="A3660" s="469"/>
      <c r="B3660" s="150" t="s">
        <v>2087</v>
      </c>
      <c r="C3660" s="342" t="s">
        <v>48</v>
      </c>
      <c r="D3660" s="469"/>
      <c r="E3660" s="503"/>
      <c r="F3660" s="503"/>
    </row>
    <row r="3661" spans="1:6" ht="25.5" x14ac:dyDescent="0.25">
      <c r="A3661" s="149"/>
      <c r="B3661" s="146" t="s">
        <v>2088</v>
      </c>
      <c r="C3661" s="342" t="s">
        <v>48</v>
      </c>
      <c r="D3661" s="469"/>
      <c r="E3661" s="503"/>
      <c r="F3661" s="503"/>
    </row>
    <row r="3662" spans="1:6" ht="76.5" x14ac:dyDescent="0.25">
      <c r="A3662" s="149"/>
      <c r="B3662" s="150" t="s">
        <v>2089</v>
      </c>
      <c r="C3662" s="342" t="s">
        <v>48</v>
      </c>
      <c r="D3662" s="469"/>
      <c r="E3662" s="503"/>
      <c r="F3662" s="503"/>
    </row>
    <row r="3663" spans="1:6" ht="39" thickBot="1" x14ac:dyDescent="0.3">
      <c r="A3663" s="154"/>
      <c r="B3663" s="151" t="s">
        <v>2090</v>
      </c>
      <c r="C3663" s="343" t="s">
        <v>48</v>
      </c>
      <c r="D3663" s="436"/>
      <c r="E3663" s="444"/>
      <c r="F3663" s="444"/>
    </row>
    <row r="3664" spans="1:6" ht="31.5" x14ac:dyDescent="0.25">
      <c r="A3664" s="435"/>
      <c r="B3664" s="137" t="s">
        <v>1893</v>
      </c>
      <c r="C3664" s="473" t="s">
        <v>1895</v>
      </c>
      <c r="D3664" s="474"/>
      <c r="E3664" s="474"/>
      <c r="F3664" s="475"/>
    </row>
    <row r="3665" spans="1:6" x14ac:dyDescent="0.25">
      <c r="A3665" s="469"/>
      <c r="B3665" s="138"/>
      <c r="C3665" s="476" t="s">
        <v>1896</v>
      </c>
      <c r="D3665" s="477"/>
      <c r="E3665" s="477"/>
      <c r="F3665" s="478"/>
    </row>
    <row r="3666" spans="1:6" ht="15.75" thickBot="1" x14ac:dyDescent="0.3">
      <c r="A3666" s="469"/>
      <c r="B3666" s="139" t="s">
        <v>1894</v>
      </c>
      <c r="C3666" s="494" t="s">
        <v>1897</v>
      </c>
      <c r="D3666" s="495"/>
      <c r="E3666" s="495"/>
      <c r="F3666" s="496"/>
    </row>
    <row r="3667" spans="1:6" ht="15.75" thickBot="1" x14ac:dyDescent="0.3">
      <c r="A3667" s="470"/>
      <c r="B3667" s="140"/>
      <c r="C3667" s="497" t="s">
        <v>1898</v>
      </c>
      <c r="D3667" s="498"/>
      <c r="E3667" s="498"/>
      <c r="F3667" s="499"/>
    </row>
    <row r="3668" spans="1:6" ht="16.5" thickTop="1" thickBot="1" x14ac:dyDescent="0.3">
      <c r="A3668" s="141" t="s">
        <v>1899</v>
      </c>
      <c r="B3668" s="310" t="s">
        <v>1</v>
      </c>
      <c r="C3668" s="341" t="s">
        <v>3</v>
      </c>
      <c r="D3668" s="142" t="s">
        <v>2</v>
      </c>
      <c r="E3668" s="278" t="s">
        <v>1900</v>
      </c>
      <c r="F3668" s="290" t="s">
        <v>1427</v>
      </c>
    </row>
    <row r="3669" spans="1:6" ht="26.25" thickTop="1" x14ac:dyDescent="0.25">
      <c r="A3669" s="501"/>
      <c r="B3669" s="146" t="s">
        <v>2091</v>
      </c>
      <c r="C3669" s="342" t="s">
        <v>48</v>
      </c>
      <c r="D3669" s="501"/>
      <c r="E3669" s="502"/>
      <c r="F3669" s="502"/>
    </row>
    <row r="3670" spans="1:6" ht="38.25" x14ac:dyDescent="0.25">
      <c r="A3670" s="469"/>
      <c r="B3670" s="150" t="s">
        <v>2092</v>
      </c>
      <c r="C3670" s="342" t="s">
        <v>48</v>
      </c>
      <c r="D3670" s="469"/>
      <c r="E3670" s="503"/>
      <c r="F3670" s="503"/>
    </row>
    <row r="3671" spans="1:6" ht="25.5" x14ac:dyDescent="0.25">
      <c r="A3671" s="469"/>
      <c r="B3671" s="146" t="s">
        <v>2093</v>
      </c>
      <c r="C3671" s="342" t="s">
        <v>48</v>
      </c>
      <c r="D3671" s="469"/>
      <c r="E3671" s="503"/>
      <c r="F3671" s="503"/>
    </row>
    <row r="3672" spans="1:6" x14ac:dyDescent="0.25">
      <c r="A3672" s="469"/>
      <c r="B3672" s="146"/>
      <c r="C3672" s="342"/>
      <c r="D3672" s="469"/>
      <c r="E3672" s="503"/>
      <c r="F3672" s="503"/>
    </row>
    <row r="3673" spans="1:6" ht="76.5" x14ac:dyDescent="0.25">
      <c r="A3673" s="469"/>
      <c r="B3673" s="150" t="s">
        <v>2094</v>
      </c>
      <c r="C3673" s="342" t="s">
        <v>48</v>
      </c>
      <c r="D3673" s="469"/>
      <c r="E3673" s="503"/>
      <c r="F3673" s="503"/>
    </row>
    <row r="3674" spans="1:6" ht="76.5" x14ac:dyDescent="0.25">
      <c r="A3674" s="469"/>
      <c r="B3674" s="150" t="s">
        <v>2095</v>
      </c>
      <c r="C3674" s="342" t="s">
        <v>48</v>
      </c>
      <c r="D3674" s="469"/>
      <c r="E3674" s="503"/>
      <c r="F3674" s="503"/>
    </row>
    <row r="3675" spans="1:6" ht="38.25" x14ac:dyDescent="0.25">
      <c r="A3675" s="469"/>
      <c r="B3675" s="150" t="s">
        <v>2096</v>
      </c>
      <c r="C3675" s="342" t="s">
        <v>48</v>
      </c>
      <c r="D3675" s="469"/>
      <c r="E3675" s="503"/>
      <c r="F3675" s="503"/>
    </row>
    <row r="3676" spans="1:6" x14ac:dyDescent="0.25">
      <c r="A3676" s="469"/>
      <c r="B3676" s="146" t="s">
        <v>2097</v>
      </c>
      <c r="C3676" s="489"/>
      <c r="D3676" s="469"/>
      <c r="E3676" s="503"/>
      <c r="F3676" s="503"/>
    </row>
    <row r="3677" spans="1:6" x14ac:dyDescent="0.25">
      <c r="A3677" s="469"/>
      <c r="B3677" s="146" t="s">
        <v>2098</v>
      </c>
      <c r="C3677" s="489"/>
      <c r="D3677" s="469"/>
      <c r="E3677" s="503"/>
      <c r="F3677" s="503"/>
    </row>
    <row r="3678" spans="1:6" ht="25.5" x14ac:dyDescent="0.25">
      <c r="A3678" s="469"/>
      <c r="B3678" s="146" t="s">
        <v>2099</v>
      </c>
      <c r="C3678" s="345"/>
      <c r="D3678" s="469"/>
      <c r="E3678" s="503"/>
      <c r="F3678" s="503"/>
    </row>
    <row r="3679" spans="1:6" ht="115.5" thickBot="1" x14ac:dyDescent="0.3">
      <c r="A3679" s="436"/>
      <c r="B3679" s="151" t="s">
        <v>2100</v>
      </c>
      <c r="C3679" s="343" t="s">
        <v>48</v>
      </c>
      <c r="D3679" s="436"/>
      <c r="E3679" s="444"/>
      <c r="F3679" s="444"/>
    </row>
    <row r="3680" spans="1:6" ht="31.5" x14ac:dyDescent="0.25">
      <c r="A3680" s="435"/>
      <c r="B3680" s="137" t="s">
        <v>1893</v>
      </c>
      <c r="C3680" s="473" t="s">
        <v>1895</v>
      </c>
      <c r="D3680" s="474"/>
      <c r="E3680" s="474"/>
      <c r="F3680" s="475"/>
    </row>
    <row r="3681" spans="1:6" x14ac:dyDescent="0.25">
      <c r="A3681" s="469"/>
      <c r="B3681" s="138"/>
      <c r="C3681" s="476" t="s">
        <v>1896</v>
      </c>
      <c r="D3681" s="477"/>
      <c r="E3681" s="477"/>
      <c r="F3681" s="478"/>
    </row>
    <row r="3682" spans="1:6" ht="15.75" thickBot="1" x14ac:dyDescent="0.3">
      <c r="A3682" s="469"/>
      <c r="B3682" s="139" t="s">
        <v>1894</v>
      </c>
      <c r="C3682" s="494" t="s">
        <v>1897</v>
      </c>
      <c r="D3682" s="495"/>
      <c r="E3682" s="495"/>
      <c r="F3682" s="496"/>
    </row>
    <row r="3683" spans="1:6" ht="15.75" thickBot="1" x14ac:dyDescent="0.3">
      <c r="A3683" s="470"/>
      <c r="B3683" s="140"/>
      <c r="C3683" s="497" t="s">
        <v>1898</v>
      </c>
      <c r="D3683" s="498"/>
      <c r="E3683" s="498"/>
      <c r="F3683" s="499"/>
    </row>
    <row r="3684" spans="1:6" ht="16.5" thickTop="1" thickBot="1" x14ac:dyDescent="0.3">
      <c r="A3684" s="156" t="s">
        <v>1899</v>
      </c>
      <c r="B3684" s="310" t="s">
        <v>1</v>
      </c>
      <c r="C3684" s="341" t="s">
        <v>3</v>
      </c>
      <c r="D3684" s="142" t="s">
        <v>2</v>
      </c>
      <c r="E3684" s="278" t="s">
        <v>1900</v>
      </c>
      <c r="F3684" s="290" t="s">
        <v>1427</v>
      </c>
    </row>
    <row r="3685" spans="1:6" ht="90" thickTop="1" x14ac:dyDescent="0.25">
      <c r="A3685" s="149"/>
      <c r="B3685" s="150" t="s">
        <v>2101</v>
      </c>
      <c r="C3685" s="342" t="s">
        <v>48</v>
      </c>
      <c r="D3685" s="148"/>
      <c r="E3685" s="280"/>
      <c r="F3685" s="280"/>
    </row>
    <row r="3686" spans="1:6" x14ac:dyDescent="0.25">
      <c r="A3686" s="469"/>
      <c r="B3686" s="146"/>
      <c r="C3686" s="342"/>
      <c r="D3686" s="469"/>
      <c r="E3686" s="281"/>
      <c r="F3686" s="281"/>
    </row>
    <row r="3687" spans="1:6" ht="25.5" x14ac:dyDescent="0.25">
      <c r="A3687" s="469"/>
      <c r="B3687" s="146" t="s">
        <v>2102</v>
      </c>
      <c r="C3687" s="342" t="s">
        <v>48</v>
      </c>
      <c r="D3687" s="469"/>
      <c r="E3687" s="281"/>
      <c r="F3687" s="281"/>
    </row>
    <row r="3688" spans="1:6" ht="25.5" x14ac:dyDescent="0.25">
      <c r="A3688" s="149"/>
      <c r="B3688" s="146" t="s">
        <v>2103</v>
      </c>
      <c r="C3688" s="342" t="s">
        <v>48</v>
      </c>
      <c r="D3688" s="148"/>
      <c r="E3688" s="281"/>
      <c r="F3688" s="281"/>
    </row>
    <row r="3689" spans="1:6" x14ac:dyDescent="0.25">
      <c r="A3689" s="469"/>
      <c r="B3689" s="146"/>
      <c r="C3689" s="342"/>
      <c r="D3689" s="469"/>
      <c r="E3689" s="281"/>
      <c r="F3689" s="281"/>
    </row>
    <row r="3690" spans="1:6" ht="38.25" x14ac:dyDescent="0.25">
      <c r="A3690" s="469"/>
      <c r="B3690" s="150" t="s">
        <v>2104</v>
      </c>
      <c r="C3690" s="342" t="s">
        <v>48</v>
      </c>
      <c r="D3690" s="469"/>
      <c r="E3690" s="281"/>
      <c r="F3690" s="281"/>
    </row>
    <row r="3691" spans="1:6" x14ac:dyDescent="0.25">
      <c r="A3691" s="149"/>
      <c r="B3691" s="155" t="s">
        <v>2105</v>
      </c>
      <c r="C3691" s="345"/>
      <c r="D3691" s="148"/>
      <c r="E3691" s="281"/>
      <c r="F3691" s="281"/>
    </row>
    <row r="3692" spans="1:6" ht="89.25" x14ac:dyDescent="0.25">
      <c r="A3692" s="172" t="s">
        <v>2106</v>
      </c>
      <c r="B3692" s="150" t="s">
        <v>2107</v>
      </c>
      <c r="C3692" s="342" t="s">
        <v>668</v>
      </c>
      <c r="D3692" s="158">
        <v>1</v>
      </c>
      <c r="E3692" s="281">
        <v>145000</v>
      </c>
      <c r="F3692" s="281">
        <v>145000</v>
      </c>
    </row>
    <row r="3693" spans="1:6" ht="90" thickBot="1" x14ac:dyDescent="0.3">
      <c r="A3693" s="176" t="s">
        <v>2108</v>
      </c>
      <c r="B3693" s="151" t="s">
        <v>2109</v>
      </c>
      <c r="C3693" s="343" t="s">
        <v>668</v>
      </c>
      <c r="D3693" s="160">
        <v>1</v>
      </c>
      <c r="E3693" s="282">
        <v>65000</v>
      </c>
      <c r="F3693" s="282">
        <v>65000</v>
      </c>
    </row>
    <row r="3694" spans="1:6" ht="31.5" x14ac:dyDescent="0.25">
      <c r="A3694" s="435"/>
      <c r="B3694" s="137" t="s">
        <v>1893</v>
      </c>
      <c r="C3694" s="473" t="s">
        <v>1895</v>
      </c>
      <c r="D3694" s="474"/>
      <c r="E3694" s="474"/>
      <c r="F3694" s="475"/>
    </row>
    <row r="3695" spans="1:6" x14ac:dyDescent="0.25">
      <c r="A3695" s="469"/>
      <c r="B3695" s="138"/>
      <c r="C3695" s="476" t="s">
        <v>1896</v>
      </c>
      <c r="D3695" s="477"/>
      <c r="E3695" s="477"/>
      <c r="F3695" s="478"/>
    </row>
    <row r="3696" spans="1:6" ht="15.75" thickBot="1" x14ac:dyDescent="0.3">
      <c r="A3696" s="469"/>
      <c r="B3696" s="139" t="s">
        <v>1894</v>
      </c>
      <c r="C3696" s="494" t="s">
        <v>1897</v>
      </c>
      <c r="D3696" s="495"/>
      <c r="E3696" s="495"/>
      <c r="F3696" s="496"/>
    </row>
    <row r="3697" spans="1:6" ht="15.75" thickBot="1" x14ac:dyDescent="0.3">
      <c r="A3697" s="470"/>
      <c r="B3697" s="140"/>
      <c r="C3697" s="497" t="s">
        <v>1898</v>
      </c>
      <c r="D3697" s="498"/>
      <c r="E3697" s="498"/>
      <c r="F3697" s="499"/>
    </row>
    <row r="3698" spans="1:6" ht="16.5" thickTop="1" thickBot="1" x14ac:dyDescent="0.3">
      <c r="A3698" s="156" t="s">
        <v>1899</v>
      </c>
      <c r="B3698" s="310" t="s">
        <v>1</v>
      </c>
      <c r="C3698" s="341" t="s">
        <v>3</v>
      </c>
      <c r="D3698" s="142" t="s">
        <v>2</v>
      </c>
      <c r="E3698" s="278" t="s">
        <v>1900</v>
      </c>
      <c r="F3698" s="290" t="s">
        <v>1427</v>
      </c>
    </row>
    <row r="3699" spans="1:6" ht="77.25" thickTop="1" x14ac:dyDescent="0.25">
      <c r="A3699" s="172" t="s">
        <v>2110</v>
      </c>
      <c r="B3699" s="150" t="s">
        <v>2111</v>
      </c>
      <c r="C3699" s="342" t="s">
        <v>668</v>
      </c>
      <c r="D3699" s="158">
        <v>2</v>
      </c>
      <c r="E3699" s="280">
        <v>95000</v>
      </c>
      <c r="F3699" s="280">
        <f>E3699*D3699</f>
        <v>190000</v>
      </c>
    </row>
    <row r="3700" spans="1:6" x14ac:dyDescent="0.25">
      <c r="A3700" s="144"/>
      <c r="B3700" s="146"/>
      <c r="C3700" s="342"/>
      <c r="D3700" s="146"/>
      <c r="E3700" s="556"/>
      <c r="F3700" s="557"/>
    </row>
    <row r="3701" spans="1:6" ht="15.75" thickBot="1" x14ac:dyDescent="0.3">
      <c r="A3701" s="144"/>
      <c r="B3701" s="155" t="s">
        <v>2113</v>
      </c>
      <c r="C3701" s="342"/>
      <c r="D3701" s="146"/>
      <c r="E3701" s="556"/>
      <c r="F3701" s="557"/>
    </row>
    <row r="3702" spans="1:6" ht="103.5" thickTop="1" thickBot="1" x14ac:dyDescent="0.3">
      <c r="A3702" s="176" t="s">
        <v>2112</v>
      </c>
      <c r="B3702" s="151" t="s">
        <v>2114</v>
      </c>
      <c r="C3702" s="343" t="s">
        <v>668</v>
      </c>
      <c r="D3702" s="160">
        <v>1</v>
      </c>
      <c r="E3702" s="282">
        <v>245000</v>
      </c>
      <c r="F3702" s="280">
        <f>E3702*D3702</f>
        <v>245000</v>
      </c>
    </row>
    <row r="3703" spans="1:6" x14ac:dyDescent="0.25">
      <c r="A3703" s="435"/>
      <c r="B3703" s="147" t="s">
        <v>2115</v>
      </c>
      <c r="C3703" s="490"/>
      <c r="D3703" s="435"/>
      <c r="E3703" s="492" t="s">
        <v>1932</v>
      </c>
      <c r="F3703" s="443">
        <f>SUM(F3702,F3699,F3692:F3693)</f>
        <v>645000</v>
      </c>
    </row>
    <row r="3704" spans="1:6" ht="15.75" thickBot="1" x14ac:dyDescent="0.3">
      <c r="A3704" s="436"/>
      <c r="B3704" s="177" t="s">
        <v>2116</v>
      </c>
      <c r="C3704" s="491"/>
      <c r="D3704" s="436"/>
      <c r="E3704" s="493"/>
      <c r="F3704" s="444"/>
    </row>
    <row r="3705" spans="1:6" ht="31.5" x14ac:dyDescent="0.25">
      <c r="A3705" s="435"/>
      <c r="B3705" s="152" t="s">
        <v>1893</v>
      </c>
      <c r="C3705" s="473" t="s">
        <v>1895</v>
      </c>
      <c r="D3705" s="474"/>
      <c r="E3705" s="474"/>
      <c r="F3705" s="475"/>
    </row>
    <row r="3706" spans="1:6" x14ac:dyDescent="0.25">
      <c r="A3706" s="469"/>
      <c r="B3706" s="138"/>
      <c r="C3706" s="476" t="s">
        <v>1896</v>
      </c>
      <c r="D3706" s="477"/>
      <c r="E3706" s="477"/>
      <c r="F3706" s="478"/>
    </row>
    <row r="3707" spans="1:6" ht="15.75" thickBot="1" x14ac:dyDescent="0.3">
      <c r="A3707" s="469"/>
      <c r="B3707" s="139" t="s">
        <v>1894</v>
      </c>
      <c r="C3707" s="494" t="s">
        <v>1897</v>
      </c>
      <c r="D3707" s="495"/>
      <c r="E3707" s="495"/>
      <c r="F3707" s="496"/>
    </row>
    <row r="3708" spans="1:6" ht="15.75" thickBot="1" x14ac:dyDescent="0.3">
      <c r="A3708" s="470"/>
      <c r="B3708" s="140"/>
      <c r="C3708" s="497" t="s">
        <v>1898</v>
      </c>
      <c r="D3708" s="498"/>
      <c r="E3708" s="498"/>
      <c r="F3708" s="499"/>
    </row>
    <row r="3709" spans="1:6" ht="16.5" thickTop="1" thickBot="1" x14ac:dyDescent="0.3">
      <c r="A3709" s="180" t="s">
        <v>1899</v>
      </c>
      <c r="B3709" s="313" t="s">
        <v>1</v>
      </c>
      <c r="C3709" s="344" t="s">
        <v>3</v>
      </c>
      <c r="D3709" s="181" t="s">
        <v>2</v>
      </c>
      <c r="E3709" s="291" t="s">
        <v>1900</v>
      </c>
      <c r="F3709" s="292" t="s">
        <v>1427</v>
      </c>
    </row>
    <row r="3710" spans="1:6" ht="15.75" thickTop="1" x14ac:dyDescent="0.25">
      <c r="A3710" s="149"/>
      <c r="B3710" s="148"/>
      <c r="C3710" s="500"/>
      <c r="D3710" s="501"/>
      <c r="E3710" s="502"/>
      <c r="F3710" s="502"/>
    </row>
    <row r="3711" spans="1:6" x14ac:dyDescent="0.25">
      <c r="A3711" s="182" t="s">
        <v>2117</v>
      </c>
      <c r="B3711" s="183" t="s">
        <v>2118</v>
      </c>
      <c r="C3711" s="489"/>
      <c r="D3711" s="469"/>
      <c r="E3711" s="503"/>
      <c r="F3711" s="503"/>
    </row>
    <row r="3712" spans="1:6" x14ac:dyDescent="0.25">
      <c r="A3712" s="469"/>
      <c r="B3712" s="148"/>
      <c r="C3712" s="345"/>
      <c r="D3712" s="469"/>
      <c r="E3712" s="503"/>
      <c r="F3712" s="503"/>
    </row>
    <row r="3713" spans="1:6" ht="60" x14ac:dyDescent="0.25">
      <c r="A3713" s="469"/>
      <c r="B3713" s="184" t="s">
        <v>1979</v>
      </c>
      <c r="C3713" s="345" t="s">
        <v>48</v>
      </c>
      <c r="D3713" s="469"/>
      <c r="E3713" s="503"/>
      <c r="F3713" s="503"/>
    </row>
    <row r="3714" spans="1:6" ht="36" x14ac:dyDescent="0.25">
      <c r="A3714" s="149"/>
      <c r="B3714" s="184" t="s">
        <v>2119</v>
      </c>
      <c r="C3714" s="345" t="s">
        <v>48</v>
      </c>
      <c r="D3714" s="469"/>
      <c r="E3714" s="503"/>
      <c r="F3714" s="503"/>
    </row>
    <row r="3715" spans="1:6" ht="96" x14ac:dyDescent="0.25">
      <c r="A3715" s="149"/>
      <c r="B3715" s="184" t="s">
        <v>2120</v>
      </c>
      <c r="C3715" s="345" t="s">
        <v>48</v>
      </c>
      <c r="D3715" s="469"/>
      <c r="E3715" s="503"/>
      <c r="F3715" s="503"/>
    </row>
    <row r="3716" spans="1:6" ht="48" x14ac:dyDescent="0.25">
      <c r="A3716" s="149"/>
      <c r="B3716" s="184" t="s">
        <v>2121</v>
      </c>
      <c r="C3716" s="345" t="s">
        <v>48</v>
      </c>
      <c r="D3716" s="469"/>
      <c r="E3716" s="503"/>
      <c r="F3716" s="503"/>
    </row>
    <row r="3717" spans="1:6" ht="36" x14ac:dyDescent="0.25">
      <c r="A3717" s="149"/>
      <c r="B3717" s="184" t="s">
        <v>2122</v>
      </c>
      <c r="C3717" s="345" t="s">
        <v>48</v>
      </c>
      <c r="D3717" s="469"/>
      <c r="E3717" s="503"/>
      <c r="F3717" s="503"/>
    </row>
    <row r="3718" spans="1:6" x14ac:dyDescent="0.25">
      <c r="A3718" s="469"/>
      <c r="B3718" s="148"/>
      <c r="C3718" s="345"/>
      <c r="D3718" s="469"/>
      <c r="E3718" s="503"/>
      <c r="F3718" s="503"/>
    </row>
    <row r="3719" spans="1:6" ht="36" x14ac:dyDescent="0.25">
      <c r="A3719" s="469"/>
      <c r="B3719" s="184" t="s">
        <v>2045</v>
      </c>
      <c r="C3719" s="345" t="s">
        <v>48</v>
      </c>
      <c r="D3719" s="469"/>
      <c r="E3719" s="503"/>
      <c r="F3719" s="503"/>
    </row>
    <row r="3720" spans="1:6" ht="36.75" thickBot="1" x14ac:dyDescent="0.3">
      <c r="A3720" s="154"/>
      <c r="B3720" s="185" t="s">
        <v>2123</v>
      </c>
      <c r="C3720" s="346" t="s">
        <v>48</v>
      </c>
      <c r="D3720" s="436"/>
      <c r="E3720" s="444"/>
      <c r="F3720" s="444"/>
    </row>
    <row r="3721" spans="1:6" ht="31.5" x14ac:dyDescent="0.25">
      <c r="A3721" s="435"/>
      <c r="B3721" s="152" t="s">
        <v>1893</v>
      </c>
      <c r="C3721" s="473" t="s">
        <v>1895</v>
      </c>
      <c r="D3721" s="474"/>
      <c r="E3721" s="474"/>
      <c r="F3721" s="475"/>
    </row>
    <row r="3722" spans="1:6" x14ac:dyDescent="0.25">
      <c r="A3722" s="469"/>
      <c r="B3722" s="138"/>
      <c r="C3722" s="476" t="s">
        <v>1896</v>
      </c>
      <c r="D3722" s="477"/>
      <c r="E3722" s="477"/>
      <c r="F3722" s="478"/>
    </row>
    <row r="3723" spans="1:6" ht="15.75" thickBot="1" x14ac:dyDescent="0.3">
      <c r="A3723" s="469"/>
      <c r="B3723" s="139" t="s">
        <v>1894</v>
      </c>
      <c r="C3723" s="494" t="s">
        <v>1897</v>
      </c>
      <c r="D3723" s="495"/>
      <c r="E3723" s="495"/>
      <c r="F3723" s="496"/>
    </row>
    <row r="3724" spans="1:6" ht="15.75" thickBot="1" x14ac:dyDescent="0.3">
      <c r="A3724" s="470"/>
      <c r="B3724" s="140"/>
      <c r="C3724" s="497" t="s">
        <v>1898</v>
      </c>
      <c r="D3724" s="498"/>
      <c r="E3724" s="498"/>
      <c r="F3724" s="499"/>
    </row>
    <row r="3725" spans="1:6" ht="16.5" thickTop="1" thickBot="1" x14ac:dyDescent="0.3">
      <c r="A3725" s="186" t="s">
        <v>1899</v>
      </c>
      <c r="B3725" s="313" t="s">
        <v>1</v>
      </c>
      <c r="C3725" s="344" t="s">
        <v>3</v>
      </c>
      <c r="D3725" s="181" t="s">
        <v>2</v>
      </c>
      <c r="E3725" s="291" t="s">
        <v>1900</v>
      </c>
      <c r="F3725" s="292" t="s">
        <v>1427</v>
      </c>
    </row>
    <row r="3726" spans="1:6" ht="36.75" thickTop="1" x14ac:dyDescent="0.25">
      <c r="A3726" s="501"/>
      <c r="B3726" s="184" t="s">
        <v>2124</v>
      </c>
      <c r="C3726" s="345" t="s">
        <v>48</v>
      </c>
      <c r="D3726" s="501"/>
      <c r="E3726" s="502"/>
      <c r="F3726" s="502"/>
    </row>
    <row r="3727" spans="1:6" ht="24" x14ac:dyDescent="0.25">
      <c r="A3727" s="469"/>
      <c r="B3727" s="148" t="s">
        <v>2125</v>
      </c>
      <c r="C3727" s="345" t="s">
        <v>48</v>
      </c>
      <c r="D3727" s="469"/>
      <c r="E3727" s="503"/>
      <c r="F3727" s="503"/>
    </row>
    <row r="3728" spans="1:6" ht="24" x14ac:dyDescent="0.25">
      <c r="A3728" s="469"/>
      <c r="B3728" s="148" t="s">
        <v>2126</v>
      </c>
      <c r="C3728" s="345" t="s">
        <v>48</v>
      </c>
      <c r="D3728" s="469"/>
      <c r="E3728" s="503"/>
      <c r="F3728" s="503"/>
    </row>
    <row r="3729" spans="1:6" ht="36" x14ac:dyDescent="0.25">
      <c r="A3729" s="469"/>
      <c r="B3729" s="184" t="s">
        <v>2127</v>
      </c>
      <c r="C3729" s="345" t="s">
        <v>48</v>
      </c>
      <c r="D3729" s="469"/>
      <c r="E3729" s="503"/>
      <c r="F3729" s="503"/>
    </row>
    <row r="3730" spans="1:6" ht="36" x14ac:dyDescent="0.25">
      <c r="A3730" s="469"/>
      <c r="B3730" s="184" t="s">
        <v>2128</v>
      </c>
      <c r="C3730" s="345" t="s">
        <v>48</v>
      </c>
      <c r="D3730" s="469"/>
      <c r="E3730" s="503"/>
      <c r="F3730" s="503"/>
    </row>
    <row r="3731" spans="1:6" ht="48" x14ac:dyDescent="0.25">
      <c r="A3731" s="469"/>
      <c r="B3731" s="184" t="s">
        <v>2129</v>
      </c>
      <c r="C3731" s="345" t="s">
        <v>48</v>
      </c>
      <c r="D3731" s="469"/>
      <c r="E3731" s="503"/>
      <c r="F3731" s="503"/>
    </row>
    <row r="3732" spans="1:6" ht="36" x14ac:dyDescent="0.25">
      <c r="A3732" s="469"/>
      <c r="B3732" s="184" t="s">
        <v>2130</v>
      </c>
      <c r="C3732" s="345" t="s">
        <v>48</v>
      </c>
      <c r="D3732" s="469"/>
      <c r="E3732" s="503"/>
      <c r="F3732" s="503"/>
    </row>
    <row r="3733" spans="1:6" ht="72" x14ac:dyDescent="0.25">
      <c r="A3733" s="469"/>
      <c r="B3733" s="184" t="s">
        <v>2131</v>
      </c>
      <c r="C3733" s="345" t="s">
        <v>48</v>
      </c>
      <c r="D3733" s="469"/>
      <c r="E3733" s="503"/>
      <c r="F3733" s="503"/>
    </row>
    <row r="3734" spans="1:6" ht="60" x14ac:dyDescent="0.25">
      <c r="A3734" s="469"/>
      <c r="B3734" s="184" t="s">
        <v>2132</v>
      </c>
      <c r="C3734" s="345" t="s">
        <v>48</v>
      </c>
      <c r="D3734" s="469"/>
      <c r="E3734" s="503"/>
      <c r="F3734" s="503"/>
    </row>
    <row r="3735" spans="1:6" x14ac:dyDescent="0.25">
      <c r="A3735" s="469"/>
      <c r="B3735" s="148"/>
      <c r="C3735" s="345"/>
      <c r="D3735" s="469"/>
      <c r="E3735" s="503"/>
      <c r="F3735" s="503"/>
    </row>
    <row r="3736" spans="1:6" ht="24.75" thickBot="1" x14ac:dyDescent="0.3">
      <c r="A3736" s="436"/>
      <c r="B3736" s="171" t="s">
        <v>2133</v>
      </c>
      <c r="C3736" s="346" t="s">
        <v>48</v>
      </c>
      <c r="D3736" s="436"/>
      <c r="E3736" s="444"/>
      <c r="F3736" s="444"/>
    </row>
    <row r="3737" spans="1:6" ht="31.5" x14ac:dyDescent="0.25">
      <c r="A3737" s="435"/>
      <c r="B3737" s="152" t="s">
        <v>1893</v>
      </c>
      <c r="C3737" s="473" t="s">
        <v>1895</v>
      </c>
      <c r="D3737" s="474"/>
      <c r="E3737" s="474"/>
      <c r="F3737" s="475"/>
    </row>
    <row r="3738" spans="1:6" x14ac:dyDescent="0.25">
      <c r="A3738" s="469"/>
      <c r="B3738" s="138"/>
      <c r="C3738" s="476" t="s">
        <v>1896</v>
      </c>
      <c r="D3738" s="477"/>
      <c r="E3738" s="477"/>
      <c r="F3738" s="478"/>
    </row>
    <row r="3739" spans="1:6" ht="15.75" thickBot="1" x14ac:dyDescent="0.3">
      <c r="A3739" s="469"/>
      <c r="B3739" s="139" t="s">
        <v>1894</v>
      </c>
      <c r="C3739" s="494" t="s">
        <v>1897</v>
      </c>
      <c r="D3739" s="495"/>
      <c r="E3739" s="495"/>
      <c r="F3739" s="496"/>
    </row>
    <row r="3740" spans="1:6" ht="15.75" thickBot="1" x14ac:dyDescent="0.3">
      <c r="A3740" s="470"/>
      <c r="B3740" s="140"/>
      <c r="C3740" s="497" t="s">
        <v>1898</v>
      </c>
      <c r="D3740" s="498"/>
      <c r="E3740" s="498"/>
      <c r="F3740" s="499"/>
    </row>
    <row r="3741" spans="1:6" ht="16.5" thickTop="1" thickBot="1" x14ac:dyDescent="0.3">
      <c r="A3741" s="180" t="s">
        <v>1899</v>
      </c>
      <c r="B3741" s="313" t="s">
        <v>1</v>
      </c>
      <c r="C3741" s="344" t="s">
        <v>3</v>
      </c>
      <c r="D3741" s="181" t="s">
        <v>2</v>
      </c>
      <c r="E3741" s="291" t="s">
        <v>1900</v>
      </c>
      <c r="F3741" s="292" t="s">
        <v>1427</v>
      </c>
    </row>
    <row r="3742" spans="1:6" ht="60.75" thickTop="1" x14ac:dyDescent="0.25">
      <c r="A3742" s="149"/>
      <c r="B3742" s="184" t="s">
        <v>2134</v>
      </c>
      <c r="C3742" s="345" t="s">
        <v>48</v>
      </c>
      <c r="D3742" s="148"/>
      <c r="E3742" s="280"/>
      <c r="F3742" s="280"/>
    </row>
    <row r="3743" spans="1:6" x14ac:dyDescent="0.25">
      <c r="A3743" s="469"/>
      <c r="B3743" s="148"/>
      <c r="C3743" s="345"/>
      <c r="D3743" s="469"/>
      <c r="E3743" s="281"/>
      <c r="F3743" s="281"/>
    </row>
    <row r="3744" spans="1:6" x14ac:dyDescent="0.25">
      <c r="A3744" s="469"/>
      <c r="B3744" s="148" t="s">
        <v>2135</v>
      </c>
      <c r="C3744" s="345" t="s">
        <v>48</v>
      </c>
      <c r="D3744" s="469"/>
      <c r="E3744" s="281"/>
      <c r="F3744" s="281"/>
    </row>
    <row r="3745" spans="1:6" x14ac:dyDescent="0.25">
      <c r="A3745" s="469"/>
      <c r="B3745" s="148" t="s">
        <v>2136</v>
      </c>
      <c r="C3745" s="361"/>
      <c r="D3745" s="469"/>
      <c r="E3745" s="281"/>
      <c r="F3745" s="281"/>
    </row>
    <row r="3746" spans="1:6" ht="48" x14ac:dyDescent="0.25">
      <c r="A3746" s="149"/>
      <c r="B3746" s="184" t="s">
        <v>2137</v>
      </c>
      <c r="C3746" s="345" t="s">
        <v>48</v>
      </c>
      <c r="D3746" s="148"/>
      <c r="E3746" s="281"/>
      <c r="F3746" s="281"/>
    </row>
    <row r="3747" spans="1:6" ht="60" x14ac:dyDescent="0.25">
      <c r="A3747" s="149"/>
      <c r="B3747" s="184" t="s">
        <v>2138</v>
      </c>
      <c r="C3747" s="345" t="s">
        <v>48</v>
      </c>
      <c r="D3747" s="148"/>
      <c r="E3747" s="281"/>
      <c r="F3747" s="281"/>
    </row>
    <row r="3748" spans="1:6" ht="24" x14ac:dyDescent="0.25">
      <c r="A3748" s="149"/>
      <c r="B3748" s="148" t="s">
        <v>2139</v>
      </c>
      <c r="C3748" s="345" t="s">
        <v>48</v>
      </c>
      <c r="D3748" s="148"/>
      <c r="E3748" s="281"/>
      <c r="F3748" s="281"/>
    </row>
    <row r="3749" spans="1:6" ht="36" x14ac:dyDescent="0.25">
      <c r="A3749" s="149"/>
      <c r="B3749" s="184" t="s">
        <v>1951</v>
      </c>
      <c r="C3749" s="345" t="s">
        <v>48</v>
      </c>
      <c r="D3749" s="148"/>
      <c r="E3749" s="281"/>
      <c r="F3749" s="281"/>
    </row>
    <row r="3750" spans="1:6" x14ac:dyDescent="0.25">
      <c r="A3750" s="149"/>
      <c r="B3750" s="183" t="s">
        <v>2140</v>
      </c>
      <c r="C3750" s="345"/>
      <c r="D3750" s="148"/>
      <c r="E3750" s="281"/>
      <c r="F3750" s="281"/>
    </row>
    <row r="3751" spans="1:6" x14ac:dyDescent="0.25">
      <c r="A3751" s="149"/>
      <c r="B3751" s="183" t="s">
        <v>2141</v>
      </c>
      <c r="C3751" s="345"/>
      <c r="D3751" s="148"/>
      <c r="E3751" s="281"/>
      <c r="F3751" s="281"/>
    </row>
    <row r="3752" spans="1:6" ht="108.75" thickBot="1" x14ac:dyDescent="0.3">
      <c r="A3752" s="187" t="s">
        <v>2142</v>
      </c>
      <c r="B3752" s="185" t="s">
        <v>2143</v>
      </c>
      <c r="C3752" s="346" t="s">
        <v>1958</v>
      </c>
      <c r="D3752" s="188">
        <v>450</v>
      </c>
      <c r="E3752" s="282">
        <v>850</v>
      </c>
      <c r="F3752" s="282">
        <f>E3752*D3752</f>
        <v>382500</v>
      </c>
    </row>
    <row r="3753" spans="1:6" ht="31.5" x14ac:dyDescent="0.25">
      <c r="A3753" s="435"/>
      <c r="B3753" s="152" t="s">
        <v>1893</v>
      </c>
      <c r="C3753" s="473" t="s">
        <v>1895</v>
      </c>
      <c r="D3753" s="474"/>
      <c r="E3753" s="474"/>
      <c r="F3753" s="475"/>
    </row>
    <row r="3754" spans="1:6" x14ac:dyDescent="0.25">
      <c r="A3754" s="469"/>
      <c r="B3754" s="138"/>
      <c r="C3754" s="476" t="s">
        <v>1896</v>
      </c>
      <c r="D3754" s="477"/>
      <c r="E3754" s="477"/>
      <c r="F3754" s="478"/>
    </row>
    <row r="3755" spans="1:6" ht="15.75" thickBot="1" x14ac:dyDescent="0.3">
      <c r="A3755" s="469"/>
      <c r="B3755" s="139" t="s">
        <v>1894</v>
      </c>
      <c r="C3755" s="494" t="s">
        <v>1897</v>
      </c>
      <c r="D3755" s="495"/>
      <c r="E3755" s="495"/>
      <c r="F3755" s="496"/>
    </row>
    <row r="3756" spans="1:6" ht="15.75" thickBot="1" x14ac:dyDescent="0.3">
      <c r="A3756" s="470"/>
      <c r="B3756" s="140"/>
      <c r="C3756" s="497" t="s">
        <v>1898</v>
      </c>
      <c r="D3756" s="498"/>
      <c r="E3756" s="498"/>
      <c r="F3756" s="499"/>
    </row>
    <row r="3757" spans="1:6" ht="16.5" thickTop="1" thickBot="1" x14ac:dyDescent="0.3">
      <c r="A3757" s="180" t="s">
        <v>1899</v>
      </c>
      <c r="B3757" s="313" t="s">
        <v>1</v>
      </c>
      <c r="C3757" s="344" t="s">
        <v>3</v>
      </c>
      <c r="D3757" s="181" t="s">
        <v>2</v>
      </c>
      <c r="E3757" s="291" t="s">
        <v>1900</v>
      </c>
      <c r="F3757" s="292" t="s">
        <v>1427</v>
      </c>
    </row>
    <row r="3758" spans="1:6" ht="15.75" thickTop="1" x14ac:dyDescent="0.25">
      <c r="A3758" s="550" t="s">
        <v>2144</v>
      </c>
      <c r="B3758" s="662" t="s">
        <v>2369</v>
      </c>
      <c r="C3758" s="500" t="s">
        <v>1958</v>
      </c>
      <c r="D3758" s="552">
        <v>45</v>
      </c>
      <c r="E3758" s="554">
        <v>750</v>
      </c>
      <c r="F3758" s="554">
        <f>E3758*D3758</f>
        <v>33750</v>
      </c>
    </row>
    <row r="3759" spans="1:6" ht="15.75" thickBot="1" x14ac:dyDescent="0.3">
      <c r="A3759" s="551"/>
      <c r="B3759" s="663"/>
      <c r="C3759" s="489"/>
      <c r="D3759" s="553"/>
      <c r="E3759" s="555"/>
      <c r="F3759" s="555"/>
    </row>
    <row r="3760" spans="1:6" ht="15.75" thickTop="1" x14ac:dyDescent="0.25">
      <c r="A3760" s="149"/>
      <c r="B3760" s="148"/>
      <c r="C3760" s="345"/>
      <c r="D3760" s="148"/>
      <c r="E3760" s="281"/>
      <c r="F3760" s="280"/>
    </row>
    <row r="3761" spans="1:6" ht="36.75" thickBot="1" x14ac:dyDescent="0.3">
      <c r="A3761" s="189" t="s">
        <v>2147</v>
      </c>
      <c r="B3761" s="184" t="s">
        <v>2148</v>
      </c>
      <c r="C3761" s="345" t="s">
        <v>1958</v>
      </c>
      <c r="D3761" s="190">
        <v>80</v>
      </c>
      <c r="E3761" s="281">
        <v>750</v>
      </c>
      <c r="F3761" s="281">
        <f>E3761*D3761</f>
        <v>60000</v>
      </c>
    </row>
    <row r="3762" spans="1:6" ht="60.75" thickTop="1" x14ac:dyDescent="0.25">
      <c r="A3762" s="191"/>
      <c r="B3762" s="184" t="s">
        <v>2149</v>
      </c>
      <c r="C3762" s="361"/>
      <c r="D3762" s="166"/>
      <c r="E3762" s="281"/>
      <c r="F3762" s="554"/>
    </row>
    <row r="3763" spans="1:6" x14ac:dyDescent="0.25">
      <c r="A3763" s="149"/>
      <c r="B3763" s="148"/>
      <c r="C3763" s="345"/>
      <c r="D3763" s="148"/>
      <c r="E3763" s="281"/>
      <c r="F3763" s="555"/>
    </row>
    <row r="3764" spans="1:6" ht="108.75" thickBot="1" x14ac:dyDescent="0.3">
      <c r="A3764" s="187" t="s">
        <v>2150</v>
      </c>
      <c r="B3764" s="185" t="s">
        <v>2151</v>
      </c>
      <c r="C3764" s="346" t="s">
        <v>1958</v>
      </c>
      <c r="D3764" s="192">
        <v>20</v>
      </c>
      <c r="E3764" s="282">
        <v>1350</v>
      </c>
      <c r="F3764" s="282">
        <f>E3764*D3764</f>
        <v>27000</v>
      </c>
    </row>
    <row r="3765" spans="1:6" ht="31.5" x14ac:dyDescent="0.25">
      <c r="A3765" s="435"/>
      <c r="B3765" s="152" t="s">
        <v>1893</v>
      </c>
      <c r="C3765" s="473" t="s">
        <v>1895</v>
      </c>
      <c r="D3765" s="474"/>
      <c r="E3765" s="474"/>
      <c r="F3765" s="475"/>
    </row>
    <row r="3766" spans="1:6" x14ac:dyDescent="0.25">
      <c r="A3766" s="469"/>
      <c r="B3766" s="138"/>
      <c r="C3766" s="476" t="s">
        <v>1896</v>
      </c>
      <c r="D3766" s="477"/>
      <c r="E3766" s="477"/>
      <c r="F3766" s="478"/>
    </row>
    <row r="3767" spans="1:6" ht="15.75" thickBot="1" x14ac:dyDescent="0.3">
      <c r="A3767" s="469"/>
      <c r="B3767" s="139" t="s">
        <v>1894</v>
      </c>
      <c r="C3767" s="494" t="s">
        <v>1897</v>
      </c>
      <c r="D3767" s="495"/>
      <c r="E3767" s="495"/>
      <c r="F3767" s="496"/>
    </row>
    <row r="3768" spans="1:6" ht="15.75" thickBot="1" x14ac:dyDescent="0.3">
      <c r="A3768" s="470"/>
      <c r="B3768" s="140"/>
      <c r="C3768" s="497" t="s">
        <v>1898</v>
      </c>
      <c r="D3768" s="498"/>
      <c r="E3768" s="498"/>
      <c r="F3768" s="499"/>
    </row>
    <row r="3769" spans="1:6" ht="16.5" thickTop="1" thickBot="1" x14ac:dyDescent="0.3">
      <c r="A3769" s="180" t="s">
        <v>1899</v>
      </c>
      <c r="B3769" s="313" t="s">
        <v>1</v>
      </c>
      <c r="C3769" s="344" t="s">
        <v>3</v>
      </c>
      <c r="D3769" s="181" t="s">
        <v>2</v>
      </c>
      <c r="E3769" s="291" t="s">
        <v>1900</v>
      </c>
      <c r="F3769" s="292" t="s">
        <v>1427</v>
      </c>
    </row>
    <row r="3770" spans="1:6" ht="15.75" thickTop="1" x14ac:dyDescent="0.25">
      <c r="A3770" s="149"/>
      <c r="B3770" s="183" t="s">
        <v>2152</v>
      </c>
      <c r="C3770" s="345"/>
      <c r="D3770" s="148"/>
      <c r="E3770" s="280"/>
      <c r="F3770" s="280"/>
    </row>
    <row r="3771" spans="1:6" ht="60" x14ac:dyDescent="0.25">
      <c r="A3771" s="149"/>
      <c r="B3771" s="184" t="s">
        <v>2153</v>
      </c>
      <c r="C3771" s="345" t="s">
        <v>48</v>
      </c>
      <c r="D3771" s="148"/>
      <c r="E3771" s="281"/>
      <c r="F3771" s="281"/>
    </row>
    <row r="3772" spans="1:6" x14ac:dyDescent="0.25">
      <c r="A3772" s="469"/>
      <c r="B3772" s="148"/>
      <c r="C3772" s="345"/>
      <c r="D3772" s="469"/>
      <c r="E3772" s="281"/>
      <c r="F3772" s="281"/>
    </row>
    <row r="3773" spans="1:6" ht="24" x14ac:dyDescent="0.25">
      <c r="A3773" s="469"/>
      <c r="B3773" s="148" t="s">
        <v>2154</v>
      </c>
      <c r="C3773" s="345" t="s">
        <v>48</v>
      </c>
      <c r="D3773" s="469"/>
      <c r="E3773" s="281"/>
      <c r="F3773" s="281"/>
    </row>
    <row r="3774" spans="1:6" ht="36" x14ac:dyDescent="0.25">
      <c r="A3774" s="149"/>
      <c r="B3774" s="184" t="s">
        <v>2155</v>
      </c>
      <c r="C3774" s="345" t="s">
        <v>48</v>
      </c>
      <c r="D3774" s="148"/>
      <c r="E3774" s="281"/>
      <c r="F3774" s="281"/>
    </row>
    <row r="3775" spans="1:6" x14ac:dyDescent="0.25">
      <c r="A3775" s="469"/>
      <c r="B3775" s="148"/>
      <c r="C3775" s="345"/>
      <c r="D3775" s="469"/>
      <c r="E3775" s="281"/>
      <c r="F3775" s="281"/>
    </row>
    <row r="3776" spans="1:6" ht="36" x14ac:dyDescent="0.25">
      <c r="A3776" s="469"/>
      <c r="B3776" s="184" t="s">
        <v>2156</v>
      </c>
      <c r="C3776" s="345" t="s">
        <v>48</v>
      </c>
      <c r="D3776" s="469"/>
      <c r="E3776" s="281"/>
      <c r="F3776" s="281"/>
    </row>
    <row r="3777" spans="1:6" x14ac:dyDescent="0.25">
      <c r="A3777" s="469"/>
      <c r="B3777" s="148"/>
      <c r="C3777" s="489"/>
      <c r="D3777" s="469"/>
      <c r="E3777" s="281"/>
      <c r="F3777" s="281"/>
    </row>
    <row r="3778" spans="1:6" x14ac:dyDescent="0.25">
      <c r="A3778" s="469"/>
      <c r="B3778" s="183" t="s">
        <v>2157</v>
      </c>
      <c r="C3778" s="489"/>
      <c r="D3778" s="469"/>
      <c r="E3778" s="281"/>
      <c r="F3778" s="281"/>
    </row>
    <row r="3779" spans="1:6" ht="48" x14ac:dyDescent="0.25">
      <c r="A3779" s="189" t="s">
        <v>2158</v>
      </c>
      <c r="B3779" s="184" t="s">
        <v>2159</v>
      </c>
      <c r="C3779" s="345" t="s">
        <v>1958</v>
      </c>
      <c r="D3779" s="190">
        <v>660</v>
      </c>
      <c r="E3779" s="281">
        <v>165</v>
      </c>
      <c r="F3779" s="281">
        <f>E3779*D3779</f>
        <v>108900</v>
      </c>
    </row>
    <row r="3780" spans="1:6" x14ac:dyDescent="0.25">
      <c r="A3780" s="469"/>
      <c r="B3780" s="148"/>
      <c r="C3780" s="489"/>
      <c r="D3780" s="469"/>
      <c r="E3780" s="281"/>
      <c r="F3780" s="281"/>
    </row>
    <row r="3781" spans="1:6" x14ac:dyDescent="0.25">
      <c r="A3781" s="469"/>
      <c r="B3781" s="183" t="s">
        <v>2160</v>
      </c>
      <c r="C3781" s="489"/>
      <c r="D3781" s="469"/>
      <c r="E3781" s="281"/>
      <c r="F3781" s="281"/>
    </row>
    <row r="3782" spans="1:6" ht="48.75" thickBot="1" x14ac:dyDescent="0.3">
      <c r="A3782" s="187" t="s">
        <v>2161</v>
      </c>
      <c r="B3782" s="185" t="s">
        <v>2162</v>
      </c>
      <c r="C3782" s="346" t="s">
        <v>1958</v>
      </c>
      <c r="D3782" s="192">
        <v>100</v>
      </c>
      <c r="E3782" s="282">
        <v>165</v>
      </c>
      <c r="F3782" s="281">
        <f>E3782*D3782</f>
        <v>16500</v>
      </c>
    </row>
    <row r="3783" spans="1:6" ht="31.5" x14ac:dyDescent="0.25">
      <c r="A3783" s="435"/>
      <c r="B3783" s="152" t="s">
        <v>1893</v>
      </c>
      <c r="C3783" s="473" t="s">
        <v>1895</v>
      </c>
      <c r="D3783" s="474"/>
      <c r="E3783" s="474"/>
      <c r="F3783" s="475"/>
    </row>
    <row r="3784" spans="1:6" x14ac:dyDescent="0.25">
      <c r="A3784" s="469"/>
      <c r="B3784" s="138"/>
      <c r="C3784" s="476" t="s">
        <v>1896</v>
      </c>
      <c r="D3784" s="477"/>
      <c r="E3784" s="477"/>
      <c r="F3784" s="478"/>
    </row>
    <row r="3785" spans="1:6" ht="15.75" thickBot="1" x14ac:dyDescent="0.3">
      <c r="A3785" s="469"/>
      <c r="B3785" s="139" t="s">
        <v>1894</v>
      </c>
      <c r="C3785" s="494" t="s">
        <v>1897</v>
      </c>
      <c r="D3785" s="495"/>
      <c r="E3785" s="495"/>
      <c r="F3785" s="496"/>
    </row>
    <row r="3786" spans="1:6" ht="15.75" thickBot="1" x14ac:dyDescent="0.3">
      <c r="A3786" s="470"/>
      <c r="B3786" s="140"/>
      <c r="C3786" s="497" t="s">
        <v>1898</v>
      </c>
      <c r="D3786" s="498"/>
      <c r="E3786" s="498"/>
      <c r="F3786" s="499"/>
    </row>
    <row r="3787" spans="1:6" ht="16.5" thickTop="1" thickBot="1" x14ac:dyDescent="0.3">
      <c r="A3787" s="180" t="s">
        <v>1899</v>
      </c>
      <c r="B3787" s="313" t="s">
        <v>1</v>
      </c>
      <c r="C3787" s="344" t="s">
        <v>3</v>
      </c>
      <c r="D3787" s="181" t="s">
        <v>2</v>
      </c>
      <c r="E3787" s="291" t="s">
        <v>1900</v>
      </c>
      <c r="F3787" s="292" t="s">
        <v>1427</v>
      </c>
    </row>
    <row r="3788" spans="1:6" ht="15.75" thickTop="1" x14ac:dyDescent="0.25">
      <c r="A3788" s="149"/>
      <c r="B3788" s="193" t="s">
        <v>2164</v>
      </c>
      <c r="C3788" s="345"/>
      <c r="D3788" s="148"/>
      <c r="E3788" s="280"/>
      <c r="F3788" s="280"/>
    </row>
    <row r="3789" spans="1:6" ht="36" x14ac:dyDescent="0.25">
      <c r="A3789" s="189" t="s">
        <v>2163</v>
      </c>
      <c r="B3789" s="184" t="s">
        <v>2165</v>
      </c>
      <c r="C3789" s="345" t="s">
        <v>1958</v>
      </c>
      <c r="D3789" s="190">
        <v>170</v>
      </c>
      <c r="E3789" s="281">
        <v>750</v>
      </c>
      <c r="F3789" s="281">
        <f>E3789*D3789</f>
        <v>127500</v>
      </c>
    </row>
    <row r="3790" spans="1:6" ht="72" x14ac:dyDescent="0.25">
      <c r="A3790" s="191"/>
      <c r="B3790" s="184" t="s">
        <v>2166</v>
      </c>
      <c r="C3790" s="361"/>
      <c r="D3790" s="166"/>
      <c r="E3790" s="281"/>
      <c r="F3790" s="281"/>
    </row>
    <row r="3791" spans="1:6" x14ac:dyDescent="0.25">
      <c r="A3791" s="469"/>
      <c r="B3791" s="148"/>
      <c r="C3791" s="489"/>
      <c r="D3791" s="469"/>
      <c r="E3791" s="281"/>
      <c r="F3791" s="281"/>
    </row>
    <row r="3792" spans="1:6" x14ac:dyDescent="0.25">
      <c r="A3792" s="469"/>
      <c r="B3792" s="148"/>
      <c r="C3792" s="489"/>
      <c r="D3792" s="469"/>
      <c r="E3792" s="281"/>
      <c r="F3792" s="281"/>
    </row>
    <row r="3793" spans="1:6" x14ac:dyDescent="0.25">
      <c r="A3793" s="469"/>
      <c r="B3793" s="183" t="s">
        <v>2167</v>
      </c>
      <c r="C3793" s="489"/>
      <c r="D3793" s="469"/>
      <c r="E3793" s="281"/>
      <c r="F3793" s="281"/>
    </row>
    <row r="3794" spans="1:6" ht="108" x14ac:dyDescent="0.25">
      <c r="A3794" s="189" t="s">
        <v>2168</v>
      </c>
      <c r="B3794" s="184" t="s">
        <v>2169</v>
      </c>
      <c r="C3794" s="345" t="s">
        <v>1958</v>
      </c>
      <c r="D3794" s="190">
        <v>500</v>
      </c>
      <c r="E3794" s="281">
        <v>480</v>
      </c>
      <c r="F3794" s="281">
        <f>E3794*D3794</f>
        <v>240000</v>
      </c>
    </row>
    <row r="3795" spans="1:6" x14ac:dyDescent="0.25">
      <c r="A3795" s="149"/>
      <c r="B3795" s="148"/>
      <c r="C3795" s="345"/>
      <c r="D3795" s="148"/>
      <c r="E3795" s="281"/>
      <c r="F3795" s="281"/>
    </row>
    <row r="3796" spans="1:6" x14ac:dyDescent="0.25">
      <c r="A3796" s="149"/>
      <c r="B3796" s="148"/>
      <c r="C3796" s="345"/>
      <c r="D3796" s="148"/>
      <c r="E3796" s="281"/>
      <c r="F3796" s="281"/>
    </row>
    <row r="3797" spans="1:6" ht="60.75" thickBot="1" x14ac:dyDescent="0.3">
      <c r="A3797" s="187" t="s">
        <v>2170</v>
      </c>
      <c r="B3797" s="171" t="s">
        <v>2171</v>
      </c>
      <c r="C3797" s="346" t="s">
        <v>11</v>
      </c>
      <c r="D3797" s="192">
        <v>1</v>
      </c>
      <c r="E3797" s="282">
        <v>46500</v>
      </c>
      <c r="F3797" s="281">
        <f>E3797*D3797</f>
        <v>46500</v>
      </c>
    </row>
    <row r="3798" spans="1:6" ht="24.75" thickBot="1" x14ac:dyDescent="0.3">
      <c r="A3798" s="154"/>
      <c r="B3798" s="194" t="s">
        <v>2172</v>
      </c>
      <c r="C3798" s="346"/>
      <c r="D3798" s="171"/>
      <c r="E3798" s="293" t="s">
        <v>1932</v>
      </c>
      <c r="F3798" s="286">
        <f>SUM(F3797,F3794,F3789,F3779:F3782,F3758:F3764,F3752)</f>
        <v>1042650</v>
      </c>
    </row>
    <row r="3799" spans="1:6" ht="31.5" x14ac:dyDescent="0.25">
      <c r="A3799" s="435"/>
      <c r="B3799" s="152" t="s">
        <v>1893</v>
      </c>
      <c r="C3799" s="473" t="s">
        <v>1895</v>
      </c>
      <c r="D3799" s="474"/>
      <c r="E3799" s="474"/>
      <c r="F3799" s="478"/>
    </row>
    <row r="3800" spans="1:6" x14ac:dyDescent="0.25">
      <c r="A3800" s="469"/>
      <c r="B3800" s="138"/>
      <c r="C3800" s="476" t="s">
        <v>1896</v>
      </c>
      <c r="D3800" s="477"/>
      <c r="E3800" s="477"/>
      <c r="F3800" s="478"/>
    </row>
    <row r="3801" spans="1:6" ht="15.75" thickBot="1" x14ac:dyDescent="0.3">
      <c r="A3801" s="469"/>
      <c r="B3801" s="139" t="s">
        <v>1894</v>
      </c>
      <c r="C3801" s="494" t="s">
        <v>1897</v>
      </c>
      <c r="D3801" s="495"/>
      <c r="E3801" s="495"/>
      <c r="F3801" s="496"/>
    </row>
    <row r="3802" spans="1:6" ht="15.75" thickBot="1" x14ac:dyDescent="0.3">
      <c r="A3802" s="470"/>
      <c r="B3802" s="140"/>
      <c r="C3802" s="497" t="s">
        <v>1898</v>
      </c>
      <c r="D3802" s="498"/>
      <c r="E3802" s="498"/>
      <c r="F3802" s="499"/>
    </row>
    <row r="3803" spans="1:6" ht="16.5" thickTop="1" thickBot="1" x14ac:dyDescent="0.3">
      <c r="A3803" s="156" t="s">
        <v>1899</v>
      </c>
      <c r="B3803" s="310" t="s">
        <v>1</v>
      </c>
      <c r="C3803" s="341" t="s">
        <v>3</v>
      </c>
      <c r="D3803" s="142" t="s">
        <v>2</v>
      </c>
      <c r="E3803" s="278" t="s">
        <v>1900</v>
      </c>
      <c r="F3803" s="288" t="s">
        <v>1427</v>
      </c>
    </row>
    <row r="3804" spans="1:6" ht="15.75" thickTop="1" x14ac:dyDescent="0.25">
      <c r="A3804" s="144"/>
      <c r="B3804" s="146"/>
      <c r="C3804" s="500"/>
      <c r="D3804" s="501"/>
      <c r="E3804" s="502"/>
      <c r="F3804" s="502"/>
    </row>
    <row r="3805" spans="1:6" x14ac:dyDescent="0.25">
      <c r="A3805" s="164" t="s">
        <v>2173</v>
      </c>
      <c r="B3805" s="155" t="s">
        <v>2174</v>
      </c>
      <c r="C3805" s="489"/>
      <c r="D3805" s="469"/>
      <c r="E3805" s="503"/>
      <c r="F3805" s="503"/>
    </row>
    <row r="3806" spans="1:6" ht="76.5" x14ac:dyDescent="0.25">
      <c r="A3806" s="149"/>
      <c r="B3806" s="150" t="s">
        <v>2175</v>
      </c>
      <c r="C3806" s="342" t="s">
        <v>48</v>
      </c>
      <c r="D3806" s="469"/>
      <c r="E3806" s="503"/>
      <c r="F3806" s="503"/>
    </row>
    <row r="3807" spans="1:6" ht="51" x14ac:dyDescent="0.25">
      <c r="A3807" s="469"/>
      <c r="B3807" s="150" t="s">
        <v>2176</v>
      </c>
      <c r="C3807" s="504" t="s">
        <v>48</v>
      </c>
      <c r="D3807" s="469"/>
      <c r="E3807" s="503"/>
      <c r="F3807" s="503"/>
    </row>
    <row r="3808" spans="1:6" ht="25.5" x14ac:dyDescent="0.25">
      <c r="A3808" s="469"/>
      <c r="B3808" s="150" t="s">
        <v>2177</v>
      </c>
      <c r="C3808" s="504"/>
      <c r="D3808" s="469"/>
      <c r="E3808" s="503"/>
      <c r="F3808" s="503"/>
    </row>
    <row r="3809" spans="1:6" x14ac:dyDescent="0.25">
      <c r="A3809" s="469"/>
      <c r="B3809" s="311" t="s">
        <v>2178</v>
      </c>
      <c r="C3809" s="489"/>
      <c r="D3809" s="469"/>
      <c r="E3809" s="503"/>
      <c r="F3809" s="503"/>
    </row>
    <row r="3810" spans="1:6" x14ac:dyDescent="0.25">
      <c r="A3810" s="469"/>
      <c r="B3810" s="311" t="s">
        <v>2179</v>
      </c>
      <c r="C3810" s="489"/>
      <c r="D3810" s="469"/>
      <c r="E3810" s="503"/>
      <c r="F3810" s="503"/>
    </row>
    <row r="3811" spans="1:6" x14ac:dyDescent="0.25">
      <c r="A3811" s="469"/>
      <c r="B3811" s="311" t="s">
        <v>2180</v>
      </c>
      <c r="C3811" s="489"/>
      <c r="D3811" s="469"/>
      <c r="E3811" s="503"/>
      <c r="F3811" s="503"/>
    </row>
    <row r="3812" spans="1:6" x14ac:dyDescent="0.25">
      <c r="A3812" s="469"/>
      <c r="B3812" s="311" t="s">
        <v>2181</v>
      </c>
      <c r="C3812" s="489"/>
      <c r="D3812" s="469"/>
      <c r="E3812" s="503"/>
      <c r="F3812" s="503"/>
    </row>
    <row r="3813" spans="1:6" x14ac:dyDescent="0.25">
      <c r="A3813" s="469"/>
      <c r="B3813" s="311" t="s">
        <v>2182</v>
      </c>
      <c r="C3813" s="489"/>
      <c r="D3813" s="469"/>
      <c r="E3813" s="503"/>
      <c r="F3813" s="503"/>
    </row>
    <row r="3814" spans="1:6" x14ac:dyDescent="0.25">
      <c r="A3814" s="469"/>
      <c r="B3814" s="311" t="s">
        <v>2183</v>
      </c>
      <c r="C3814" s="489"/>
      <c r="D3814" s="469"/>
      <c r="E3814" s="503"/>
      <c r="F3814" s="503"/>
    </row>
    <row r="3815" spans="1:6" ht="51" x14ac:dyDescent="0.25">
      <c r="A3815" s="149"/>
      <c r="B3815" s="150" t="s">
        <v>2184</v>
      </c>
      <c r="C3815" s="342" t="s">
        <v>48</v>
      </c>
      <c r="D3815" s="469"/>
      <c r="E3815" s="503"/>
      <c r="F3815" s="503"/>
    </row>
    <row r="3816" spans="1:6" ht="63.75" x14ac:dyDescent="0.25">
      <c r="A3816" s="149"/>
      <c r="B3816" s="150" t="s">
        <v>2185</v>
      </c>
      <c r="C3816" s="342" t="s">
        <v>48</v>
      </c>
      <c r="D3816" s="469"/>
      <c r="E3816" s="503"/>
      <c r="F3816" s="503"/>
    </row>
    <row r="3817" spans="1:6" ht="38.25" x14ac:dyDescent="0.25">
      <c r="A3817" s="149"/>
      <c r="B3817" s="150" t="s">
        <v>2186</v>
      </c>
      <c r="C3817" s="342" t="s">
        <v>48</v>
      </c>
      <c r="D3817" s="469"/>
      <c r="E3817" s="503"/>
      <c r="F3817" s="503"/>
    </row>
    <row r="3818" spans="1:6" ht="51.75" thickBot="1" x14ac:dyDescent="0.3">
      <c r="A3818" s="154"/>
      <c r="B3818" s="151" t="s">
        <v>2187</v>
      </c>
      <c r="C3818" s="343" t="s">
        <v>48</v>
      </c>
      <c r="D3818" s="436"/>
      <c r="E3818" s="444"/>
      <c r="F3818" s="444"/>
    </row>
    <row r="3819" spans="1:6" ht="31.5" x14ac:dyDescent="0.25">
      <c r="A3819" s="435"/>
      <c r="B3819" s="152" t="s">
        <v>1893</v>
      </c>
      <c r="C3819" s="473" t="s">
        <v>1895</v>
      </c>
      <c r="D3819" s="474"/>
      <c r="E3819" s="474"/>
      <c r="F3819" s="475"/>
    </row>
    <row r="3820" spans="1:6" x14ac:dyDescent="0.25">
      <c r="A3820" s="469"/>
      <c r="B3820" s="138"/>
      <c r="C3820" s="476" t="s">
        <v>1896</v>
      </c>
      <c r="D3820" s="477"/>
      <c r="E3820" s="477"/>
      <c r="F3820" s="478"/>
    </row>
    <row r="3821" spans="1:6" ht="15.75" thickBot="1" x14ac:dyDescent="0.3">
      <c r="A3821" s="469"/>
      <c r="B3821" s="139" t="s">
        <v>1894</v>
      </c>
      <c r="C3821" s="494" t="s">
        <v>1897</v>
      </c>
      <c r="D3821" s="495"/>
      <c r="E3821" s="495"/>
      <c r="F3821" s="496"/>
    </row>
    <row r="3822" spans="1:6" ht="15.75" thickBot="1" x14ac:dyDescent="0.3">
      <c r="A3822" s="470"/>
      <c r="B3822" s="140"/>
      <c r="C3822" s="497" t="s">
        <v>1898</v>
      </c>
      <c r="D3822" s="498"/>
      <c r="E3822" s="498"/>
      <c r="F3822" s="499"/>
    </row>
    <row r="3823" spans="1:6" ht="16.5" thickTop="1" thickBot="1" x14ac:dyDescent="0.3">
      <c r="A3823" s="156" t="s">
        <v>1899</v>
      </c>
      <c r="B3823" s="310" t="s">
        <v>1</v>
      </c>
      <c r="C3823" s="341" t="s">
        <v>3</v>
      </c>
      <c r="D3823" s="142" t="s">
        <v>2</v>
      </c>
      <c r="E3823" s="278" t="s">
        <v>1900</v>
      </c>
      <c r="F3823" s="288" t="s">
        <v>1427</v>
      </c>
    </row>
    <row r="3824" spans="1:6" ht="39" thickTop="1" x14ac:dyDescent="0.25">
      <c r="A3824" s="149"/>
      <c r="B3824" s="150" t="s">
        <v>2188</v>
      </c>
      <c r="C3824" s="342" t="s">
        <v>48</v>
      </c>
      <c r="D3824" s="148"/>
      <c r="E3824" s="280"/>
      <c r="F3824" s="280"/>
    </row>
    <row r="3825" spans="1:6" ht="25.5" x14ac:dyDescent="0.25">
      <c r="A3825" s="149"/>
      <c r="B3825" s="146" t="s">
        <v>2189</v>
      </c>
      <c r="C3825" s="342" t="s">
        <v>48</v>
      </c>
      <c r="D3825" s="148"/>
      <c r="E3825" s="281"/>
      <c r="F3825" s="281"/>
    </row>
    <row r="3826" spans="1:6" x14ac:dyDescent="0.25">
      <c r="A3826" s="469"/>
      <c r="B3826" s="146"/>
      <c r="C3826" s="342"/>
      <c r="D3826" s="469"/>
      <c r="E3826" s="281"/>
      <c r="F3826" s="281"/>
    </row>
    <row r="3827" spans="1:6" ht="38.25" x14ac:dyDescent="0.25">
      <c r="A3827" s="469"/>
      <c r="B3827" s="150" t="s">
        <v>2190</v>
      </c>
      <c r="C3827" s="342" t="s">
        <v>48</v>
      </c>
      <c r="D3827" s="469"/>
      <c r="E3827" s="281"/>
      <c r="F3827" s="281"/>
    </row>
    <row r="3828" spans="1:6" ht="38.25" x14ac:dyDescent="0.25">
      <c r="A3828" s="149"/>
      <c r="B3828" s="150" t="s">
        <v>1951</v>
      </c>
      <c r="C3828" s="342" t="s">
        <v>48</v>
      </c>
      <c r="D3828" s="148"/>
      <c r="E3828" s="281"/>
      <c r="F3828" s="281"/>
    </row>
    <row r="3829" spans="1:6" x14ac:dyDescent="0.25">
      <c r="A3829" s="149"/>
      <c r="B3829" s="155" t="s">
        <v>2191</v>
      </c>
      <c r="C3829" s="345"/>
      <c r="D3829" s="148"/>
      <c r="E3829" s="281"/>
      <c r="F3829" s="281"/>
    </row>
    <row r="3830" spans="1:6" x14ac:dyDescent="0.25">
      <c r="A3830" s="144"/>
      <c r="B3830" s="174" t="s">
        <v>2193</v>
      </c>
      <c r="C3830" s="342"/>
      <c r="D3830" s="146"/>
      <c r="E3830" s="281"/>
      <c r="F3830" s="281"/>
    </row>
    <row r="3831" spans="1:6" ht="102" x14ac:dyDescent="0.25">
      <c r="A3831" s="172" t="s">
        <v>2192</v>
      </c>
      <c r="B3831" s="150" t="s">
        <v>2194</v>
      </c>
      <c r="C3831" s="342" t="s">
        <v>1958</v>
      </c>
      <c r="D3831" s="195">
        <v>1150</v>
      </c>
      <c r="E3831" s="281">
        <v>280</v>
      </c>
      <c r="F3831" s="281">
        <f>E3831*D3831</f>
        <v>322000</v>
      </c>
    </row>
    <row r="3832" spans="1:6" x14ac:dyDescent="0.25">
      <c r="A3832" s="144"/>
      <c r="B3832" s="146"/>
      <c r="C3832" s="342"/>
      <c r="D3832" s="146"/>
      <c r="E3832" s="281"/>
      <c r="F3832" s="281"/>
    </row>
    <row r="3833" spans="1:6" ht="90" thickBot="1" x14ac:dyDescent="0.3">
      <c r="A3833" s="176" t="s">
        <v>2195</v>
      </c>
      <c r="B3833" s="196" t="s">
        <v>2196</v>
      </c>
      <c r="C3833" s="343" t="s">
        <v>1958</v>
      </c>
      <c r="D3833" s="197">
        <v>100</v>
      </c>
      <c r="E3833" s="282">
        <v>210</v>
      </c>
      <c r="F3833" s="281">
        <f>E3833*D3833</f>
        <v>21000</v>
      </c>
    </row>
    <row r="3834" spans="1:6" ht="31.5" x14ac:dyDescent="0.25">
      <c r="A3834" s="435"/>
      <c r="B3834" s="152" t="s">
        <v>1893</v>
      </c>
      <c r="C3834" s="473" t="s">
        <v>1895</v>
      </c>
      <c r="D3834" s="474"/>
      <c r="E3834" s="474"/>
      <c r="F3834" s="475"/>
    </row>
    <row r="3835" spans="1:6" x14ac:dyDescent="0.25">
      <c r="A3835" s="469"/>
      <c r="B3835" s="138"/>
      <c r="C3835" s="476" t="s">
        <v>1896</v>
      </c>
      <c r="D3835" s="477"/>
      <c r="E3835" s="477"/>
      <c r="F3835" s="478"/>
    </row>
    <row r="3836" spans="1:6" ht="15.75" thickBot="1" x14ac:dyDescent="0.3">
      <c r="A3836" s="469"/>
      <c r="B3836" s="139" t="s">
        <v>1894</v>
      </c>
      <c r="C3836" s="494" t="s">
        <v>1897</v>
      </c>
      <c r="D3836" s="495"/>
      <c r="E3836" s="495"/>
      <c r="F3836" s="496"/>
    </row>
    <row r="3837" spans="1:6" ht="15.75" thickBot="1" x14ac:dyDescent="0.3">
      <c r="A3837" s="470"/>
      <c r="B3837" s="140"/>
      <c r="C3837" s="497" t="s">
        <v>1898</v>
      </c>
      <c r="D3837" s="498"/>
      <c r="E3837" s="498"/>
      <c r="F3837" s="499"/>
    </row>
    <row r="3838" spans="1:6" ht="16.5" thickTop="1" thickBot="1" x14ac:dyDescent="0.3">
      <c r="A3838" s="156" t="s">
        <v>1899</v>
      </c>
      <c r="B3838" s="310" t="s">
        <v>1</v>
      </c>
      <c r="C3838" s="341" t="s">
        <v>3</v>
      </c>
      <c r="D3838" s="142" t="s">
        <v>2</v>
      </c>
      <c r="E3838" s="278" t="s">
        <v>1900</v>
      </c>
      <c r="F3838" s="288" t="s">
        <v>1427</v>
      </c>
    </row>
    <row r="3839" spans="1:6" ht="15.75" thickTop="1" x14ac:dyDescent="0.25">
      <c r="A3839" s="149"/>
      <c r="B3839" s="155" t="s">
        <v>2197</v>
      </c>
      <c r="C3839" s="345"/>
      <c r="D3839" s="148"/>
      <c r="E3839" s="280"/>
      <c r="F3839" s="280"/>
    </row>
    <row r="3840" spans="1:6" ht="102" x14ac:dyDescent="0.25">
      <c r="A3840" s="172" t="s">
        <v>2198</v>
      </c>
      <c r="B3840" s="150" t="s">
        <v>2199</v>
      </c>
      <c r="C3840" s="342" t="s">
        <v>1958</v>
      </c>
      <c r="D3840" s="198">
        <v>100</v>
      </c>
      <c r="E3840" s="281">
        <v>240</v>
      </c>
      <c r="F3840" s="281">
        <f>E3840*D3840</f>
        <v>24000</v>
      </c>
    </row>
    <row r="3841" spans="1:6" x14ac:dyDescent="0.25">
      <c r="A3841" s="469"/>
      <c r="B3841" s="146"/>
      <c r="C3841" s="489"/>
      <c r="D3841" s="469"/>
      <c r="E3841" s="281"/>
      <c r="F3841" s="281"/>
    </row>
    <row r="3842" spans="1:6" x14ac:dyDescent="0.25">
      <c r="A3842" s="469"/>
      <c r="B3842" s="146"/>
      <c r="C3842" s="489"/>
      <c r="D3842" s="469"/>
      <c r="E3842" s="281"/>
      <c r="F3842" s="281"/>
    </row>
    <row r="3843" spans="1:6" x14ac:dyDescent="0.25">
      <c r="A3843" s="469"/>
      <c r="B3843" s="155" t="s">
        <v>2200</v>
      </c>
      <c r="C3843" s="489"/>
      <c r="D3843" s="469"/>
      <c r="E3843" s="281"/>
      <c r="F3843" s="281"/>
    </row>
    <row r="3844" spans="1:6" ht="115.5" thickBot="1" x14ac:dyDescent="0.3">
      <c r="A3844" s="176" t="s">
        <v>2201</v>
      </c>
      <c r="B3844" s="151" t="s">
        <v>2202</v>
      </c>
      <c r="C3844" s="343" t="s">
        <v>1958</v>
      </c>
      <c r="D3844" s="160">
        <v>10</v>
      </c>
      <c r="E3844" s="282">
        <v>230</v>
      </c>
      <c r="F3844" s="281">
        <f>E3844*D3844</f>
        <v>2300</v>
      </c>
    </row>
    <row r="3845" spans="1:6" x14ac:dyDescent="0.25">
      <c r="A3845" s="435"/>
      <c r="B3845" s="147" t="s">
        <v>2203</v>
      </c>
      <c r="C3845" s="490"/>
      <c r="D3845" s="435"/>
      <c r="E3845" s="492" t="s">
        <v>1932</v>
      </c>
      <c r="F3845" s="443">
        <f>SUM(F3844,F3840,F3831:F3833)</f>
        <v>369300</v>
      </c>
    </row>
    <row r="3846" spans="1:6" ht="15.75" thickBot="1" x14ac:dyDescent="0.3">
      <c r="A3846" s="436"/>
      <c r="B3846" s="177" t="s">
        <v>2204</v>
      </c>
      <c r="C3846" s="491"/>
      <c r="D3846" s="436"/>
      <c r="E3846" s="493"/>
      <c r="F3846" s="444"/>
    </row>
    <row r="3847" spans="1:6" x14ac:dyDescent="0.25">
      <c r="A3847" s="435"/>
      <c r="B3847" s="152" t="s">
        <v>2205</v>
      </c>
      <c r="C3847" s="473" t="s">
        <v>1895</v>
      </c>
      <c r="D3847" s="474"/>
      <c r="E3847" s="475"/>
    </row>
    <row r="3848" spans="1:6" x14ac:dyDescent="0.25">
      <c r="A3848" s="469"/>
      <c r="B3848" s="139" t="s">
        <v>2206</v>
      </c>
      <c r="C3848" s="476" t="s">
        <v>2207</v>
      </c>
      <c r="D3848" s="477"/>
      <c r="E3848" s="478"/>
    </row>
    <row r="3849" spans="1:6" x14ac:dyDescent="0.25">
      <c r="A3849" s="469"/>
      <c r="B3849" s="139" t="s">
        <v>2208</v>
      </c>
      <c r="C3849" s="476" t="s">
        <v>2209</v>
      </c>
      <c r="D3849" s="477"/>
      <c r="E3849" s="478"/>
    </row>
    <row r="3850" spans="1:6" x14ac:dyDescent="0.25">
      <c r="A3850" s="469"/>
      <c r="B3850" s="199"/>
      <c r="C3850" s="476" t="s">
        <v>1897</v>
      </c>
      <c r="D3850" s="477"/>
      <c r="E3850" s="478"/>
    </row>
    <row r="3851" spans="1:6" ht="15.75" thickBot="1" x14ac:dyDescent="0.3">
      <c r="A3851" s="469"/>
      <c r="B3851" s="139" t="s">
        <v>1894</v>
      </c>
      <c r="C3851" s="480"/>
      <c r="D3851" s="481"/>
      <c r="E3851" s="482"/>
    </row>
    <row r="3852" spans="1:6" ht="15.75" thickBot="1" x14ac:dyDescent="0.3">
      <c r="A3852" s="470"/>
      <c r="B3852" s="200"/>
      <c r="C3852" s="483" t="s">
        <v>1898</v>
      </c>
      <c r="D3852" s="484"/>
      <c r="E3852" s="485"/>
    </row>
    <row r="3853" spans="1:6" ht="16.5" thickTop="1" thickBot="1" x14ac:dyDescent="0.3">
      <c r="A3853" s="156" t="s">
        <v>1899</v>
      </c>
      <c r="B3853" s="310" t="s">
        <v>1</v>
      </c>
      <c r="C3853" s="357"/>
      <c r="D3853" s="201"/>
      <c r="E3853" s="294" t="s">
        <v>1427</v>
      </c>
    </row>
    <row r="3854" spans="1:6" ht="16.5" thickTop="1" thickBot="1" x14ac:dyDescent="0.3">
      <c r="A3854" s="486" t="s">
        <v>2210</v>
      </c>
      <c r="B3854" s="487"/>
      <c r="C3854" s="487"/>
      <c r="D3854" s="487"/>
      <c r="E3854" s="488"/>
    </row>
    <row r="3855" spans="1:6" x14ac:dyDescent="0.25">
      <c r="A3855" s="144"/>
      <c r="B3855" s="460"/>
      <c r="C3855" s="461"/>
      <c r="D3855" s="146"/>
      <c r="E3855" s="289"/>
    </row>
    <row r="3856" spans="1:6" x14ac:dyDescent="0.25">
      <c r="A3856" s="172" t="s">
        <v>1901</v>
      </c>
      <c r="B3856" s="462" t="s">
        <v>1902</v>
      </c>
      <c r="C3856" s="463"/>
      <c r="D3856" s="158" t="s">
        <v>1932</v>
      </c>
      <c r="E3856" s="281">
        <f>F3351</f>
        <v>35000</v>
      </c>
    </row>
    <row r="3857" spans="1:6" x14ac:dyDescent="0.25">
      <c r="A3857" s="172" t="s">
        <v>1933</v>
      </c>
      <c r="B3857" s="462" t="s">
        <v>2211</v>
      </c>
      <c r="C3857" s="463"/>
      <c r="D3857" s="158" t="s">
        <v>1932</v>
      </c>
      <c r="E3857" s="281">
        <f>F3468</f>
        <v>150100</v>
      </c>
    </row>
    <row r="3858" spans="1:6" x14ac:dyDescent="0.25">
      <c r="A3858" s="172" t="s">
        <v>1977</v>
      </c>
      <c r="B3858" s="462" t="s">
        <v>1978</v>
      </c>
      <c r="C3858" s="463"/>
      <c r="D3858" s="158" t="s">
        <v>1932</v>
      </c>
      <c r="E3858" s="281">
        <f>F3557</f>
        <v>333800</v>
      </c>
    </row>
    <row r="3859" spans="1:6" x14ac:dyDescent="0.25">
      <c r="A3859" s="172" t="s">
        <v>2029</v>
      </c>
      <c r="B3859" s="462" t="s">
        <v>2030</v>
      </c>
      <c r="C3859" s="463"/>
      <c r="D3859" s="158" t="s">
        <v>1932</v>
      </c>
      <c r="E3859" s="281">
        <f>F3602</f>
        <v>171510</v>
      </c>
    </row>
    <row r="3860" spans="1:6" x14ac:dyDescent="0.25">
      <c r="A3860" s="172" t="s">
        <v>2212</v>
      </c>
      <c r="B3860" s="462" t="s">
        <v>2213</v>
      </c>
      <c r="C3860" s="463"/>
      <c r="D3860" s="158" t="s">
        <v>1932</v>
      </c>
      <c r="E3860" s="281">
        <f>F3647</f>
        <v>150100</v>
      </c>
    </row>
    <row r="3861" spans="1:6" x14ac:dyDescent="0.25">
      <c r="A3861" s="172" t="s">
        <v>2083</v>
      </c>
      <c r="B3861" s="462" t="s">
        <v>2214</v>
      </c>
      <c r="C3861" s="463"/>
      <c r="D3861" s="158" t="s">
        <v>1932</v>
      </c>
      <c r="E3861" s="281">
        <f>F3703</f>
        <v>645000</v>
      </c>
    </row>
    <row r="3862" spans="1:6" x14ac:dyDescent="0.25">
      <c r="A3862" s="172" t="s">
        <v>2117</v>
      </c>
      <c r="B3862" s="462" t="s">
        <v>2215</v>
      </c>
      <c r="C3862" s="463"/>
      <c r="D3862" s="158" t="s">
        <v>1932</v>
      </c>
      <c r="E3862" s="281">
        <f>F3798</f>
        <v>1042650</v>
      </c>
    </row>
    <row r="3863" spans="1:6" ht="15.75" thickBot="1" x14ac:dyDescent="0.3">
      <c r="A3863" s="176" t="s">
        <v>2173</v>
      </c>
      <c r="B3863" s="464" t="s">
        <v>2174</v>
      </c>
      <c r="C3863" s="465"/>
      <c r="D3863" s="160" t="s">
        <v>1932</v>
      </c>
      <c r="E3863" s="282">
        <f>F3845</f>
        <v>369300</v>
      </c>
    </row>
    <row r="3864" spans="1:6" x14ac:dyDescent="0.25">
      <c r="A3864" s="435"/>
      <c r="B3864" s="437" t="s">
        <v>2216</v>
      </c>
      <c r="C3864" s="438"/>
      <c r="D3864" s="441" t="s">
        <v>1932</v>
      </c>
      <c r="E3864" s="443">
        <f>SUM(E3856:E3863)</f>
        <v>2897460</v>
      </c>
    </row>
    <row r="3865" spans="1:6" ht="15.75" thickBot="1" x14ac:dyDescent="0.3">
      <c r="A3865" s="436"/>
      <c r="B3865" s="439" t="s">
        <v>2217</v>
      </c>
      <c r="C3865" s="440"/>
      <c r="D3865" s="442"/>
      <c r="E3865" s="444"/>
    </row>
    <row r="3867" spans="1:6" x14ac:dyDescent="0.25">
      <c r="A3867" s="445"/>
      <c r="B3867" s="446"/>
      <c r="C3867" s="446"/>
      <c r="D3867" s="446"/>
      <c r="E3867" s="446"/>
      <c r="F3867" s="447"/>
    </row>
    <row r="3868" spans="1:6" x14ac:dyDescent="0.25">
      <c r="A3868" s="448"/>
      <c r="B3868" s="449"/>
      <c r="C3868" s="449"/>
      <c r="D3868" s="449"/>
      <c r="E3868" s="449"/>
      <c r="F3868" s="450"/>
    </row>
    <row r="3869" spans="1:6" x14ac:dyDescent="0.25">
      <c r="A3869" s="451"/>
      <c r="B3869" s="452"/>
      <c r="C3869" s="452"/>
      <c r="D3869" s="452"/>
      <c r="E3869" s="452"/>
      <c r="F3869" s="453"/>
    </row>
    <row r="3871" spans="1:6" ht="33" x14ac:dyDescent="0.25">
      <c r="A3871" s="547" t="s">
        <v>2218</v>
      </c>
      <c r="B3871" s="548"/>
      <c r="C3871" s="548"/>
      <c r="D3871" s="548"/>
      <c r="E3871" s="548"/>
      <c r="F3871" s="549"/>
    </row>
    <row r="3877" spans="1:6" ht="15.75" thickBot="1" x14ac:dyDescent="0.3"/>
    <row r="3878" spans="1:6" ht="31.5" x14ac:dyDescent="0.25">
      <c r="A3878" s="435"/>
      <c r="B3878" s="137" t="s">
        <v>1893</v>
      </c>
      <c r="C3878" s="473" t="s">
        <v>1895</v>
      </c>
      <c r="D3878" s="474"/>
      <c r="E3878" s="474"/>
      <c r="F3878" s="475"/>
    </row>
    <row r="3879" spans="1:6" x14ac:dyDescent="0.25">
      <c r="A3879" s="469"/>
      <c r="B3879" s="138"/>
      <c r="C3879" s="476" t="s">
        <v>1896</v>
      </c>
      <c r="D3879" s="477"/>
      <c r="E3879" s="477"/>
      <c r="F3879" s="478"/>
    </row>
    <row r="3880" spans="1:6" ht="21.75" thickBot="1" x14ac:dyDescent="0.3">
      <c r="A3880" s="469"/>
      <c r="B3880" s="139" t="s">
        <v>2219</v>
      </c>
      <c r="C3880" s="494" t="s">
        <v>1897</v>
      </c>
      <c r="D3880" s="495"/>
      <c r="E3880" s="495"/>
      <c r="F3880" s="496"/>
    </row>
    <row r="3881" spans="1:6" ht="15.75" thickBot="1" x14ac:dyDescent="0.3">
      <c r="A3881" s="470"/>
      <c r="B3881" s="140"/>
      <c r="C3881" s="497" t="s">
        <v>1898</v>
      </c>
      <c r="D3881" s="498"/>
      <c r="E3881" s="498"/>
      <c r="F3881" s="499"/>
    </row>
    <row r="3882" spans="1:6" ht="16.5" thickTop="1" thickBot="1" x14ac:dyDescent="0.3">
      <c r="A3882" s="156" t="s">
        <v>1899</v>
      </c>
      <c r="B3882" s="310" t="s">
        <v>1</v>
      </c>
      <c r="C3882" s="341" t="s">
        <v>3</v>
      </c>
      <c r="D3882" s="142" t="s">
        <v>2</v>
      </c>
      <c r="E3882" s="278" t="s">
        <v>1900</v>
      </c>
      <c r="F3882" s="279" t="s">
        <v>1427</v>
      </c>
    </row>
    <row r="3883" spans="1:6" ht="15.75" thickTop="1" x14ac:dyDescent="0.25">
      <c r="A3883" s="144"/>
      <c r="B3883" s="146"/>
      <c r="C3883" s="500"/>
      <c r="D3883" s="501"/>
      <c r="E3883" s="502"/>
      <c r="F3883" s="502"/>
    </row>
    <row r="3884" spans="1:6" x14ac:dyDescent="0.25">
      <c r="A3884" s="164" t="s">
        <v>1901</v>
      </c>
      <c r="B3884" s="147" t="s">
        <v>1902</v>
      </c>
      <c r="C3884" s="489"/>
      <c r="D3884" s="469"/>
      <c r="E3884" s="503"/>
      <c r="F3884" s="503"/>
    </row>
    <row r="3885" spans="1:6" ht="140.25" x14ac:dyDescent="0.25">
      <c r="A3885" s="149"/>
      <c r="B3885" s="150" t="s">
        <v>1903</v>
      </c>
      <c r="C3885" s="342" t="s">
        <v>48</v>
      </c>
      <c r="D3885" s="469"/>
      <c r="E3885" s="503"/>
      <c r="F3885" s="503"/>
    </row>
    <row r="3886" spans="1:6" x14ac:dyDescent="0.25">
      <c r="A3886" s="469"/>
      <c r="B3886" s="146"/>
      <c r="C3886" s="342"/>
      <c r="D3886" s="469"/>
      <c r="E3886" s="503"/>
      <c r="F3886" s="503"/>
    </row>
    <row r="3887" spans="1:6" ht="76.5" x14ac:dyDescent="0.25">
      <c r="A3887" s="469"/>
      <c r="B3887" s="150" t="s">
        <v>1904</v>
      </c>
      <c r="C3887" s="342" t="s">
        <v>48</v>
      </c>
      <c r="D3887" s="469"/>
      <c r="E3887" s="503"/>
      <c r="F3887" s="503"/>
    </row>
    <row r="3888" spans="1:6" x14ac:dyDescent="0.25">
      <c r="A3888" s="469"/>
      <c r="B3888" s="146"/>
      <c r="C3888" s="342"/>
      <c r="D3888" s="469"/>
      <c r="E3888" s="503"/>
      <c r="F3888" s="503"/>
    </row>
    <row r="3889" spans="1:6" ht="76.5" x14ac:dyDescent="0.25">
      <c r="A3889" s="469"/>
      <c r="B3889" s="150" t="s">
        <v>1905</v>
      </c>
      <c r="C3889" s="342" t="s">
        <v>48</v>
      </c>
      <c r="D3889" s="469"/>
      <c r="E3889" s="503"/>
      <c r="F3889" s="503"/>
    </row>
    <row r="3890" spans="1:6" x14ac:dyDescent="0.25">
      <c r="A3890" s="469"/>
      <c r="B3890" s="146"/>
      <c r="C3890" s="342"/>
      <c r="D3890" s="469"/>
      <c r="E3890" s="503"/>
      <c r="F3890" s="503"/>
    </row>
    <row r="3891" spans="1:6" ht="51" x14ac:dyDescent="0.25">
      <c r="A3891" s="469"/>
      <c r="B3891" s="150" t="s">
        <v>1906</v>
      </c>
      <c r="C3891" s="342" t="s">
        <v>48</v>
      </c>
      <c r="D3891" s="469"/>
      <c r="E3891" s="503"/>
      <c r="F3891" s="503"/>
    </row>
    <row r="3892" spans="1:6" x14ac:dyDescent="0.25">
      <c r="A3892" s="469"/>
      <c r="B3892" s="146"/>
      <c r="C3892" s="342"/>
      <c r="D3892" s="469"/>
      <c r="E3892" s="503"/>
      <c r="F3892" s="503"/>
    </row>
    <row r="3893" spans="1:6" ht="51.75" thickBot="1" x14ac:dyDescent="0.3">
      <c r="A3893" s="436"/>
      <c r="B3893" s="151" t="s">
        <v>1907</v>
      </c>
      <c r="C3893" s="343" t="s">
        <v>48</v>
      </c>
      <c r="D3893" s="436"/>
      <c r="E3893" s="444"/>
      <c r="F3893" s="444"/>
    </row>
    <row r="3894" spans="1:6" ht="31.5" x14ac:dyDescent="0.25">
      <c r="A3894" s="435"/>
      <c r="B3894" s="137" t="s">
        <v>1893</v>
      </c>
      <c r="C3894" s="473" t="s">
        <v>1895</v>
      </c>
      <c r="D3894" s="474"/>
      <c r="E3894" s="474"/>
      <c r="F3894" s="475"/>
    </row>
    <row r="3895" spans="1:6" x14ac:dyDescent="0.25">
      <c r="A3895" s="469"/>
      <c r="B3895" s="138"/>
      <c r="C3895" s="476" t="s">
        <v>1896</v>
      </c>
      <c r="D3895" s="477"/>
      <c r="E3895" s="477"/>
      <c r="F3895" s="478"/>
    </row>
    <row r="3896" spans="1:6" ht="21.75" thickBot="1" x14ac:dyDescent="0.3">
      <c r="A3896" s="469"/>
      <c r="B3896" s="139" t="s">
        <v>2219</v>
      </c>
      <c r="C3896" s="494" t="s">
        <v>1897</v>
      </c>
      <c r="D3896" s="495"/>
      <c r="E3896" s="495"/>
      <c r="F3896" s="496"/>
    </row>
    <row r="3897" spans="1:6" ht="15.75" thickBot="1" x14ac:dyDescent="0.3">
      <c r="A3897" s="470"/>
      <c r="B3897" s="140"/>
      <c r="C3897" s="497" t="s">
        <v>1898</v>
      </c>
      <c r="D3897" s="498"/>
      <c r="E3897" s="498"/>
      <c r="F3897" s="499"/>
    </row>
    <row r="3898" spans="1:6" ht="16.5" thickTop="1" thickBot="1" x14ac:dyDescent="0.3">
      <c r="A3898" s="141" t="s">
        <v>1899</v>
      </c>
      <c r="B3898" s="310" t="s">
        <v>1</v>
      </c>
      <c r="C3898" s="341" t="s">
        <v>3</v>
      </c>
      <c r="D3898" s="142" t="s">
        <v>2</v>
      </c>
      <c r="E3898" s="278" t="s">
        <v>1900</v>
      </c>
      <c r="F3898" s="279" t="s">
        <v>1427</v>
      </c>
    </row>
    <row r="3899" spans="1:6" ht="15.75" thickTop="1" x14ac:dyDescent="0.25">
      <c r="A3899" s="501"/>
      <c r="B3899" s="146"/>
      <c r="C3899" s="342"/>
      <c r="D3899" s="501"/>
      <c r="E3899" s="502"/>
      <c r="F3899" s="502"/>
    </row>
    <row r="3900" spans="1:6" ht="38.25" x14ac:dyDescent="0.25">
      <c r="A3900" s="469"/>
      <c r="B3900" s="150" t="s">
        <v>1908</v>
      </c>
      <c r="C3900" s="342" t="s">
        <v>48</v>
      </c>
      <c r="D3900" s="469"/>
      <c r="E3900" s="503"/>
      <c r="F3900" s="503"/>
    </row>
    <row r="3901" spans="1:6" ht="38.25" x14ac:dyDescent="0.25">
      <c r="A3901" s="469"/>
      <c r="B3901" s="150" t="s">
        <v>1909</v>
      </c>
      <c r="C3901" s="342" t="s">
        <v>48</v>
      </c>
      <c r="D3901" s="469"/>
      <c r="E3901" s="503"/>
      <c r="F3901" s="503"/>
    </row>
    <row r="3902" spans="1:6" x14ac:dyDescent="0.25">
      <c r="A3902" s="469"/>
      <c r="B3902" s="155" t="s">
        <v>1910</v>
      </c>
      <c r="C3902" s="345"/>
      <c r="D3902" s="469"/>
      <c r="E3902" s="503"/>
      <c r="F3902" s="503"/>
    </row>
    <row r="3903" spans="1:6" ht="38.25" x14ac:dyDescent="0.25">
      <c r="A3903" s="469"/>
      <c r="B3903" s="150" t="s">
        <v>1911</v>
      </c>
      <c r="C3903" s="342" t="s">
        <v>48</v>
      </c>
      <c r="D3903" s="469"/>
      <c r="E3903" s="503"/>
      <c r="F3903" s="503"/>
    </row>
    <row r="3904" spans="1:6" x14ac:dyDescent="0.25">
      <c r="A3904" s="469"/>
      <c r="B3904" s="146"/>
      <c r="C3904" s="342"/>
      <c r="D3904" s="469"/>
      <c r="E3904" s="503"/>
      <c r="F3904" s="503"/>
    </row>
    <row r="3905" spans="1:6" ht="89.25" x14ac:dyDescent="0.25">
      <c r="A3905" s="469"/>
      <c r="B3905" s="150" t="s">
        <v>1912</v>
      </c>
      <c r="C3905" s="342" t="s">
        <v>48</v>
      </c>
      <c r="D3905" s="469"/>
      <c r="E3905" s="503"/>
      <c r="F3905" s="503"/>
    </row>
    <row r="3906" spans="1:6" x14ac:dyDescent="0.25">
      <c r="A3906" s="469"/>
      <c r="B3906" s="146"/>
      <c r="C3906" s="342"/>
      <c r="D3906" s="469"/>
      <c r="E3906" s="503"/>
      <c r="F3906" s="503"/>
    </row>
    <row r="3907" spans="1:6" ht="63.75" x14ac:dyDescent="0.25">
      <c r="A3907" s="469"/>
      <c r="B3907" s="150" t="s">
        <v>1913</v>
      </c>
      <c r="C3907" s="342" t="s">
        <v>48</v>
      </c>
      <c r="D3907" s="469"/>
      <c r="E3907" s="503"/>
      <c r="F3907" s="503"/>
    </row>
    <row r="3908" spans="1:6" x14ac:dyDescent="0.25">
      <c r="A3908" s="469"/>
      <c r="B3908" s="146"/>
      <c r="C3908" s="342"/>
      <c r="D3908" s="469"/>
      <c r="E3908" s="503"/>
      <c r="F3908" s="503"/>
    </row>
    <row r="3909" spans="1:6" ht="63.75" x14ac:dyDescent="0.25">
      <c r="A3909" s="469"/>
      <c r="B3909" s="150" t="s">
        <v>1914</v>
      </c>
      <c r="C3909" s="342" t="s">
        <v>48</v>
      </c>
      <c r="D3909" s="469"/>
      <c r="E3909" s="503"/>
      <c r="F3909" s="503"/>
    </row>
    <row r="3910" spans="1:6" ht="39" thickBot="1" x14ac:dyDescent="0.3">
      <c r="A3910" s="436"/>
      <c r="B3910" s="151" t="s">
        <v>1915</v>
      </c>
      <c r="C3910" s="343" t="s">
        <v>48</v>
      </c>
      <c r="D3910" s="436"/>
      <c r="E3910" s="444"/>
      <c r="F3910" s="444"/>
    </row>
    <row r="3911" spans="1:6" ht="31.5" x14ac:dyDescent="0.25">
      <c r="A3911" s="435"/>
      <c r="B3911" s="137" t="s">
        <v>1893</v>
      </c>
      <c r="C3911" s="473" t="s">
        <v>1895</v>
      </c>
      <c r="D3911" s="474"/>
      <c r="E3911" s="474"/>
      <c r="F3911" s="475"/>
    </row>
    <row r="3912" spans="1:6" x14ac:dyDescent="0.25">
      <c r="A3912" s="469"/>
      <c r="B3912" s="138"/>
      <c r="C3912" s="476" t="s">
        <v>1896</v>
      </c>
      <c r="D3912" s="477"/>
      <c r="E3912" s="477"/>
      <c r="F3912" s="478"/>
    </row>
    <row r="3913" spans="1:6" ht="21.75" thickBot="1" x14ac:dyDescent="0.3">
      <c r="A3913" s="469"/>
      <c r="B3913" s="139" t="s">
        <v>2219</v>
      </c>
      <c r="C3913" s="494" t="s">
        <v>1897</v>
      </c>
      <c r="D3913" s="495"/>
      <c r="E3913" s="495"/>
      <c r="F3913" s="496"/>
    </row>
    <row r="3914" spans="1:6" ht="15.75" thickBot="1" x14ac:dyDescent="0.3">
      <c r="A3914" s="470"/>
      <c r="B3914" s="140"/>
      <c r="C3914" s="497" t="s">
        <v>1898</v>
      </c>
      <c r="D3914" s="498"/>
      <c r="E3914" s="498"/>
      <c r="F3914" s="499"/>
    </row>
    <row r="3915" spans="1:6" ht="16.5" thickTop="1" thickBot="1" x14ac:dyDescent="0.3">
      <c r="A3915" s="156" t="s">
        <v>1899</v>
      </c>
      <c r="B3915" s="310" t="s">
        <v>1</v>
      </c>
      <c r="C3915" s="341" t="s">
        <v>3</v>
      </c>
      <c r="D3915" s="142" t="s">
        <v>2</v>
      </c>
      <c r="E3915" s="278" t="s">
        <v>1900</v>
      </c>
      <c r="F3915" s="279" t="s">
        <v>1427</v>
      </c>
    </row>
    <row r="3916" spans="1:6" ht="15.75" thickTop="1" x14ac:dyDescent="0.25">
      <c r="A3916" s="501"/>
      <c r="B3916" s="146"/>
      <c r="C3916" s="500"/>
      <c r="D3916" s="501"/>
      <c r="E3916" s="280"/>
      <c r="F3916" s="280"/>
    </row>
    <row r="3917" spans="1:6" x14ac:dyDescent="0.25">
      <c r="A3917" s="469"/>
      <c r="B3917" s="147" t="s">
        <v>1916</v>
      </c>
      <c r="C3917" s="489"/>
      <c r="D3917" s="469"/>
      <c r="E3917" s="281"/>
      <c r="F3917" s="281"/>
    </row>
    <row r="3918" spans="1:6" ht="127.5" x14ac:dyDescent="0.25">
      <c r="A3918" s="157" t="s">
        <v>1917</v>
      </c>
      <c r="B3918" s="150" t="s">
        <v>1918</v>
      </c>
      <c r="C3918" s="342" t="s">
        <v>11</v>
      </c>
      <c r="D3918" s="158">
        <v>1</v>
      </c>
      <c r="E3918" s="281">
        <v>35000</v>
      </c>
      <c r="F3918" s="281">
        <f>E3918*D3918</f>
        <v>35000</v>
      </c>
    </row>
    <row r="3919" spans="1:6" x14ac:dyDescent="0.25">
      <c r="A3919" s="149"/>
      <c r="B3919" s="147" t="s">
        <v>1919</v>
      </c>
      <c r="C3919" s="345"/>
      <c r="D3919" s="148"/>
      <c r="E3919" s="281"/>
      <c r="F3919" s="281"/>
    </row>
    <row r="3920" spans="1:6" ht="102" x14ac:dyDescent="0.25">
      <c r="A3920" s="157" t="s">
        <v>1920</v>
      </c>
      <c r="B3920" s="150" t="s">
        <v>1921</v>
      </c>
      <c r="C3920" s="342" t="s">
        <v>11</v>
      </c>
      <c r="D3920" s="158">
        <v>1</v>
      </c>
      <c r="E3920" s="281">
        <v>35000</v>
      </c>
      <c r="F3920" s="281">
        <f>E3920*D3920</f>
        <v>35000</v>
      </c>
    </row>
    <row r="3921" spans="1:6" ht="64.5" thickBot="1" x14ac:dyDescent="0.3">
      <c r="A3921" s="159" t="s">
        <v>1922</v>
      </c>
      <c r="B3921" s="151" t="s">
        <v>1923</v>
      </c>
      <c r="C3921" s="343" t="s">
        <v>11</v>
      </c>
      <c r="D3921" s="160">
        <v>1</v>
      </c>
      <c r="E3921" s="282"/>
      <c r="F3921" s="282"/>
    </row>
    <row r="3922" spans="1:6" ht="31.5" x14ac:dyDescent="0.25">
      <c r="A3922" s="435"/>
      <c r="B3922" s="137" t="s">
        <v>1893</v>
      </c>
      <c r="C3922" s="473" t="s">
        <v>1895</v>
      </c>
      <c r="D3922" s="474"/>
      <c r="E3922" s="474"/>
      <c r="F3922" s="475"/>
    </row>
    <row r="3923" spans="1:6" x14ac:dyDescent="0.25">
      <c r="A3923" s="469"/>
      <c r="B3923" s="138"/>
      <c r="C3923" s="476" t="s">
        <v>1896</v>
      </c>
      <c r="D3923" s="477"/>
      <c r="E3923" s="477"/>
      <c r="F3923" s="478"/>
    </row>
    <row r="3924" spans="1:6" ht="21.75" thickBot="1" x14ac:dyDescent="0.3">
      <c r="A3924" s="469"/>
      <c r="B3924" s="139" t="s">
        <v>2219</v>
      </c>
      <c r="C3924" s="494" t="s">
        <v>1897</v>
      </c>
      <c r="D3924" s="495"/>
      <c r="E3924" s="495"/>
      <c r="F3924" s="496"/>
    </row>
    <row r="3925" spans="1:6" ht="15.75" thickBot="1" x14ac:dyDescent="0.3">
      <c r="A3925" s="470"/>
      <c r="B3925" s="140"/>
      <c r="C3925" s="497" t="s">
        <v>1898</v>
      </c>
      <c r="D3925" s="498"/>
      <c r="E3925" s="498"/>
      <c r="F3925" s="499"/>
    </row>
    <row r="3926" spans="1:6" ht="16.5" thickTop="1" thickBot="1" x14ac:dyDescent="0.3">
      <c r="A3926" s="156" t="s">
        <v>1899</v>
      </c>
      <c r="B3926" s="310" t="s">
        <v>1</v>
      </c>
      <c r="C3926" s="341" t="s">
        <v>3</v>
      </c>
      <c r="D3926" s="142" t="s">
        <v>2</v>
      </c>
      <c r="E3926" s="278" t="s">
        <v>1900</v>
      </c>
      <c r="F3926" s="279" t="s">
        <v>1427</v>
      </c>
    </row>
    <row r="3927" spans="1:6" ht="15.75" thickTop="1" x14ac:dyDescent="0.25">
      <c r="A3927" s="501"/>
      <c r="B3927" s="146"/>
      <c r="C3927" s="500"/>
      <c r="D3927" s="501"/>
      <c r="E3927" s="280"/>
      <c r="F3927" s="280"/>
    </row>
    <row r="3928" spans="1:6" x14ac:dyDescent="0.25">
      <c r="A3928" s="469"/>
      <c r="B3928" s="147" t="s">
        <v>1924</v>
      </c>
      <c r="C3928" s="489"/>
      <c r="D3928" s="469"/>
      <c r="E3928" s="281"/>
      <c r="F3928" s="281"/>
    </row>
    <row r="3929" spans="1:6" ht="25.5" x14ac:dyDescent="0.25">
      <c r="A3929" s="157" t="s">
        <v>1925</v>
      </c>
      <c r="B3929" s="146" t="s">
        <v>1926</v>
      </c>
      <c r="C3929" s="342" t="s">
        <v>11</v>
      </c>
      <c r="D3929" s="158">
        <v>1</v>
      </c>
      <c r="E3929" s="281"/>
      <c r="F3929" s="281"/>
    </row>
    <row r="3930" spans="1:6" ht="25.5" x14ac:dyDescent="0.25">
      <c r="A3930" s="157" t="s">
        <v>1927</v>
      </c>
      <c r="B3930" s="146" t="s">
        <v>1928</v>
      </c>
      <c r="C3930" s="342" t="s">
        <v>11</v>
      </c>
      <c r="D3930" s="158">
        <v>1</v>
      </c>
      <c r="E3930" s="281"/>
      <c r="F3930" s="281"/>
    </row>
    <row r="3931" spans="1:6" ht="51.75" thickBot="1" x14ac:dyDescent="0.3">
      <c r="A3931" s="159" t="s">
        <v>1929</v>
      </c>
      <c r="B3931" s="151" t="s">
        <v>1930</v>
      </c>
      <c r="C3931" s="343" t="s">
        <v>11</v>
      </c>
      <c r="D3931" s="160">
        <v>1</v>
      </c>
      <c r="E3931" s="282"/>
      <c r="F3931" s="282"/>
    </row>
    <row r="3932" spans="1:6" ht="26.25" thickBot="1" x14ac:dyDescent="0.3">
      <c r="A3932" s="161"/>
      <c r="B3932" s="162" t="s">
        <v>1931</v>
      </c>
      <c r="C3932" s="355"/>
      <c r="D3932" s="163"/>
      <c r="E3932" s="283" t="s">
        <v>1932</v>
      </c>
      <c r="F3932" s="284">
        <f>SUM(F3920,F3918)</f>
        <v>70000</v>
      </c>
    </row>
    <row r="3933" spans="1:6" ht="32.25" thickTop="1" x14ac:dyDescent="0.25">
      <c r="A3933" s="546"/>
      <c r="B3933" s="137" t="s">
        <v>1893</v>
      </c>
      <c r="C3933" s="476" t="s">
        <v>1895</v>
      </c>
      <c r="D3933" s="477"/>
      <c r="E3933" s="477"/>
      <c r="F3933" s="478"/>
    </row>
    <row r="3934" spans="1:6" x14ac:dyDescent="0.25">
      <c r="A3934" s="469"/>
      <c r="B3934" s="138"/>
      <c r="C3934" s="476" t="s">
        <v>1896</v>
      </c>
      <c r="D3934" s="477"/>
      <c r="E3934" s="477"/>
      <c r="F3934" s="478"/>
    </row>
    <row r="3935" spans="1:6" ht="21.75" thickBot="1" x14ac:dyDescent="0.3">
      <c r="A3935" s="469"/>
      <c r="B3935" s="139" t="s">
        <v>2219</v>
      </c>
      <c r="C3935" s="494" t="s">
        <v>1897</v>
      </c>
      <c r="D3935" s="495"/>
      <c r="E3935" s="495"/>
      <c r="F3935" s="496"/>
    </row>
    <row r="3936" spans="1:6" ht="15.75" thickBot="1" x14ac:dyDescent="0.3">
      <c r="A3936" s="470"/>
      <c r="B3936" s="140"/>
      <c r="C3936" s="538" t="s">
        <v>1898</v>
      </c>
      <c r="D3936" s="539"/>
      <c r="E3936" s="539"/>
      <c r="F3936" s="540"/>
    </row>
    <row r="3937" spans="1:6" ht="16.5" thickTop="1" thickBot="1" x14ac:dyDescent="0.3">
      <c r="A3937" s="156" t="s">
        <v>1899</v>
      </c>
      <c r="B3937" s="310" t="s">
        <v>1</v>
      </c>
      <c r="C3937" s="341" t="s">
        <v>3</v>
      </c>
      <c r="D3937" s="143" t="s">
        <v>2</v>
      </c>
      <c r="E3937" s="279" t="s">
        <v>1900</v>
      </c>
      <c r="F3937" s="279" t="s">
        <v>1427</v>
      </c>
    </row>
    <row r="3938" spans="1:6" ht="15.75" thickTop="1" x14ac:dyDescent="0.25">
      <c r="A3938" s="144"/>
      <c r="B3938" s="146"/>
      <c r="C3938" s="500"/>
      <c r="D3938" s="501"/>
      <c r="E3938" s="502"/>
      <c r="F3938" s="502"/>
    </row>
    <row r="3939" spans="1:6" x14ac:dyDescent="0.25">
      <c r="A3939" s="164" t="s">
        <v>1933</v>
      </c>
      <c r="B3939" s="155" t="s">
        <v>1934</v>
      </c>
      <c r="C3939" s="489"/>
      <c r="D3939" s="469"/>
      <c r="E3939" s="503"/>
      <c r="F3939" s="503"/>
    </row>
    <row r="3940" spans="1:6" x14ac:dyDescent="0.25">
      <c r="A3940" s="469"/>
      <c r="B3940" s="541" t="s">
        <v>1935</v>
      </c>
      <c r="C3940" s="342"/>
      <c r="D3940" s="469"/>
      <c r="E3940" s="503"/>
      <c r="F3940" s="503"/>
    </row>
    <row r="3941" spans="1:6" x14ac:dyDescent="0.25">
      <c r="A3941" s="469"/>
      <c r="B3941" s="541"/>
      <c r="C3941" s="342"/>
      <c r="D3941" s="469"/>
      <c r="E3941" s="503"/>
      <c r="F3941" s="503"/>
    </row>
    <row r="3942" spans="1:6" x14ac:dyDescent="0.25">
      <c r="A3942" s="469"/>
      <c r="B3942" s="541"/>
      <c r="C3942" s="342"/>
      <c r="D3942" s="469"/>
      <c r="E3942" s="503"/>
      <c r="F3942" s="503"/>
    </row>
    <row r="3943" spans="1:6" x14ac:dyDescent="0.25">
      <c r="A3943" s="469"/>
      <c r="B3943" s="541"/>
      <c r="C3943" s="342" t="s">
        <v>48</v>
      </c>
      <c r="D3943" s="469"/>
      <c r="E3943" s="503"/>
      <c r="F3943" s="503"/>
    </row>
    <row r="3944" spans="1:6" x14ac:dyDescent="0.25">
      <c r="A3944" s="469"/>
      <c r="B3944" s="541" t="s">
        <v>1936</v>
      </c>
      <c r="C3944" s="342"/>
      <c r="D3944" s="469"/>
      <c r="E3944" s="503"/>
      <c r="F3944" s="503"/>
    </row>
    <row r="3945" spans="1:6" x14ac:dyDescent="0.25">
      <c r="A3945" s="469"/>
      <c r="B3945" s="541"/>
      <c r="C3945" s="342"/>
      <c r="D3945" s="469"/>
      <c r="E3945" s="503"/>
      <c r="F3945" s="503"/>
    </row>
    <row r="3946" spans="1:6" x14ac:dyDescent="0.25">
      <c r="A3946" s="469"/>
      <c r="B3946" s="541"/>
      <c r="C3946" s="342"/>
      <c r="D3946" s="469"/>
      <c r="E3946" s="503"/>
      <c r="F3946" s="503"/>
    </row>
    <row r="3947" spans="1:6" x14ac:dyDescent="0.25">
      <c r="A3947" s="469"/>
      <c r="B3947" s="541"/>
      <c r="C3947" s="342"/>
      <c r="D3947" s="469"/>
      <c r="E3947" s="503"/>
      <c r="F3947" s="503"/>
    </row>
    <row r="3948" spans="1:6" x14ac:dyDescent="0.25">
      <c r="A3948" s="469"/>
      <c r="B3948" s="541"/>
      <c r="C3948" s="342"/>
      <c r="D3948" s="469"/>
      <c r="E3948" s="503"/>
      <c r="F3948" s="503"/>
    </row>
    <row r="3949" spans="1:6" x14ac:dyDescent="0.25">
      <c r="A3949" s="469"/>
      <c r="B3949" s="541"/>
      <c r="C3949" s="342" t="s">
        <v>48</v>
      </c>
      <c r="D3949" s="469"/>
      <c r="E3949" s="503"/>
      <c r="F3949" s="503"/>
    </row>
    <row r="3950" spans="1:6" x14ac:dyDescent="0.25">
      <c r="A3950" s="469"/>
      <c r="B3950" s="542" t="s">
        <v>1937</v>
      </c>
      <c r="C3950" s="342"/>
      <c r="D3950" s="469"/>
      <c r="E3950" s="503"/>
      <c r="F3950" s="503"/>
    </row>
    <row r="3951" spans="1:6" x14ac:dyDescent="0.25">
      <c r="A3951" s="469"/>
      <c r="B3951" s="542"/>
      <c r="C3951" s="342"/>
      <c r="D3951" s="469"/>
      <c r="E3951" s="503"/>
      <c r="F3951" s="503"/>
    </row>
    <row r="3952" spans="1:6" x14ac:dyDescent="0.25">
      <c r="A3952" s="469"/>
      <c r="B3952" s="542"/>
      <c r="C3952" s="342"/>
      <c r="D3952" s="469"/>
      <c r="E3952" s="503"/>
      <c r="F3952" s="503"/>
    </row>
    <row r="3953" spans="1:6" x14ac:dyDescent="0.25">
      <c r="A3953" s="469"/>
      <c r="B3953" s="542"/>
      <c r="C3953" s="342" t="s">
        <v>48</v>
      </c>
      <c r="D3953" s="469"/>
      <c r="E3953" s="503"/>
      <c r="F3953" s="503"/>
    </row>
    <row r="3954" spans="1:6" x14ac:dyDescent="0.25">
      <c r="A3954" s="469"/>
      <c r="B3954" s="542" t="s">
        <v>1938</v>
      </c>
      <c r="C3954" s="342"/>
      <c r="D3954" s="469"/>
      <c r="E3954" s="503"/>
      <c r="F3954" s="503"/>
    </row>
    <row r="3955" spans="1:6" x14ac:dyDescent="0.25">
      <c r="A3955" s="469"/>
      <c r="B3955" s="542"/>
      <c r="C3955" s="342"/>
      <c r="D3955" s="469"/>
      <c r="E3955" s="503"/>
      <c r="F3955" s="503"/>
    </row>
    <row r="3956" spans="1:6" x14ac:dyDescent="0.25">
      <c r="A3956" s="469"/>
      <c r="B3956" s="542"/>
      <c r="C3956" s="342"/>
      <c r="D3956" s="469"/>
      <c r="E3956" s="503"/>
      <c r="F3956" s="503"/>
    </row>
    <row r="3957" spans="1:6" x14ac:dyDescent="0.25">
      <c r="A3957" s="469"/>
      <c r="B3957" s="542"/>
      <c r="C3957" s="342" t="s">
        <v>48</v>
      </c>
      <c r="D3957" s="469"/>
      <c r="E3957" s="503"/>
      <c r="F3957" s="503"/>
    </row>
    <row r="3958" spans="1:6" x14ac:dyDescent="0.25">
      <c r="A3958" s="469"/>
      <c r="B3958" s="542" t="s">
        <v>1939</v>
      </c>
      <c r="C3958" s="342"/>
      <c r="D3958" s="469"/>
      <c r="E3958" s="503"/>
      <c r="F3958" s="503"/>
    </row>
    <row r="3959" spans="1:6" x14ac:dyDescent="0.25">
      <c r="A3959" s="469"/>
      <c r="B3959" s="542"/>
      <c r="C3959" s="342"/>
      <c r="D3959" s="469"/>
      <c r="E3959" s="503"/>
      <c r="F3959" s="503"/>
    </row>
    <row r="3960" spans="1:6" x14ac:dyDescent="0.25">
      <c r="A3960" s="469"/>
      <c r="B3960" s="542"/>
      <c r="C3960" s="342"/>
      <c r="D3960" s="469"/>
      <c r="E3960" s="503"/>
      <c r="F3960" s="503"/>
    </row>
    <row r="3961" spans="1:6" x14ac:dyDescent="0.25">
      <c r="A3961" s="469"/>
      <c r="B3961" s="542"/>
      <c r="C3961" s="342"/>
      <c r="D3961" s="469"/>
      <c r="E3961" s="503"/>
      <c r="F3961" s="503"/>
    </row>
    <row r="3962" spans="1:6" ht="15.75" thickBot="1" x14ac:dyDescent="0.3">
      <c r="A3962" s="436"/>
      <c r="B3962" s="543"/>
      <c r="C3962" s="343" t="s">
        <v>48</v>
      </c>
      <c r="D3962" s="436"/>
      <c r="E3962" s="444"/>
      <c r="F3962" s="444"/>
    </row>
    <row r="3963" spans="1:6" ht="31.5" x14ac:dyDescent="0.25">
      <c r="A3963" s="435"/>
      <c r="B3963" s="137" t="s">
        <v>1893</v>
      </c>
      <c r="C3963" s="473" t="s">
        <v>1895</v>
      </c>
      <c r="D3963" s="474"/>
      <c r="E3963" s="474"/>
      <c r="F3963" s="475"/>
    </row>
    <row r="3964" spans="1:6" x14ac:dyDescent="0.25">
      <c r="A3964" s="469"/>
      <c r="B3964" s="138"/>
      <c r="C3964" s="476" t="s">
        <v>1896</v>
      </c>
      <c r="D3964" s="477"/>
      <c r="E3964" s="477"/>
      <c r="F3964" s="478"/>
    </row>
    <row r="3965" spans="1:6" ht="21.75" thickBot="1" x14ac:dyDescent="0.3">
      <c r="A3965" s="469"/>
      <c r="B3965" s="139" t="s">
        <v>2219</v>
      </c>
      <c r="C3965" s="494" t="s">
        <v>1897</v>
      </c>
      <c r="D3965" s="495"/>
      <c r="E3965" s="495"/>
      <c r="F3965" s="496"/>
    </row>
    <row r="3966" spans="1:6" ht="15.75" thickBot="1" x14ac:dyDescent="0.3">
      <c r="A3966" s="470"/>
      <c r="B3966" s="140"/>
      <c r="C3966" s="538" t="s">
        <v>1898</v>
      </c>
      <c r="D3966" s="539"/>
      <c r="E3966" s="539"/>
      <c r="F3966" s="540"/>
    </row>
    <row r="3967" spans="1:6" ht="16.5" thickTop="1" thickBot="1" x14ac:dyDescent="0.3">
      <c r="A3967" s="165" t="s">
        <v>1899</v>
      </c>
      <c r="B3967" s="310" t="s">
        <v>1</v>
      </c>
      <c r="C3967" s="341" t="s">
        <v>3</v>
      </c>
      <c r="D3967" s="143" t="s">
        <v>2</v>
      </c>
      <c r="E3967" s="279" t="s">
        <v>1900</v>
      </c>
      <c r="F3967" s="279" t="s">
        <v>1427</v>
      </c>
    </row>
    <row r="3968" spans="1:6" ht="15.75" thickTop="1" x14ac:dyDescent="0.25">
      <c r="A3968" s="501"/>
      <c r="B3968" s="544" t="s">
        <v>1940</v>
      </c>
      <c r="C3968" s="342"/>
      <c r="D3968" s="501"/>
      <c r="E3968" s="502"/>
      <c r="F3968" s="502"/>
    </row>
    <row r="3969" spans="1:6" x14ac:dyDescent="0.25">
      <c r="A3969" s="469"/>
      <c r="B3969" s="542"/>
      <c r="C3969" s="342"/>
      <c r="D3969" s="469"/>
      <c r="E3969" s="503"/>
      <c r="F3969" s="503"/>
    </row>
    <row r="3970" spans="1:6" x14ac:dyDescent="0.25">
      <c r="A3970" s="469"/>
      <c r="B3970" s="542"/>
      <c r="C3970" s="342" t="s">
        <v>48</v>
      </c>
      <c r="D3970" s="469"/>
      <c r="E3970" s="503"/>
      <c r="F3970" s="503"/>
    </row>
    <row r="3971" spans="1:6" x14ac:dyDescent="0.25">
      <c r="A3971" s="469"/>
      <c r="B3971" s="542" t="s">
        <v>1941</v>
      </c>
      <c r="C3971" s="342"/>
      <c r="D3971" s="469"/>
      <c r="E3971" s="503"/>
      <c r="F3971" s="503"/>
    </row>
    <row r="3972" spans="1:6" x14ac:dyDescent="0.25">
      <c r="A3972" s="469"/>
      <c r="B3972" s="542"/>
      <c r="C3972" s="342"/>
      <c r="D3972" s="469"/>
      <c r="E3972" s="503"/>
      <c r="F3972" s="503"/>
    </row>
    <row r="3973" spans="1:6" x14ac:dyDescent="0.25">
      <c r="A3973" s="469"/>
      <c r="B3973" s="542"/>
      <c r="C3973" s="342" t="s">
        <v>48</v>
      </c>
      <c r="D3973" s="469"/>
      <c r="E3973" s="503"/>
      <c r="F3973" s="503"/>
    </row>
    <row r="3974" spans="1:6" ht="25.5" x14ac:dyDescent="0.25">
      <c r="A3974" s="469"/>
      <c r="B3974" s="150" t="s">
        <v>1942</v>
      </c>
      <c r="C3974" s="342"/>
      <c r="D3974" s="469"/>
      <c r="E3974" s="503"/>
      <c r="F3974" s="503"/>
    </row>
    <row r="3975" spans="1:6" ht="51" x14ac:dyDescent="0.25">
      <c r="A3975" s="469"/>
      <c r="B3975" s="150" t="s">
        <v>1943</v>
      </c>
      <c r="C3975" s="342"/>
      <c r="D3975" s="469"/>
      <c r="E3975" s="503"/>
      <c r="F3975" s="503"/>
    </row>
    <row r="3976" spans="1:6" x14ac:dyDescent="0.25">
      <c r="A3976" s="469"/>
      <c r="B3976" s="166"/>
      <c r="C3976" s="342"/>
      <c r="D3976" s="469"/>
      <c r="E3976" s="503"/>
      <c r="F3976" s="503"/>
    </row>
    <row r="3977" spans="1:6" x14ac:dyDescent="0.25">
      <c r="A3977" s="469"/>
      <c r="B3977" s="166"/>
      <c r="C3977" s="342"/>
      <c r="D3977" s="469"/>
      <c r="E3977" s="503"/>
      <c r="F3977" s="503"/>
    </row>
    <row r="3978" spans="1:6" x14ac:dyDescent="0.25">
      <c r="A3978" s="469"/>
      <c r="B3978" s="166"/>
      <c r="C3978" s="342" t="s">
        <v>48</v>
      </c>
      <c r="D3978" s="469"/>
      <c r="E3978" s="503"/>
      <c r="F3978" s="503"/>
    </row>
    <row r="3979" spans="1:6" x14ac:dyDescent="0.25">
      <c r="A3979" s="469"/>
      <c r="B3979" s="146"/>
      <c r="C3979" s="342"/>
      <c r="D3979" s="469"/>
      <c r="E3979" s="503"/>
      <c r="F3979" s="503"/>
    </row>
    <row r="3980" spans="1:6" ht="38.25" x14ac:dyDescent="0.25">
      <c r="A3980" s="469"/>
      <c r="B3980" s="150" t="s">
        <v>1944</v>
      </c>
      <c r="C3980" s="342"/>
      <c r="D3980" s="469"/>
      <c r="E3980" s="503"/>
      <c r="F3980" s="503"/>
    </row>
    <row r="3981" spans="1:6" x14ac:dyDescent="0.25">
      <c r="A3981" s="469"/>
      <c r="B3981" s="166"/>
      <c r="C3981" s="342" t="s">
        <v>48</v>
      </c>
      <c r="D3981" s="469"/>
      <c r="E3981" s="503"/>
      <c r="F3981" s="503"/>
    </row>
    <row r="3982" spans="1:6" x14ac:dyDescent="0.25">
      <c r="A3982" s="469"/>
      <c r="B3982" s="542" t="s">
        <v>1945</v>
      </c>
      <c r="C3982" s="342"/>
      <c r="D3982" s="469"/>
      <c r="E3982" s="503"/>
      <c r="F3982" s="503"/>
    </row>
    <row r="3983" spans="1:6" x14ac:dyDescent="0.25">
      <c r="A3983" s="469"/>
      <c r="B3983" s="542"/>
      <c r="C3983" s="342" t="s">
        <v>48</v>
      </c>
      <c r="D3983" s="469"/>
      <c r="E3983" s="503"/>
      <c r="F3983" s="503"/>
    </row>
    <row r="3984" spans="1:6" x14ac:dyDescent="0.25">
      <c r="A3984" s="469"/>
      <c r="B3984" s="541" t="s">
        <v>1946</v>
      </c>
      <c r="C3984" s="342"/>
      <c r="D3984" s="469"/>
      <c r="E3984" s="503"/>
      <c r="F3984" s="503"/>
    </row>
    <row r="3985" spans="1:6" x14ac:dyDescent="0.25">
      <c r="A3985" s="469"/>
      <c r="B3985" s="541"/>
      <c r="C3985" s="342"/>
      <c r="D3985" s="469"/>
      <c r="E3985" s="503"/>
      <c r="F3985" s="503"/>
    </row>
    <row r="3986" spans="1:6" x14ac:dyDescent="0.25">
      <c r="A3986" s="469"/>
      <c r="B3986" s="541"/>
      <c r="C3986" s="342"/>
      <c r="D3986" s="469"/>
      <c r="E3986" s="503"/>
      <c r="F3986" s="503"/>
    </row>
    <row r="3987" spans="1:6" ht="15.75" thickBot="1" x14ac:dyDescent="0.3">
      <c r="A3987" s="436"/>
      <c r="B3987" s="545"/>
      <c r="C3987" s="343" t="s">
        <v>48</v>
      </c>
      <c r="D3987" s="436"/>
      <c r="E3987" s="444"/>
      <c r="F3987" s="444"/>
    </row>
    <row r="3988" spans="1:6" ht="31.5" x14ac:dyDescent="0.25">
      <c r="A3988" s="435"/>
      <c r="B3988" s="137" t="s">
        <v>1893</v>
      </c>
      <c r="C3988" s="473" t="s">
        <v>1895</v>
      </c>
      <c r="D3988" s="474"/>
      <c r="E3988" s="474"/>
      <c r="F3988" s="475"/>
    </row>
    <row r="3989" spans="1:6" x14ac:dyDescent="0.25">
      <c r="A3989" s="469"/>
      <c r="B3989" s="138"/>
      <c r="C3989" s="476" t="s">
        <v>1896</v>
      </c>
      <c r="D3989" s="477"/>
      <c r="E3989" s="477"/>
      <c r="F3989" s="478"/>
    </row>
    <row r="3990" spans="1:6" ht="21.75" thickBot="1" x14ac:dyDescent="0.3">
      <c r="A3990" s="469"/>
      <c r="B3990" s="139" t="s">
        <v>2219</v>
      </c>
      <c r="C3990" s="494" t="s">
        <v>1897</v>
      </c>
      <c r="D3990" s="495"/>
      <c r="E3990" s="495"/>
      <c r="F3990" s="496"/>
    </row>
    <row r="3991" spans="1:6" ht="15.75" thickBot="1" x14ac:dyDescent="0.3">
      <c r="A3991" s="470"/>
      <c r="B3991" s="140"/>
      <c r="C3991" s="538" t="s">
        <v>1898</v>
      </c>
      <c r="D3991" s="539"/>
      <c r="E3991" s="539"/>
      <c r="F3991" s="540"/>
    </row>
    <row r="3992" spans="1:6" ht="16.5" thickTop="1" thickBot="1" x14ac:dyDescent="0.3">
      <c r="A3992" s="165" t="s">
        <v>1899</v>
      </c>
      <c r="B3992" s="310" t="s">
        <v>1</v>
      </c>
      <c r="C3992" s="341" t="s">
        <v>3</v>
      </c>
      <c r="D3992" s="143" t="s">
        <v>2</v>
      </c>
      <c r="E3992" s="279" t="s">
        <v>1900</v>
      </c>
      <c r="F3992" s="279" t="s">
        <v>1427</v>
      </c>
    </row>
    <row r="3993" spans="1:6" ht="15.75" thickTop="1" x14ac:dyDescent="0.25">
      <c r="A3993" s="501"/>
      <c r="B3993" s="146"/>
      <c r="C3993" s="342"/>
      <c r="D3993" s="501"/>
      <c r="E3993" s="502"/>
      <c r="F3993" s="502"/>
    </row>
    <row r="3994" spans="1:6" ht="191.25" x14ac:dyDescent="0.25">
      <c r="A3994" s="469"/>
      <c r="B3994" s="146" t="s">
        <v>1947</v>
      </c>
      <c r="C3994" s="342" t="s">
        <v>48</v>
      </c>
      <c r="D3994" s="469"/>
      <c r="E3994" s="503"/>
      <c r="F3994" s="503"/>
    </row>
    <row r="3995" spans="1:6" x14ac:dyDescent="0.25">
      <c r="A3995" s="469"/>
      <c r="B3995" s="146"/>
      <c r="C3995" s="342"/>
      <c r="D3995" s="469"/>
      <c r="E3995" s="503"/>
      <c r="F3995" s="503"/>
    </row>
    <row r="3996" spans="1:6" ht="63.75" x14ac:dyDescent="0.25">
      <c r="A3996" s="469"/>
      <c r="B3996" s="146" t="s">
        <v>1948</v>
      </c>
      <c r="C3996" s="342" t="s">
        <v>48</v>
      </c>
      <c r="D3996" s="469"/>
      <c r="E3996" s="503"/>
      <c r="F3996" s="503"/>
    </row>
    <row r="3997" spans="1:6" x14ac:dyDescent="0.25">
      <c r="A3997" s="469"/>
      <c r="B3997" s="166"/>
      <c r="C3997" s="342"/>
      <c r="D3997" s="469"/>
      <c r="E3997" s="503"/>
      <c r="F3997" s="503"/>
    </row>
    <row r="3998" spans="1:6" x14ac:dyDescent="0.25">
      <c r="A3998" s="469"/>
      <c r="B3998" s="541" t="s">
        <v>1949</v>
      </c>
      <c r="C3998" s="342"/>
      <c r="D3998" s="469"/>
      <c r="E3998" s="503"/>
      <c r="F3998" s="503"/>
    </row>
    <row r="3999" spans="1:6" x14ac:dyDescent="0.25">
      <c r="A3999" s="469"/>
      <c r="B3999" s="541"/>
      <c r="C3999" s="342"/>
      <c r="D3999" s="469"/>
      <c r="E3999" s="503"/>
      <c r="F3999" s="503"/>
    </row>
    <row r="4000" spans="1:6" x14ac:dyDescent="0.25">
      <c r="A4000" s="469"/>
      <c r="B4000" s="541"/>
      <c r="C4000" s="342" t="s">
        <v>48</v>
      </c>
      <c r="D4000" s="469"/>
      <c r="E4000" s="503"/>
      <c r="F4000" s="503"/>
    </row>
    <row r="4001" spans="1:6" x14ac:dyDescent="0.25">
      <c r="A4001" s="469"/>
      <c r="B4001" s="146"/>
      <c r="C4001" s="342"/>
      <c r="D4001" s="469"/>
      <c r="E4001" s="503"/>
      <c r="F4001" s="503"/>
    </row>
    <row r="4002" spans="1:6" ht="51" x14ac:dyDescent="0.25">
      <c r="A4002" s="469"/>
      <c r="B4002" s="150" t="s">
        <v>1950</v>
      </c>
      <c r="C4002" s="342"/>
      <c r="D4002" s="469"/>
      <c r="E4002" s="503"/>
      <c r="F4002" s="503"/>
    </row>
    <row r="4003" spans="1:6" x14ac:dyDescent="0.25">
      <c r="A4003" s="469"/>
      <c r="B4003" s="166"/>
      <c r="C4003" s="342" t="s">
        <v>48</v>
      </c>
      <c r="D4003" s="469"/>
      <c r="E4003" s="503"/>
      <c r="F4003" s="503"/>
    </row>
    <row r="4004" spans="1:6" x14ac:dyDescent="0.25">
      <c r="A4004" s="469"/>
      <c r="B4004" s="542" t="s">
        <v>1951</v>
      </c>
      <c r="C4004" s="342"/>
      <c r="D4004" s="469"/>
      <c r="E4004" s="503"/>
      <c r="F4004" s="503"/>
    </row>
    <row r="4005" spans="1:6" ht="15.75" thickBot="1" x14ac:dyDescent="0.3">
      <c r="A4005" s="436"/>
      <c r="B4005" s="543"/>
      <c r="C4005" s="343" t="s">
        <v>48</v>
      </c>
      <c r="D4005" s="436"/>
      <c r="E4005" s="444"/>
      <c r="F4005" s="444"/>
    </row>
    <row r="4006" spans="1:6" ht="31.5" x14ac:dyDescent="0.25">
      <c r="A4006" s="435"/>
      <c r="B4006" s="137" t="s">
        <v>1893</v>
      </c>
      <c r="C4006" s="473" t="s">
        <v>1895</v>
      </c>
      <c r="D4006" s="474"/>
      <c r="E4006" s="474"/>
      <c r="F4006" s="475"/>
    </row>
    <row r="4007" spans="1:6" x14ac:dyDescent="0.25">
      <c r="A4007" s="469"/>
      <c r="B4007" s="138"/>
      <c r="C4007" s="476" t="s">
        <v>1896</v>
      </c>
      <c r="D4007" s="477"/>
      <c r="E4007" s="477"/>
      <c r="F4007" s="478"/>
    </row>
    <row r="4008" spans="1:6" ht="21.75" thickBot="1" x14ac:dyDescent="0.3">
      <c r="A4008" s="469"/>
      <c r="B4008" s="139" t="s">
        <v>2219</v>
      </c>
      <c r="C4008" s="494" t="s">
        <v>1897</v>
      </c>
      <c r="D4008" s="495"/>
      <c r="E4008" s="495"/>
      <c r="F4008" s="496"/>
    </row>
    <row r="4009" spans="1:6" ht="15.75" thickBot="1" x14ac:dyDescent="0.3">
      <c r="A4009" s="470"/>
      <c r="B4009" s="140"/>
      <c r="C4009" s="538" t="s">
        <v>1898</v>
      </c>
      <c r="D4009" s="539"/>
      <c r="E4009" s="539"/>
      <c r="F4009" s="540"/>
    </row>
    <row r="4010" spans="1:6" ht="16.5" thickTop="1" thickBot="1" x14ac:dyDescent="0.3">
      <c r="A4010" s="156" t="s">
        <v>1899</v>
      </c>
      <c r="B4010" s="310" t="s">
        <v>1</v>
      </c>
      <c r="C4010" s="341" t="s">
        <v>3</v>
      </c>
      <c r="D4010" s="143" t="s">
        <v>2</v>
      </c>
      <c r="E4010" s="279" t="s">
        <v>1900</v>
      </c>
      <c r="F4010" s="279" t="s">
        <v>1427</v>
      </c>
    </row>
    <row r="4011" spans="1:6" ht="15.75" thickTop="1" x14ac:dyDescent="0.25">
      <c r="A4011" s="501"/>
      <c r="B4011" s="146"/>
      <c r="C4011" s="500"/>
      <c r="D4011" s="501"/>
      <c r="E4011" s="280"/>
      <c r="F4011" s="280"/>
    </row>
    <row r="4012" spans="1:6" x14ac:dyDescent="0.25">
      <c r="A4012" s="469"/>
      <c r="B4012" s="155" t="s">
        <v>1952</v>
      </c>
      <c r="C4012" s="489"/>
      <c r="D4012" s="469"/>
      <c r="E4012" s="281"/>
      <c r="F4012" s="281"/>
    </row>
    <row r="4013" spans="1:6" ht="153" x14ac:dyDescent="0.25">
      <c r="A4013" s="157" t="s">
        <v>1953</v>
      </c>
      <c r="B4013" s="150" t="s">
        <v>1954</v>
      </c>
      <c r="C4013" s="342" t="s">
        <v>11</v>
      </c>
      <c r="D4013" s="158">
        <v>1</v>
      </c>
      <c r="E4013" s="281">
        <v>15000</v>
      </c>
      <c r="F4013" s="281">
        <f>E4013*D4013</f>
        <v>15000</v>
      </c>
    </row>
    <row r="4014" spans="1:6" x14ac:dyDescent="0.25">
      <c r="A4014" s="469"/>
      <c r="B4014" s="146"/>
      <c r="C4014" s="489"/>
      <c r="D4014" s="469"/>
      <c r="E4014" s="281"/>
      <c r="F4014" s="281"/>
    </row>
    <row r="4015" spans="1:6" x14ac:dyDescent="0.25">
      <c r="A4015" s="469"/>
      <c r="B4015" s="155" t="s">
        <v>1955</v>
      </c>
      <c r="C4015" s="489"/>
      <c r="D4015" s="469"/>
      <c r="E4015" s="281"/>
      <c r="F4015" s="281"/>
    </row>
    <row r="4016" spans="1:6" x14ac:dyDescent="0.25">
      <c r="A4016" s="167"/>
      <c r="B4016" s="146"/>
      <c r="C4016" s="342"/>
      <c r="D4016" s="146"/>
      <c r="E4016" s="281"/>
      <c r="F4016" s="281"/>
    </row>
    <row r="4017" spans="1:6" ht="63.75" x14ac:dyDescent="0.25">
      <c r="A4017" s="157" t="s">
        <v>1956</v>
      </c>
      <c r="B4017" s="150" t="s">
        <v>1957</v>
      </c>
      <c r="C4017" s="342" t="s">
        <v>1958</v>
      </c>
      <c r="D4017" s="158">
        <v>50</v>
      </c>
      <c r="E4017" s="281">
        <v>110</v>
      </c>
      <c r="F4017" s="281">
        <f>E4017*D4017</f>
        <v>5500</v>
      </c>
    </row>
    <row r="4018" spans="1:6" x14ac:dyDescent="0.25">
      <c r="A4018" s="167"/>
      <c r="B4018" s="146"/>
      <c r="C4018" s="342"/>
      <c r="D4018" s="146"/>
      <c r="E4018" s="281"/>
      <c r="F4018" s="281"/>
    </row>
    <row r="4019" spans="1:6" ht="51" x14ac:dyDescent="0.25">
      <c r="A4019" s="157" t="s">
        <v>1959</v>
      </c>
      <c r="B4019" s="150" t="s">
        <v>1960</v>
      </c>
      <c r="C4019" s="342" t="s">
        <v>1958</v>
      </c>
      <c r="D4019" s="158">
        <v>380</v>
      </c>
      <c r="E4019" s="281">
        <v>110</v>
      </c>
      <c r="F4019" s="281">
        <f>E4019*D4019</f>
        <v>41800</v>
      </c>
    </row>
    <row r="4020" spans="1:6" x14ac:dyDescent="0.25">
      <c r="A4020" s="167"/>
      <c r="B4020" s="146"/>
      <c r="C4020" s="342"/>
      <c r="D4020" s="146"/>
      <c r="E4020" s="281"/>
      <c r="F4020" s="281"/>
    </row>
    <row r="4021" spans="1:6" ht="64.5" thickBot="1" x14ac:dyDescent="0.3">
      <c r="A4021" s="159" t="s">
        <v>1961</v>
      </c>
      <c r="B4021" s="151" t="s">
        <v>1962</v>
      </c>
      <c r="C4021" s="343" t="s">
        <v>11</v>
      </c>
      <c r="D4021" s="160">
        <v>1</v>
      </c>
      <c r="E4021" s="282">
        <v>6500</v>
      </c>
      <c r="F4021" s="281">
        <f>E4021*D4021</f>
        <v>6500</v>
      </c>
    </row>
    <row r="4022" spans="1:6" ht="31.5" x14ac:dyDescent="0.25">
      <c r="A4022" s="435"/>
      <c r="B4022" s="137" t="s">
        <v>1893</v>
      </c>
      <c r="C4022" s="473" t="s">
        <v>1895</v>
      </c>
      <c r="D4022" s="474"/>
      <c r="E4022" s="474"/>
      <c r="F4022" s="475"/>
    </row>
    <row r="4023" spans="1:6" x14ac:dyDescent="0.25">
      <c r="A4023" s="469"/>
      <c r="B4023" s="138"/>
      <c r="C4023" s="476" t="s">
        <v>1896</v>
      </c>
      <c r="D4023" s="477"/>
      <c r="E4023" s="477"/>
      <c r="F4023" s="478"/>
    </row>
    <row r="4024" spans="1:6" ht="21.75" thickBot="1" x14ac:dyDescent="0.3">
      <c r="A4024" s="469"/>
      <c r="B4024" s="139" t="s">
        <v>2219</v>
      </c>
      <c r="C4024" s="494" t="s">
        <v>1897</v>
      </c>
      <c r="D4024" s="495"/>
      <c r="E4024" s="495"/>
      <c r="F4024" s="496"/>
    </row>
    <row r="4025" spans="1:6" ht="15.75" thickBot="1" x14ac:dyDescent="0.3">
      <c r="A4025" s="470"/>
      <c r="B4025" s="140"/>
      <c r="C4025" s="538" t="s">
        <v>1898</v>
      </c>
      <c r="D4025" s="539"/>
      <c r="E4025" s="539"/>
      <c r="F4025" s="540"/>
    </row>
    <row r="4026" spans="1:6" ht="16.5" thickTop="1" thickBot="1" x14ac:dyDescent="0.3">
      <c r="A4026" s="156" t="s">
        <v>1899</v>
      </c>
      <c r="B4026" s="310" t="s">
        <v>1</v>
      </c>
      <c r="C4026" s="341" t="s">
        <v>3</v>
      </c>
      <c r="D4026" s="143" t="s">
        <v>2</v>
      </c>
      <c r="E4026" s="279" t="s">
        <v>1900</v>
      </c>
      <c r="F4026" s="279" t="s">
        <v>1427</v>
      </c>
    </row>
    <row r="4027" spans="1:6" ht="15.75" thickTop="1" x14ac:dyDescent="0.25">
      <c r="A4027" s="149"/>
      <c r="B4027" s="155" t="s">
        <v>1963</v>
      </c>
      <c r="C4027" s="345"/>
      <c r="D4027" s="148"/>
      <c r="E4027" s="280"/>
      <c r="F4027" s="280"/>
    </row>
    <row r="4028" spans="1:6" ht="51" x14ac:dyDescent="0.25">
      <c r="A4028" s="157" t="s">
        <v>1964</v>
      </c>
      <c r="B4028" s="146" t="s">
        <v>1972</v>
      </c>
      <c r="C4028" s="342" t="s">
        <v>1958</v>
      </c>
      <c r="D4028" s="158">
        <v>340</v>
      </c>
      <c r="E4028" s="281">
        <v>100</v>
      </c>
      <c r="F4028" s="281">
        <f>E4028*D4028</f>
        <v>34000</v>
      </c>
    </row>
    <row r="4029" spans="1:6" x14ac:dyDescent="0.25">
      <c r="A4029" s="168"/>
      <c r="B4029" s="146"/>
      <c r="C4029" s="356"/>
      <c r="D4029" s="169"/>
      <c r="E4029" s="281"/>
      <c r="F4029" s="281"/>
    </row>
    <row r="4030" spans="1:6" x14ac:dyDescent="0.25">
      <c r="A4030" s="149"/>
      <c r="B4030" s="155" t="s">
        <v>1965</v>
      </c>
      <c r="C4030" s="345"/>
      <c r="D4030" s="148"/>
      <c r="E4030" s="281"/>
      <c r="F4030" s="281"/>
    </row>
    <row r="4031" spans="1:6" x14ac:dyDescent="0.25">
      <c r="A4031" s="167"/>
      <c r="B4031" s="146"/>
      <c r="C4031" s="342"/>
      <c r="D4031" s="146"/>
      <c r="E4031" s="281"/>
      <c r="F4031" s="281"/>
    </row>
    <row r="4032" spans="1:6" ht="63.75" x14ac:dyDescent="0.25">
      <c r="A4032" s="157" t="s">
        <v>1966</v>
      </c>
      <c r="B4032" s="146" t="s">
        <v>2221</v>
      </c>
      <c r="C4032" s="342" t="s">
        <v>668</v>
      </c>
      <c r="D4032" s="158">
        <v>3</v>
      </c>
      <c r="E4032" s="281">
        <v>4500</v>
      </c>
      <c r="F4032" s="281">
        <f t="shared" ref="F4032:F4040" si="89">E4032*D4032</f>
        <v>13500</v>
      </c>
    </row>
    <row r="4033" spans="1:6" x14ac:dyDescent="0.25">
      <c r="A4033" s="168"/>
      <c r="B4033" s="146"/>
      <c r="C4033" s="356"/>
      <c r="D4033" s="169"/>
      <c r="E4033" s="281"/>
      <c r="F4033" s="281"/>
    </row>
    <row r="4034" spans="1:6" ht="63.75" x14ac:dyDescent="0.25">
      <c r="A4034" s="157" t="s">
        <v>1967</v>
      </c>
      <c r="B4034" s="146" t="s">
        <v>1974</v>
      </c>
      <c r="C4034" s="342" t="s">
        <v>668</v>
      </c>
      <c r="D4034" s="158">
        <v>1</v>
      </c>
      <c r="E4034" s="281">
        <v>4500</v>
      </c>
      <c r="F4034" s="281">
        <f t="shared" si="89"/>
        <v>4500</v>
      </c>
    </row>
    <row r="4035" spans="1:6" x14ac:dyDescent="0.25">
      <c r="A4035" s="168"/>
      <c r="B4035" s="146"/>
      <c r="C4035" s="356"/>
      <c r="D4035" s="169"/>
      <c r="E4035" s="281"/>
      <c r="F4035" s="281"/>
    </row>
    <row r="4036" spans="1:6" ht="63.75" x14ac:dyDescent="0.25">
      <c r="A4036" s="157" t="s">
        <v>1968</v>
      </c>
      <c r="B4036" s="146" t="s">
        <v>2222</v>
      </c>
      <c r="C4036" s="342" t="s">
        <v>668</v>
      </c>
      <c r="D4036" s="158">
        <v>1</v>
      </c>
      <c r="E4036" s="281">
        <v>1500</v>
      </c>
      <c r="F4036" s="281">
        <f t="shared" si="89"/>
        <v>1500</v>
      </c>
    </row>
    <row r="4037" spans="1:6" x14ac:dyDescent="0.25">
      <c r="A4037" s="168"/>
      <c r="B4037" s="146"/>
      <c r="C4037" s="356"/>
      <c r="D4037" s="169"/>
      <c r="E4037" s="281"/>
      <c r="F4037" s="281"/>
    </row>
    <row r="4038" spans="1:6" ht="51" x14ac:dyDescent="0.25">
      <c r="A4038" s="157" t="s">
        <v>1970</v>
      </c>
      <c r="B4038" s="146" t="s">
        <v>2223</v>
      </c>
      <c r="C4038" s="342" t="s">
        <v>668</v>
      </c>
      <c r="D4038" s="158">
        <v>1</v>
      </c>
      <c r="E4038" s="281">
        <v>4500</v>
      </c>
      <c r="F4038" s="281">
        <f t="shared" si="89"/>
        <v>4500</v>
      </c>
    </row>
    <row r="4039" spans="1:6" x14ac:dyDescent="0.25">
      <c r="A4039" s="168"/>
      <c r="B4039" s="146"/>
      <c r="C4039" s="356"/>
      <c r="D4039" s="169"/>
      <c r="E4039" s="281"/>
      <c r="F4039" s="281"/>
    </row>
    <row r="4040" spans="1:6" ht="51" x14ac:dyDescent="0.25">
      <c r="A4040" s="157" t="s">
        <v>2220</v>
      </c>
      <c r="B4040" s="146" t="s">
        <v>2224</v>
      </c>
      <c r="C4040" s="342" t="s">
        <v>668</v>
      </c>
      <c r="D4040" s="158">
        <v>1</v>
      </c>
      <c r="E4040" s="281">
        <v>2000</v>
      </c>
      <c r="F4040" s="281">
        <f t="shared" si="89"/>
        <v>2000</v>
      </c>
    </row>
    <row r="4041" spans="1:6" ht="15.75" thickBot="1" x14ac:dyDescent="0.3">
      <c r="A4041" s="168"/>
      <c r="B4041" s="146"/>
      <c r="C4041" s="356"/>
      <c r="D4041" s="169"/>
      <c r="E4041" s="281"/>
      <c r="F4041" s="281"/>
    </row>
    <row r="4042" spans="1:6" ht="31.5" x14ac:dyDescent="0.25">
      <c r="A4042" s="435"/>
      <c r="B4042" s="137" t="s">
        <v>1893</v>
      </c>
      <c r="C4042" s="473" t="s">
        <v>1895</v>
      </c>
      <c r="D4042" s="474"/>
      <c r="E4042" s="474"/>
      <c r="F4042" s="475"/>
    </row>
    <row r="4043" spans="1:6" x14ac:dyDescent="0.25">
      <c r="A4043" s="469"/>
      <c r="B4043" s="138"/>
      <c r="C4043" s="476" t="s">
        <v>1896</v>
      </c>
      <c r="D4043" s="477"/>
      <c r="E4043" s="477"/>
      <c r="F4043" s="478"/>
    </row>
    <row r="4044" spans="1:6" ht="21.75" thickBot="1" x14ac:dyDescent="0.3">
      <c r="A4044" s="469"/>
      <c r="B4044" s="139" t="s">
        <v>2219</v>
      </c>
      <c r="C4044" s="494" t="s">
        <v>1897</v>
      </c>
      <c r="D4044" s="495"/>
      <c r="E4044" s="495"/>
      <c r="F4044" s="496"/>
    </row>
    <row r="4045" spans="1:6" ht="15.75" thickBot="1" x14ac:dyDescent="0.3">
      <c r="A4045" s="470"/>
      <c r="B4045" s="140"/>
      <c r="C4045" s="538" t="s">
        <v>1898</v>
      </c>
      <c r="D4045" s="539"/>
      <c r="E4045" s="539"/>
      <c r="F4045" s="540"/>
    </row>
    <row r="4046" spans="1:6" ht="16.5" thickTop="1" thickBot="1" x14ac:dyDescent="0.3">
      <c r="A4046" s="156" t="s">
        <v>1899</v>
      </c>
      <c r="B4046" s="310" t="s">
        <v>1</v>
      </c>
      <c r="C4046" s="341" t="s">
        <v>3</v>
      </c>
      <c r="D4046" s="143" t="s">
        <v>2</v>
      </c>
      <c r="E4046" s="279" t="s">
        <v>1900</v>
      </c>
      <c r="F4046" s="279" t="s">
        <v>1427</v>
      </c>
    </row>
    <row r="4047" spans="1:6" ht="15.75" thickTop="1" x14ac:dyDescent="0.25">
      <c r="A4047" s="149"/>
      <c r="B4047" s="155" t="s">
        <v>2225</v>
      </c>
      <c r="C4047" s="345"/>
      <c r="D4047" s="148"/>
      <c r="E4047" s="280"/>
      <c r="F4047" s="280"/>
    </row>
    <row r="4048" spans="1:6" ht="102" x14ac:dyDescent="0.25">
      <c r="A4048" s="157" t="s">
        <v>2226</v>
      </c>
      <c r="B4048" s="150" t="s">
        <v>2227</v>
      </c>
      <c r="C4048" s="342" t="s">
        <v>1958</v>
      </c>
      <c r="D4048" s="158">
        <v>45</v>
      </c>
      <c r="E4048" s="281">
        <v>55</v>
      </c>
      <c r="F4048" s="281">
        <f>E4048*D4048</f>
        <v>2475</v>
      </c>
    </row>
    <row r="4049" spans="1:6" x14ac:dyDescent="0.25">
      <c r="A4049" s="469"/>
      <c r="B4049" s="146"/>
      <c r="C4049" s="489"/>
      <c r="D4049" s="469"/>
      <c r="E4049" s="281"/>
      <c r="F4049" s="281"/>
    </row>
    <row r="4050" spans="1:6" x14ac:dyDescent="0.25">
      <c r="A4050" s="469"/>
      <c r="B4050" s="155" t="s">
        <v>1969</v>
      </c>
      <c r="C4050" s="489"/>
      <c r="D4050" s="469"/>
      <c r="E4050" s="281"/>
      <c r="F4050" s="281"/>
    </row>
    <row r="4051" spans="1:6" ht="51.75" thickBot="1" x14ac:dyDescent="0.3">
      <c r="A4051" s="159" t="s">
        <v>2228</v>
      </c>
      <c r="B4051" s="151" t="s">
        <v>1976</v>
      </c>
      <c r="C4051" s="343" t="s">
        <v>11</v>
      </c>
      <c r="D4051" s="160">
        <v>1</v>
      </c>
      <c r="E4051" s="282"/>
      <c r="F4051" s="282"/>
    </row>
    <row r="4052" spans="1:6" x14ac:dyDescent="0.25">
      <c r="A4052" s="435"/>
      <c r="B4052" s="536" t="s">
        <v>1971</v>
      </c>
      <c r="C4052" s="490"/>
      <c r="D4052" s="435"/>
      <c r="E4052" s="558" t="s">
        <v>1932</v>
      </c>
      <c r="F4052" s="443">
        <f>SUM(F4048,F4028:F4041,F4013:F4021)</f>
        <v>131275</v>
      </c>
    </row>
    <row r="4053" spans="1:6" ht="15.75" thickBot="1" x14ac:dyDescent="0.3">
      <c r="A4053" s="436"/>
      <c r="B4053" s="537"/>
      <c r="C4053" s="491"/>
      <c r="D4053" s="436"/>
      <c r="E4053" s="559"/>
      <c r="F4053" s="444"/>
    </row>
    <row r="4054" spans="1:6" ht="31.5" x14ac:dyDescent="0.25">
      <c r="A4054" s="435"/>
      <c r="B4054" s="152" t="s">
        <v>1893</v>
      </c>
      <c r="C4054" s="473" t="s">
        <v>1895</v>
      </c>
      <c r="D4054" s="474"/>
      <c r="E4054" s="474"/>
      <c r="F4054" s="475"/>
    </row>
    <row r="4055" spans="1:6" x14ac:dyDescent="0.25">
      <c r="A4055" s="469"/>
      <c r="B4055" s="138"/>
      <c r="C4055" s="476" t="s">
        <v>1896</v>
      </c>
      <c r="D4055" s="477"/>
      <c r="E4055" s="477"/>
      <c r="F4055" s="478"/>
    </row>
    <row r="4056" spans="1:6" ht="21.75" thickBot="1" x14ac:dyDescent="0.3">
      <c r="A4056" s="469"/>
      <c r="B4056" s="139" t="s">
        <v>2219</v>
      </c>
      <c r="C4056" s="494" t="s">
        <v>1897</v>
      </c>
      <c r="D4056" s="495"/>
      <c r="E4056" s="495"/>
      <c r="F4056" s="496"/>
    </row>
    <row r="4057" spans="1:6" ht="15.75" thickBot="1" x14ac:dyDescent="0.3">
      <c r="A4057" s="470"/>
      <c r="B4057" s="140"/>
      <c r="C4057" s="497" t="s">
        <v>1898</v>
      </c>
      <c r="D4057" s="498"/>
      <c r="E4057" s="498"/>
      <c r="F4057" s="499"/>
    </row>
    <row r="4058" spans="1:6" ht="16.5" thickTop="1" thickBot="1" x14ac:dyDescent="0.3">
      <c r="A4058" s="156" t="s">
        <v>1899</v>
      </c>
      <c r="B4058" s="310" t="s">
        <v>1</v>
      </c>
      <c r="C4058" s="341" t="s">
        <v>3</v>
      </c>
      <c r="D4058" s="173" t="s">
        <v>2</v>
      </c>
      <c r="E4058" s="278" t="s">
        <v>1900</v>
      </c>
      <c r="F4058" s="279" t="s">
        <v>1427</v>
      </c>
    </row>
    <row r="4059" spans="1:6" ht="15.75" thickTop="1" x14ac:dyDescent="0.25">
      <c r="A4059" s="144"/>
      <c r="B4059" s="146"/>
      <c r="C4059" s="500"/>
      <c r="D4059" s="501"/>
      <c r="E4059" s="502"/>
      <c r="F4059" s="502"/>
    </row>
    <row r="4060" spans="1:6" x14ac:dyDescent="0.25">
      <c r="A4060" s="164" t="s">
        <v>1977</v>
      </c>
      <c r="B4060" s="155" t="s">
        <v>1978</v>
      </c>
      <c r="C4060" s="489"/>
      <c r="D4060" s="469"/>
      <c r="E4060" s="503"/>
      <c r="F4060" s="503"/>
    </row>
    <row r="4061" spans="1:6" ht="76.5" x14ac:dyDescent="0.25">
      <c r="A4061" s="149"/>
      <c r="B4061" s="150" t="s">
        <v>1979</v>
      </c>
      <c r="C4061" s="342" t="s">
        <v>48</v>
      </c>
      <c r="D4061" s="469"/>
      <c r="E4061" s="503"/>
      <c r="F4061" s="503"/>
    </row>
    <row r="4062" spans="1:6" ht="25.5" x14ac:dyDescent="0.25">
      <c r="A4062" s="149"/>
      <c r="B4062" s="147" t="s">
        <v>1980</v>
      </c>
      <c r="C4062" s="345"/>
      <c r="D4062" s="469"/>
      <c r="E4062" s="503"/>
      <c r="F4062" s="503"/>
    </row>
    <row r="4063" spans="1:6" ht="38.25" x14ac:dyDescent="0.25">
      <c r="A4063" s="149"/>
      <c r="B4063" s="150" t="s">
        <v>1981</v>
      </c>
      <c r="C4063" s="342" t="s">
        <v>48</v>
      </c>
      <c r="D4063" s="469"/>
      <c r="E4063" s="503"/>
      <c r="F4063" s="503"/>
    </row>
    <row r="4064" spans="1:6" ht="38.25" x14ac:dyDescent="0.25">
      <c r="A4064" s="149"/>
      <c r="B4064" s="150" t="s">
        <v>1982</v>
      </c>
      <c r="C4064" s="342" t="s">
        <v>48</v>
      </c>
      <c r="D4064" s="469"/>
      <c r="E4064" s="503"/>
      <c r="F4064" s="503"/>
    </row>
    <row r="4065" spans="1:6" ht="63.75" x14ac:dyDescent="0.25">
      <c r="A4065" s="149"/>
      <c r="B4065" s="150" t="s">
        <v>1983</v>
      </c>
      <c r="C4065" s="342" t="s">
        <v>48</v>
      </c>
      <c r="D4065" s="469"/>
      <c r="E4065" s="503"/>
      <c r="F4065" s="503"/>
    </row>
    <row r="4066" spans="1:6" ht="25.5" x14ac:dyDescent="0.25">
      <c r="A4066" s="149"/>
      <c r="B4066" s="146" t="s">
        <v>1984</v>
      </c>
      <c r="C4066" s="342" t="s">
        <v>48</v>
      </c>
      <c r="D4066" s="469"/>
      <c r="E4066" s="503"/>
      <c r="F4066" s="503"/>
    </row>
    <row r="4067" spans="1:6" ht="51" x14ac:dyDescent="0.25">
      <c r="A4067" s="149"/>
      <c r="B4067" s="150" t="s">
        <v>1985</v>
      </c>
      <c r="C4067" s="342" t="s">
        <v>48</v>
      </c>
      <c r="D4067" s="469"/>
      <c r="E4067" s="503"/>
      <c r="F4067" s="503"/>
    </row>
    <row r="4068" spans="1:6" ht="76.5" x14ac:dyDescent="0.25">
      <c r="A4068" s="149"/>
      <c r="B4068" s="150" t="s">
        <v>1986</v>
      </c>
      <c r="C4068" s="342" t="s">
        <v>48</v>
      </c>
      <c r="D4068" s="469"/>
      <c r="E4068" s="503"/>
      <c r="F4068" s="503"/>
    </row>
    <row r="4069" spans="1:6" ht="39" thickBot="1" x14ac:dyDescent="0.3">
      <c r="A4069" s="154"/>
      <c r="B4069" s="170" t="s">
        <v>1987</v>
      </c>
      <c r="C4069" s="343" t="s">
        <v>48</v>
      </c>
      <c r="D4069" s="436"/>
      <c r="E4069" s="444"/>
      <c r="F4069" s="444"/>
    </row>
    <row r="4070" spans="1:6" ht="31.5" x14ac:dyDescent="0.25">
      <c r="A4070" s="435"/>
      <c r="B4070" s="152" t="s">
        <v>1893</v>
      </c>
      <c r="C4070" s="473" t="s">
        <v>1895</v>
      </c>
      <c r="D4070" s="474"/>
      <c r="E4070" s="474"/>
      <c r="F4070" s="475"/>
    </row>
    <row r="4071" spans="1:6" x14ac:dyDescent="0.25">
      <c r="A4071" s="469"/>
      <c r="B4071" s="138"/>
      <c r="C4071" s="476" t="s">
        <v>1896</v>
      </c>
      <c r="D4071" s="477"/>
      <c r="E4071" s="477"/>
      <c r="F4071" s="478"/>
    </row>
    <row r="4072" spans="1:6" ht="21.75" thickBot="1" x14ac:dyDescent="0.3">
      <c r="A4072" s="469"/>
      <c r="B4072" s="139" t="s">
        <v>2219</v>
      </c>
      <c r="C4072" s="494" t="s">
        <v>1897</v>
      </c>
      <c r="D4072" s="495"/>
      <c r="E4072" s="495"/>
      <c r="F4072" s="496"/>
    </row>
    <row r="4073" spans="1:6" ht="15.75" thickBot="1" x14ac:dyDescent="0.3">
      <c r="A4073" s="470"/>
      <c r="B4073" s="140"/>
      <c r="C4073" s="497" t="s">
        <v>1898</v>
      </c>
      <c r="D4073" s="498"/>
      <c r="E4073" s="498"/>
      <c r="F4073" s="499"/>
    </row>
    <row r="4074" spans="1:6" ht="16.5" thickTop="1" thickBot="1" x14ac:dyDescent="0.3">
      <c r="A4074" s="141" t="s">
        <v>1899</v>
      </c>
      <c r="B4074" s="310" t="s">
        <v>1</v>
      </c>
      <c r="C4074" s="341" t="s">
        <v>3</v>
      </c>
      <c r="D4074" s="173" t="s">
        <v>2</v>
      </c>
      <c r="E4074" s="278" t="s">
        <v>1900</v>
      </c>
      <c r="F4074" s="279" t="s">
        <v>1427</v>
      </c>
    </row>
    <row r="4075" spans="1:6" ht="64.5" thickTop="1" x14ac:dyDescent="0.25">
      <c r="A4075" s="501"/>
      <c r="B4075" s="150" t="s">
        <v>1988</v>
      </c>
      <c r="C4075" s="342" t="s">
        <v>48</v>
      </c>
      <c r="D4075" s="501"/>
      <c r="E4075" s="502"/>
      <c r="F4075" s="502"/>
    </row>
    <row r="4076" spans="1:6" ht="25.5" x14ac:dyDescent="0.25">
      <c r="A4076" s="469"/>
      <c r="B4076" s="146" t="s">
        <v>1989</v>
      </c>
      <c r="C4076" s="342" t="s">
        <v>48</v>
      </c>
      <c r="D4076" s="469"/>
      <c r="E4076" s="503"/>
      <c r="F4076" s="503"/>
    </row>
    <row r="4077" spans="1:6" ht="51" x14ac:dyDescent="0.25">
      <c r="A4077" s="469"/>
      <c r="B4077" s="150" t="s">
        <v>1990</v>
      </c>
      <c r="C4077" s="342" t="s">
        <v>48</v>
      </c>
      <c r="D4077" s="469"/>
      <c r="E4077" s="503"/>
      <c r="F4077" s="503"/>
    </row>
    <row r="4078" spans="1:6" ht="63.75" x14ac:dyDescent="0.25">
      <c r="A4078" s="469"/>
      <c r="B4078" s="150" t="s">
        <v>1991</v>
      </c>
      <c r="C4078" s="342" t="s">
        <v>48</v>
      </c>
      <c r="D4078" s="469"/>
      <c r="E4078" s="503"/>
      <c r="F4078" s="503"/>
    </row>
    <row r="4079" spans="1:6" ht="51" x14ac:dyDescent="0.25">
      <c r="A4079" s="469"/>
      <c r="B4079" s="150" t="s">
        <v>1992</v>
      </c>
      <c r="C4079" s="342" t="s">
        <v>48</v>
      </c>
      <c r="D4079" s="469"/>
      <c r="E4079" s="503"/>
      <c r="F4079" s="503"/>
    </row>
    <row r="4080" spans="1:6" ht="76.5" x14ac:dyDescent="0.25">
      <c r="A4080" s="469"/>
      <c r="B4080" s="150" t="s">
        <v>1993</v>
      </c>
      <c r="C4080" s="342" t="s">
        <v>48</v>
      </c>
      <c r="D4080" s="469"/>
      <c r="E4080" s="503"/>
      <c r="F4080" s="503"/>
    </row>
    <row r="4081" spans="1:6" x14ac:dyDescent="0.25">
      <c r="A4081" s="469"/>
      <c r="B4081" s="146"/>
      <c r="C4081" s="342"/>
      <c r="D4081" s="469"/>
      <c r="E4081" s="503"/>
      <c r="F4081" s="503"/>
    </row>
    <row r="4082" spans="1:6" ht="38.25" x14ac:dyDescent="0.25">
      <c r="A4082" s="469"/>
      <c r="B4082" s="150" t="s">
        <v>1994</v>
      </c>
      <c r="C4082" s="342" t="s">
        <v>48</v>
      </c>
      <c r="D4082" s="469"/>
      <c r="E4082" s="503"/>
      <c r="F4082" s="503"/>
    </row>
    <row r="4083" spans="1:6" ht="64.5" thickBot="1" x14ac:dyDescent="0.3">
      <c r="A4083" s="436"/>
      <c r="B4083" s="151" t="s">
        <v>1995</v>
      </c>
      <c r="C4083" s="343" t="s">
        <v>48</v>
      </c>
      <c r="D4083" s="436"/>
      <c r="E4083" s="444"/>
      <c r="F4083" s="444"/>
    </row>
    <row r="4084" spans="1:6" ht="31.5" x14ac:dyDescent="0.25">
      <c r="A4084" s="435"/>
      <c r="B4084" s="152" t="s">
        <v>1893</v>
      </c>
      <c r="C4084" s="473" t="s">
        <v>1895</v>
      </c>
      <c r="D4084" s="474"/>
      <c r="E4084" s="474"/>
      <c r="F4084" s="475"/>
    </row>
    <row r="4085" spans="1:6" x14ac:dyDescent="0.25">
      <c r="A4085" s="469"/>
      <c r="B4085" s="138"/>
      <c r="C4085" s="476" t="s">
        <v>1896</v>
      </c>
      <c r="D4085" s="477"/>
      <c r="E4085" s="477"/>
      <c r="F4085" s="478"/>
    </row>
    <row r="4086" spans="1:6" ht="21.75" thickBot="1" x14ac:dyDescent="0.3">
      <c r="A4086" s="469"/>
      <c r="B4086" s="139" t="s">
        <v>2219</v>
      </c>
      <c r="C4086" s="494" t="s">
        <v>1897</v>
      </c>
      <c r="D4086" s="495"/>
      <c r="E4086" s="495"/>
      <c r="F4086" s="496"/>
    </row>
    <row r="4087" spans="1:6" ht="15.75" thickBot="1" x14ac:dyDescent="0.3">
      <c r="A4087" s="470"/>
      <c r="B4087" s="140"/>
      <c r="C4087" s="497" t="s">
        <v>1898</v>
      </c>
      <c r="D4087" s="498"/>
      <c r="E4087" s="498"/>
      <c r="F4087" s="499"/>
    </row>
    <row r="4088" spans="1:6" ht="16.5" thickTop="1" thickBot="1" x14ac:dyDescent="0.3">
      <c r="A4088" s="141" t="s">
        <v>1899</v>
      </c>
      <c r="B4088" s="310" t="s">
        <v>1</v>
      </c>
      <c r="C4088" s="341" t="s">
        <v>3</v>
      </c>
      <c r="D4088" s="173" t="s">
        <v>2</v>
      </c>
      <c r="E4088" s="278" t="s">
        <v>1900</v>
      </c>
      <c r="F4088" s="279" t="s">
        <v>1427</v>
      </c>
    </row>
    <row r="4089" spans="1:6" ht="15.75" thickTop="1" x14ac:dyDescent="0.25">
      <c r="A4089" s="501"/>
      <c r="B4089" s="155" t="s">
        <v>1790</v>
      </c>
      <c r="C4089" s="345"/>
      <c r="D4089" s="501"/>
      <c r="E4089" s="502"/>
      <c r="F4089" s="502"/>
    </row>
    <row r="4090" spans="1:6" ht="51" x14ac:dyDescent="0.25">
      <c r="A4090" s="469"/>
      <c r="B4090" s="150" t="s">
        <v>1996</v>
      </c>
      <c r="C4090" s="342" t="s">
        <v>48</v>
      </c>
      <c r="D4090" s="469"/>
      <c r="E4090" s="503"/>
      <c r="F4090" s="503"/>
    </row>
    <row r="4091" spans="1:6" ht="25.5" x14ac:dyDescent="0.25">
      <c r="A4091" s="469"/>
      <c r="B4091" s="146" t="s">
        <v>1997</v>
      </c>
      <c r="C4091" s="342" t="s">
        <v>48</v>
      </c>
      <c r="D4091" s="469"/>
      <c r="E4091" s="503"/>
      <c r="F4091" s="503"/>
    </row>
    <row r="4092" spans="1:6" x14ac:dyDescent="0.25">
      <c r="A4092" s="469"/>
      <c r="B4092" s="155" t="s">
        <v>1761</v>
      </c>
      <c r="C4092" s="345"/>
      <c r="D4092" s="469"/>
      <c r="E4092" s="503"/>
      <c r="F4092" s="503"/>
    </row>
    <row r="4093" spans="1:6" ht="127.5" x14ac:dyDescent="0.25">
      <c r="A4093" s="469"/>
      <c r="B4093" s="150" t="s">
        <v>1998</v>
      </c>
      <c r="C4093" s="342" t="s">
        <v>48</v>
      </c>
      <c r="D4093" s="469"/>
      <c r="E4093" s="503"/>
      <c r="F4093" s="503"/>
    </row>
    <row r="4094" spans="1:6" ht="114.75" x14ac:dyDescent="0.25">
      <c r="A4094" s="469"/>
      <c r="B4094" s="150" t="s">
        <v>1999</v>
      </c>
      <c r="C4094" s="342" t="s">
        <v>48</v>
      </c>
      <c r="D4094" s="469"/>
      <c r="E4094" s="503"/>
      <c r="F4094" s="503"/>
    </row>
    <row r="4095" spans="1:6" ht="51" x14ac:dyDescent="0.25">
      <c r="A4095" s="469"/>
      <c r="B4095" s="150" t="s">
        <v>2000</v>
      </c>
      <c r="C4095" s="342" t="s">
        <v>48</v>
      </c>
      <c r="D4095" s="469"/>
      <c r="E4095" s="503"/>
      <c r="F4095" s="503"/>
    </row>
    <row r="4096" spans="1:6" ht="25.5" x14ac:dyDescent="0.25">
      <c r="A4096" s="469"/>
      <c r="B4096" s="146" t="s">
        <v>2001</v>
      </c>
      <c r="C4096" s="342" t="s">
        <v>48</v>
      </c>
      <c r="D4096" s="469"/>
      <c r="E4096" s="503"/>
      <c r="F4096" s="503"/>
    </row>
    <row r="4097" spans="1:6" ht="26.25" thickBot="1" x14ac:dyDescent="0.3">
      <c r="A4097" s="436"/>
      <c r="B4097" s="170" t="s">
        <v>2002</v>
      </c>
      <c r="C4097" s="343" t="s">
        <v>48</v>
      </c>
      <c r="D4097" s="436"/>
      <c r="E4097" s="444"/>
      <c r="F4097" s="444"/>
    </row>
    <row r="4098" spans="1:6" ht="31.5" x14ac:dyDescent="0.25">
      <c r="A4098" s="435"/>
      <c r="B4098" s="152" t="s">
        <v>1893</v>
      </c>
      <c r="C4098" s="473" t="s">
        <v>1895</v>
      </c>
      <c r="D4098" s="474"/>
      <c r="E4098" s="474"/>
      <c r="F4098" s="475"/>
    </row>
    <row r="4099" spans="1:6" x14ac:dyDescent="0.25">
      <c r="A4099" s="469"/>
      <c r="B4099" s="138"/>
      <c r="C4099" s="476" t="s">
        <v>1896</v>
      </c>
      <c r="D4099" s="477"/>
      <c r="E4099" s="477"/>
      <c r="F4099" s="478"/>
    </row>
    <row r="4100" spans="1:6" ht="21.75" thickBot="1" x14ac:dyDescent="0.3">
      <c r="A4100" s="469"/>
      <c r="B4100" s="139" t="s">
        <v>2219</v>
      </c>
      <c r="C4100" s="494" t="s">
        <v>1897</v>
      </c>
      <c r="D4100" s="495"/>
      <c r="E4100" s="495"/>
      <c r="F4100" s="496"/>
    </row>
    <row r="4101" spans="1:6" ht="15.75" thickBot="1" x14ac:dyDescent="0.3">
      <c r="A4101" s="470"/>
      <c r="B4101" s="140"/>
      <c r="C4101" s="497" t="s">
        <v>1898</v>
      </c>
      <c r="D4101" s="498"/>
      <c r="E4101" s="498"/>
      <c r="F4101" s="499"/>
    </row>
    <row r="4102" spans="1:6" ht="16.5" thickTop="1" thickBot="1" x14ac:dyDescent="0.3">
      <c r="A4102" s="141" t="s">
        <v>1899</v>
      </c>
      <c r="B4102" s="310" t="s">
        <v>1</v>
      </c>
      <c r="C4102" s="341" t="s">
        <v>3</v>
      </c>
      <c r="D4102" s="173" t="s">
        <v>2</v>
      </c>
      <c r="E4102" s="278" t="s">
        <v>1900</v>
      </c>
      <c r="F4102" s="279" t="s">
        <v>1427</v>
      </c>
    </row>
    <row r="4103" spans="1:6" ht="51.75" thickTop="1" x14ac:dyDescent="0.25">
      <c r="A4103" s="501"/>
      <c r="B4103" s="150" t="s">
        <v>2003</v>
      </c>
      <c r="C4103" s="342" t="s">
        <v>48</v>
      </c>
      <c r="D4103" s="501"/>
      <c r="E4103" s="502"/>
      <c r="F4103" s="502"/>
    </row>
    <row r="4104" spans="1:6" ht="51" x14ac:dyDescent="0.25">
      <c r="A4104" s="469"/>
      <c r="B4104" s="150" t="s">
        <v>2004</v>
      </c>
      <c r="C4104" s="342" t="s">
        <v>48</v>
      </c>
      <c r="D4104" s="469"/>
      <c r="E4104" s="503"/>
      <c r="F4104" s="503"/>
    </row>
    <row r="4105" spans="1:6" ht="165.75" x14ac:dyDescent="0.25">
      <c r="A4105" s="469"/>
      <c r="B4105" s="150" t="s">
        <v>2005</v>
      </c>
      <c r="C4105" s="342" t="s">
        <v>48</v>
      </c>
      <c r="D4105" s="469"/>
      <c r="E4105" s="503"/>
      <c r="F4105" s="503"/>
    </row>
    <row r="4106" spans="1:6" ht="25.5" x14ac:dyDescent="0.25">
      <c r="A4106" s="469"/>
      <c r="B4106" s="146" t="s">
        <v>2006</v>
      </c>
      <c r="C4106" s="342" t="s">
        <v>48</v>
      </c>
      <c r="D4106" s="469"/>
      <c r="E4106" s="503"/>
      <c r="F4106" s="503"/>
    </row>
    <row r="4107" spans="1:6" ht="90" thickBot="1" x14ac:dyDescent="0.3">
      <c r="A4107" s="436"/>
      <c r="B4107" s="151" t="s">
        <v>2007</v>
      </c>
      <c r="C4107" s="343" t="s">
        <v>48</v>
      </c>
      <c r="D4107" s="436"/>
      <c r="E4107" s="444"/>
      <c r="F4107" s="444"/>
    </row>
    <row r="4108" spans="1:6" ht="31.5" x14ac:dyDescent="0.25">
      <c r="A4108" s="435"/>
      <c r="B4108" s="152" t="s">
        <v>1893</v>
      </c>
      <c r="C4108" s="473" t="s">
        <v>1895</v>
      </c>
      <c r="D4108" s="474"/>
      <c r="E4108" s="474"/>
      <c r="F4108" s="475"/>
    </row>
    <row r="4109" spans="1:6" x14ac:dyDescent="0.25">
      <c r="A4109" s="469"/>
      <c r="B4109" s="138"/>
      <c r="C4109" s="476" t="s">
        <v>1896</v>
      </c>
      <c r="D4109" s="477"/>
      <c r="E4109" s="477"/>
      <c r="F4109" s="478"/>
    </row>
    <row r="4110" spans="1:6" ht="21.75" thickBot="1" x14ac:dyDescent="0.3">
      <c r="A4110" s="469"/>
      <c r="B4110" s="139" t="s">
        <v>2219</v>
      </c>
      <c r="C4110" s="494" t="s">
        <v>1897</v>
      </c>
      <c r="D4110" s="495"/>
      <c r="E4110" s="495"/>
      <c r="F4110" s="496"/>
    </row>
    <row r="4111" spans="1:6" ht="15.75" thickBot="1" x14ac:dyDescent="0.3">
      <c r="A4111" s="470"/>
      <c r="B4111" s="140"/>
      <c r="C4111" s="497" t="s">
        <v>1898</v>
      </c>
      <c r="D4111" s="498"/>
      <c r="E4111" s="498"/>
      <c r="F4111" s="499"/>
    </row>
    <row r="4112" spans="1:6" ht="16.5" thickTop="1" thickBot="1" x14ac:dyDescent="0.3">
      <c r="A4112" s="156" t="s">
        <v>1899</v>
      </c>
      <c r="B4112" s="310" t="s">
        <v>1</v>
      </c>
      <c r="C4112" s="341" t="s">
        <v>3</v>
      </c>
      <c r="D4112" s="173" t="s">
        <v>2</v>
      </c>
      <c r="E4112" s="278" t="s">
        <v>1900</v>
      </c>
      <c r="F4112" s="279" t="s">
        <v>1427</v>
      </c>
    </row>
    <row r="4113" spans="1:6" ht="15.75" thickTop="1" x14ac:dyDescent="0.25">
      <c r="A4113" s="149"/>
      <c r="B4113" s="155" t="s">
        <v>2008</v>
      </c>
      <c r="C4113" s="345"/>
      <c r="D4113" s="148"/>
      <c r="E4113" s="280"/>
      <c r="F4113" s="280"/>
    </row>
    <row r="4114" spans="1:6" ht="25.5" x14ac:dyDescent="0.25">
      <c r="A4114" s="149"/>
      <c r="B4114" s="147" t="s">
        <v>2232</v>
      </c>
      <c r="C4114" s="345"/>
      <c r="D4114" s="148"/>
      <c r="E4114" s="281"/>
      <c r="F4114" s="281"/>
    </row>
    <row r="4115" spans="1:6" x14ac:dyDescent="0.25">
      <c r="A4115" s="149"/>
      <c r="B4115" s="147"/>
      <c r="C4115" s="345"/>
      <c r="D4115" s="148"/>
      <c r="E4115" s="281"/>
      <c r="F4115" s="281"/>
    </row>
    <row r="4116" spans="1:6" ht="38.25" x14ac:dyDescent="0.25">
      <c r="A4116" s="172" t="s">
        <v>2010</v>
      </c>
      <c r="B4116" s="146" t="s">
        <v>2231</v>
      </c>
      <c r="C4116" s="342" t="s">
        <v>188</v>
      </c>
      <c r="D4116" s="158">
        <v>0.5</v>
      </c>
      <c r="E4116" s="281">
        <v>105000</v>
      </c>
      <c r="F4116" s="281">
        <f>E4116*D4116</f>
        <v>52500</v>
      </c>
    </row>
    <row r="4117" spans="1:6" x14ac:dyDescent="0.25">
      <c r="A4117" s="149"/>
      <c r="B4117" s="146"/>
      <c r="C4117" s="345"/>
      <c r="D4117" s="148"/>
      <c r="E4117" s="281"/>
      <c r="F4117" s="281"/>
    </row>
    <row r="4118" spans="1:6" x14ac:dyDescent="0.25">
      <c r="A4118" s="149"/>
      <c r="B4118" s="155" t="s">
        <v>2011</v>
      </c>
      <c r="C4118" s="347"/>
      <c r="D4118" s="149"/>
      <c r="E4118" s="281"/>
      <c r="F4118" s="281"/>
    </row>
    <row r="4119" spans="1:6" x14ac:dyDescent="0.25">
      <c r="A4119" s="149"/>
      <c r="B4119" s="155" t="s">
        <v>2009</v>
      </c>
      <c r="C4119" s="345"/>
      <c r="D4119" s="148"/>
      <c r="E4119" s="281"/>
      <c r="F4119" s="281"/>
    </row>
    <row r="4120" spans="1:6" ht="51" x14ac:dyDescent="0.25">
      <c r="A4120" s="149"/>
      <c r="B4120" s="146" t="s">
        <v>2230</v>
      </c>
      <c r="C4120" s="345"/>
      <c r="D4120" s="148"/>
      <c r="E4120" s="281"/>
      <c r="F4120" s="281"/>
    </row>
    <row r="4121" spans="1:6" x14ac:dyDescent="0.25">
      <c r="A4121" s="168"/>
      <c r="B4121" s="146"/>
      <c r="C4121" s="356"/>
      <c r="D4121" s="169"/>
      <c r="E4121" s="281"/>
      <c r="F4121" s="281"/>
    </row>
    <row r="4122" spans="1:6" x14ac:dyDescent="0.25">
      <c r="A4122" s="172" t="s">
        <v>2012</v>
      </c>
      <c r="B4122" s="146" t="s">
        <v>2013</v>
      </c>
      <c r="C4122" s="342" t="s">
        <v>2014</v>
      </c>
      <c r="D4122" s="158">
        <v>10</v>
      </c>
      <c r="E4122" s="281">
        <v>1850</v>
      </c>
      <c r="F4122" s="281">
        <f>E4122*D4122</f>
        <v>18500</v>
      </c>
    </row>
    <row r="4123" spans="1:6" x14ac:dyDescent="0.25">
      <c r="A4123" s="172" t="s">
        <v>2015</v>
      </c>
      <c r="B4123" s="146" t="s">
        <v>2016</v>
      </c>
      <c r="C4123" s="342" t="s">
        <v>2014</v>
      </c>
      <c r="D4123" s="158">
        <v>10</v>
      </c>
      <c r="E4123" s="281">
        <v>1450</v>
      </c>
      <c r="F4123" s="281">
        <f>E4123*D4123</f>
        <v>14500</v>
      </c>
    </row>
    <row r="4124" spans="1:6" x14ac:dyDescent="0.25">
      <c r="A4124" s="172" t="s">
        <v>2017</v>
      </c>
      <c r="B4124" s="146" t="s">
        <v>2018</v>
      </c>
      <c r="C4124" s="342" t="s">
        <v>2014</v>
      </c>
      <c r="D4124" s="158">
        <v>10</v>
      </c>
      <c r="E4124" s="281">
        <v>1800</v>
      </c>
      <c r="F4124" s="281">
        <f>E4124*D4124</f>
        <v>18000</v>
      </c>
    </row>
    <row r="4125" spans="1:6" ht="89.25" x14ac:dyDescent="0.25">
      <c r="A4125" s="172" t="s">
        <v>2019</v>
      </c>
      <c r="B4125" s="146" t="s">
        <v>2229</v>
      </c>
      <c r="C4125" s="342" t="s">
        <v>11</v>
      </c>
      <c r="D4125" s="158">
        <v>1</v>
      </c>
      <c r="E4125" s="281">
        <v>8500</v>
      </c>
      <c r="F4125" s="281">
        <f>E4125*D4125</f>
        <v>8500</v>
      </c>
    </row>
    <row r="4126" spans="1:6" ht="15.75" thickBot="1" x14ac:dyDescent="0.3">
      <c r="A4126" s="168"/>
      <c r="B4126" s="146"/>
      <c r="C4126" s="356"/>
      <c r="D4126" s="169"/>
      <c r="E4126" s="281"/>
      <c r="F4126" s="281"/>
    </row>
    <row r="4127" spans="1:6" ht="31.5" x14ac:dyDescent="0.25">
      <c r="A4127" s="435"/>
      <c r="B4127" s="152" t="s">
        <v>1893</v>
      </c>
      <c r="C4127" s="473" t="s">
        <v>1895</v>
      </c>
      <c r="D4127" s="474"/>
      <c r="E4127" s="474"/>
      <c r="F4127" s="475"/>
    </row>
    <row r="4128" spans="1:6" x14ac:dyDescent="0.25">
      <c r="A4128" s="469"/>
      <c r="B4128" s="138"/>
      <c r="C4128" s="476" t="s">
        <v>1896</v>
      </c>
      <c r="D4128" s="477"/>
      <c r="E4128" s="477"/>
      <c r="F4128" s="478"/>
    </row>
    <row r="4129" spans="1:6" ht="21.75" thickBot="1" x14ac:dyDescent="0.3">
      <c r="A4129" s="469"/>
      <c r="B4129" s="139" t="s">
        <v>2219</v>
      </c>
      <c r="C4129" s="494" t="s">
        <v>1897</v>
      </c>
      <c r="D4129" s="495"/>
      <c r="E4129" s="495"/>
      <c r="F4129" s="496"/>
    </row>
    <row r="4130" spans="1:6" ht="15.75" thickBot="1" x14ac:dyDescent="0.3">
      <c r="A4130" s="470"/>
      <c r="B4130" s="140"/>
      <c r="C4130" s="497" t="s">
        <v>1898</v>
      </c>
      <c r="D4130" s="498"/>
      <c r="E4130" s="498"/>
      <c r="F4130" s="499"/>
    </row>
    <row r="4131" spans="1:6" ht="16.5" thickTop="1" thickBot="1" x14ac:dyDescent="0.3">
      <c r="A4131" s="156" t="s">
        <v>1899</v>
      </c>
      <c r="B4131" s="310" t="s">
        <v>1</v>
      </c>
      <c r="C4131" s="341" t="s">
        <v>3</v>
      </c>
      <c r="D4131" s="173" t="s">
        <v>2</v>
      </c>
      <c r="E4131" s="278" t="s">
        <v>1900</v>
      </c>
      <c r="F4131" s="279" t="s">
        <v>1427</v>
      </c>
    </row>
    <row r="4132" spans="1:6" ht="15.75" thickTop="1" x14ac:dyDescent="0.25">
      <c r="A4132" s="149"/>
      <c r="B4132" s="155" t="s">
        <v>2020</v>
      </c>
      <c r="C4132" s="345"/>
      <c r="D4132" s="148"/>
      <c r="E4132" s="295"/>
      <c r="F4132" s="296"/>
    </row>
    <row r="4133" spans="1:6" x14ac:dyDescent="0.25">
      <c r="A4133" s="469"/>
      <c r="B4133" s="174" t="s">
        <v>2021</v>
      </c>
      <c r="C4133" s="489"/>
      <c r="D4133" s="469"/>
      <c r="E4133" s="297"/>
      <c r="F4133" s="298"/>
    </row>
    <row r="4134" spans="1:6" ht="51" x14ac:dyDescent="0.25">
      <c r="A4134" s="469"/>
      <c r="B4134" s="175" t="s">
        <v>1996</v>
      </c>
      <c r="C4134" s="489"/>
      <c r="D4134" s="469"/>
      <c r="E4134" s="297"/>
      <c r="F4134" s="298"/>
    </row>
    <row r="4135" spans="1:6" x14ac:dyDescent="0.25">
      <c r="A4135" s="149"/>
      <c r="B4135" s="147" t="s">
        <v>2022</v>
      </c>
      <c r="C4135" s="345"/>
      <c r="D4135" s="148"/>
      <c r="E4135" s="297"/>
      <c r="F4135" s="298"/>
    </row>
    <row r="4136" spans="1:6" x14ac:dyDescent="0.25">
      <c r="A4136" s="144"/>
      <c r="B4136" s="146"/>
      <c r="C4136" s="342"/>
      <c r="D4136" s="146"/>
      <c r="E4136" s="297"/>
      <c r="F4136" s="298"/>
    </row>
    <row r="4137" spans="1:6" ht="51" x14ac:dyDescent="0.25">
      <c r="A4137" s="172" t="s">
        <v>2023</v>
      </c>
      <c r="B4137" s="150" t="s">
        <v>2024</v>
      </c>
      <c r="C4137" s="342" t="s">
        <v>1958</v>
      </c>
      <c r="D4137" s="158">
        <v>50</v>
      </c>
      <c r="E4137" s="297">
        <v>750</v>
      </c>
      <c r="F4137" s="298">
        <f>E4137*D4137</f>
        <v>37500</v>
      </c>
    </row>
    <row r="4138" spans="1:6" x14ac:dyDescent="0.25">
      <c r="A4138" s="469"/>
      <c r="B4138" s="146"/>
      <c r="C4138" s="489"/>
      <c r="D4138" s="664">
        <v>12</v>
      </c>
      <c r="E4138" s="556">
        <v>1450</v>
      </c>
      <c r="F4138" s="557">
        <f>E4138*D4138</f>
        <v>17400</v>
      </c>
    </row>
    <row r="4139" spans="1:6" ht="51" x14ac:dyDescent="0.25">
      <c r="A4139" s="469"/>
      <c r="B4139" s="150" t="s">
        <v>2025</v>
      </c>
      <c r="C4139" s="489"/>
      <c r="D4139" s="664"/>
      <c r="E4139" s="556"/>
      <c r="F4139" s="557"/>
    </row>
    <row r="4140" spans="1:6" ht="15.75" thickBot="1" x14ac:dyDescent="0.3">
      <c r="A4140" s="176" t="s">
        <v>2026</v>
      </c>
      <c r="B4140" s="170" t="s">
        <v>2027</v>
      </c>
      <c r="C4140" s="343" t="s">
        <v>668</v>
      </c>
      <c r="D4140" s="665"/>
      <c r="E4140" s="666"/>
      <c r="F4140" s="557"/>
    </row>
    <row r="4141" spans="1:6" ht="26.25" thickBot="1" x14ac:dyDescent="0.3">
      <c r="A4141" s="154"/>
      <c r="B4141" s="177" t="s">
        <v>2028</v>
      </c>
      <c r="C4141" s="346"/>
      <c r="D4141" s="171"/>
      <c r="E4141" s="285" t="s">
        <v>1932</v>
      </c>
      <c r="F4141" s="286">
        <f>SUM(F4138,F4137,F4114:F4125)</f>
        <v>166900</v>
      </c>
    </row>
    <row r="4142" spans="1:6" ht="31.5" x14ac:dyDescent="0.25">
      <c r="A4142" s="435"/>
      <c r="B4142" s="137" t="s">
        <v>1893</v>
      </c>
      <c r="C4142" s="473" t="s">
        <v>1895</v>
      </c>
      <c r="D4142" s="474"/>
      <c r="E4142" s="474"/>
      <c r="F4142" s="478"/>
    </row>
    <row r="4143" spans="1:6" x14ac:dyDescent="0.25">
      <c r="A4143" s="469"/>
      <c r="B4143" s="138"/>
      <c r="C4143" s="476" t="s">
        <v>1896</v>
      </c>
      <c r="D4143" s="477"/>
      <c r="E4143" s="477"/>
      <c r="F4143" s="478"/>
    </row>
    <row r="4144" spans="1:6" ht="21.75" thickBot="1" x14ac:dyDescent="0.3">
      <c r="A4144" s="469"/>
      <c r="B4144" s="139" t="s">
        <v>2219</v>
      </c>
      <c r="C4144" s="494" t="s">
        <v>1897</v>
      </c>
      <c r="D4144" s="495"/>
      <c r="E4144" s="495"/>
      <c r="F4144" s="496"/>
    </row>
    <row r="4145" spans="1:6" ht="15.75" thickBot="1" x14ac:dyDescent="0.3">
      <c r="A4145" s="470"/>
      <c r="B4145" s="140"/>
      <c r="C4145" s="497" t="s">
        <v>1898</v>
      </c>
      <c r="D4145" s="498"/>
      <c r="E4145" s="498"/>
      <c r="F4145" s="499"/>
    </row>
    <row r="4146" spans="1:6" ht="16.5" thickTop="1" thickBot="1" x14ac:dyDescent="0.3">
      <c r="A4146" s="156" t="s">
        <v>1899</v>
      </c>
      <c r="B4146" s="310" t="s">
        <v>1</v>
      </c>
      <c r="C4146" s="341" t="s">
        <v>3</v>
      </c>
      <c r="D4146" s="173" t="s">
        <v>2</v>
      </c>
      <c r="E4146" s="278" t="s">
        <v>1900</v>
      </c>
      <c r="F4146" s="299" t="s">
        <v>1427</v>
      </c>
    </row>
    <row r="4147" spans="1:6" ht="15.75" thickTop="1" x14ac:dyDescent="0.25">
      <c r="A4147" s="144"/>
      <c r="B4147" s="146"/>
      <c r="C4147" s="500"/>
      <c r="D4147" s="501"/>
      <c r="E4147" s="502"/>
      <c r="F4147" s="502"/>
    </row>
    <row r="4148" spans="1:6" x14ac:dyDescent="0.25">
      <c r="A4148" s="164" t="s">
        <v>2029</v>
      </c>
      <c r="B4148" s="155" t="s">
        <v>2030</v>
      </c>
      <c r="C4148" s="489"/>
      <c r="D4148" s="469"/>
      <c r="E4148" s="503"/>
      <c r="F4148" s="503"/>
    </row>
    <row r="4149" spans="1:6" ht="102" x14ac:dyDescent="0.25">
      <c r="A4149" s="149"/>
      <c r="B4149" s="150" t="s">
        <v>2031</v>
      </c>
      <c r="C4149" s="342" t="s">
        <v>48</v>
      </c>
      <c r="D4149" s="469"/>
      <c r="E4149" s="503"/>
      <c r="F4149" s="503"/>
    </row>
    <row r="4150" spans="1:6" ht="51" x14ac:dyDescent="0.25">
      <c r="A4150" s="149"/>
      <c r="B4150" s="150" t="s">
        <v>2032</v>
      </c>
      <c r="C4150" s="342" t="s">
        <v>48</v>
      </c>
      <c r="D4150" s="469"/>
      <c r="E4150" s="503"/>
      <c r="F4150" s="503"/>
    </row>
    <row r="4151" spans="1:6" ht="38.25" x14ac:dyDescent="0.25">
      <c r="A4151" s="149"/>
      <c r="B4151" s="150" t="s">
        <v>2033</v>
      </c>
      <c r="C4151" s="342" t="s">
        <v>48</v>
      </c>
      <c r="D4151" s="469"/>
      <c r="E4151" s="503"/>
      <c r="F4151" s="503"/>
    </row>
    <row r="4152" spans="1:6" ht="63.75" x14ac:dyDescent="0.25">
      <c r="A4152" s="149"/>
      <c r="B4152" s="150" t="s">
        <v>2034</v>
      </c>
      <c r="C4152" s="342" t="s">
        <v>48</v>
      </c>
      <c r="D4152" s="469"/>
      <c r="E4152" s="503"/>
      <c r="F4152" s="503"/>
    </row>
    <row r="4153" spans="1:6" x14ac:dyDescent="0.25">
      <c r="A4153" s="469"/>
      <c r="B4153" s="146"/>
      <c r="C4153" s="342"/>
      <c r="D4153" s="469"/>
      <c r="E4153" s="503"/>
      <c r="F4153" s="503"/>
    </row>
    <row r="4154" spans="1:6" ht="89.25" x14ac:dyDescent="0.25">
      <c r="A4154" s="469"/>
      <c r="B4154" s="150" t="s">
        <v>2035</v>
      </c>
      <c r="C4154" s="342" t="s">
        <v>48</v>
      </c>
      <c r="D4154" s="469"/>
      <c r="E4154" s="503"/>
      <c r="F4154" s="503"/>
    </row>
    <row r="4155" spans="1:6" ht="64.5" thickBot="1" x14ac:dyDescent="0.3">
      <c r="A4155" s="154"/>
      <c r="B4155" s="151" t="s">
        <v>2036</v>
      </c>
      <c r="C4155" s="343" t="s">
        <v>48</v>
      </c>
      <c r="D4155" s="436"/>
      <c r="E4155" s="444"/>
      <c r="F4155" s="444"/>
    </row>
    <row r="4156" spans="1:6" ht="31.5" x14ac:dyDescent="0.25">
      <c r="A4156" s="435"/>
      <c r="B4156" s="137" t="s">
        <v>1893</v>
      </c>
      <c r="C4156" s="473" t="s">
        <v>1895</v>
      </c>
      <c r="D4156" s="474"/>
      <c r="E4156" s="474"/>
      <c r="F4156" s="475"/>
    </row>
    <row r="4157" spans="1:6" x14ac:dyDescent="0.25">
      <c r="A4157" s="469"/>
      <c r="B4157" s="138"/>
      <c r="C4157" s="476" t="s">
        <v>1896</v>
      </c>
      <c r="D4157" s="477"/>
      <c r="E4157" s="477"/>
      <c r="F4157" s="478"/>
    </row>
    <row r="4158" spans="1:6" ht="21.75" thickBot="1" x14ac:dyDescent="0.3">
      <c r="A4158" s="469"/>
      <c r="B4158" s="139" t="s">
        <v>2219</v>
      </c>
      <c r="C4158" s="494" t="s">
        <v>1897</v>
      </c>
      <c r="D4158" s="495"/>
      <c r="E4158" s="495"/>
      <c r="F4158" s="496"/>
    </row>
    <row r="4159" spans="1:6" ht="15.75" thickBot="1" x14ac:dyDescent="0.3">
      <c r="A4159" s="470"/>
      <c r="B4159" s="140"/>
      <c r="C4159" s="497" t="s">
        <v>1898</v>
      </c>
      <c r="D4159" s="498"/>
      <c r="E4159" s="498"/>
      <c r="F4159" s="499"/>
    </row>
    <row r="4160" spans="1:6" ht="16.5" thickTop="1" thickBot="1" x14ac:dyDescent="0.3">
      <c r="A4160" s="141" t="s">
        <v>1899</v>
      </c>
      <c r="B4160" s="310" t="s">
        <v>1</v>
      </c>
      <c r="C4160" s="341" t="s">
        <v>3</v>
      </c>
      <c r="D4160" s="173" t="s">
        <v>2</v>
      </c>
      <c r="E4160" s="278" t="s">
        <v>1900</v>
      </c>
      <c r="F4160" s="299" t="s">
        <v>1427</v>
      </c>
    </row>
    <row r="4161" spans="1:6" ht="15.75" thickTop="1" x14ac:dyDescent="0.25">
      <c r="A4161" s="501"/>
      <c r="B4161" s="146"/>
      <c r="C4161" s="342"/>
      <c r="D4161" s="501"/>
      <c r="E4161" s="502"/>
      <c r="F4161" s="502"/>
    </row>
    <row r="4162" spans="1:6" ht="89.25" x14ac:dyDescent="0.25">
      <c r="A4162" s="469"/>
      <c r="B4162" s="150" t="s">
        <v>2037</v>
      </c>
      <c r="C4162" s="342" t="s">
        <v>48</v>
      </c>
      <c r="D4162" s="469"/>
      <c r="E4162" s="503"/>
      <c r="F4162" s="503"/>
    </row>
    <row r="4163" spans="1:6" x14ac:dyDescent="0.25">
      <c r="A4163" s="469"/>
      <c r="B4163" s="146"/>
      <c r="C4163" s="342"/>
      <c r="D4163" s="469"/>
      <c r="E4163" s="503"/>
      <c r="F4163" s="503"/>
    </row>
    <row r="4164" spans="1:6" ht="25.5" x14ac:dyDescent="0.25">
      <c r="A4164" s="469"/>
      <c r="B4164" s="146" t="s">
        <v>2038</v>
      </c>
      <c r="C4164" s="342" t="s">
        <v>48</v>
      </c>
      <c r="D4164" s="469"/>
      <c r="E4164" s="503"/>
      <c r="F4164" s="503"/>
    </row>
    <row r="4165" spans="1:6" ht="38.25" x14ac:dyDescent="0.25">
      <c r="A4165" s="469"/>
      <c r="B4165" s="150" t="s">
        <v>2033</v>
      </c>
      <c r="C4165" s="342" t="s">
        <v>48</v>
      </c>
      <c r="D4165" s="469"/>
      <c r="E4165" s="503"/>
      <c r="F4165" s="503"/>
    </row>
    <row r="4166" spans="1:6" x14ac:dyDescent="0.25">
      <c r="A4166" s="469"/>
      <c r="B4166" s="146" t="s">
        <v>2039</v>
      </c>
      <c r="C4166" s="342"/>
      <c r="D4166" s="469"/>
      <c r="E4166" s="503"/>
      <c r="F4166" s="503"/>
    </row>
    <row r="4167" spans="1:6" x14ac:dyDescent="0.25">
      <c r="A4167" s="469"/>
      <c r="B4167" s="311" t="s">
        <v>2040</v>
      </c>
      <c r="C4167" s="342"/>
      <c r="D4167" s="469"/>
      <c r="E4167" s="503"/>
      <c r="F4167" s="503"/>
    </row>
    <row r="4168" spans="1:6" x14ac:dyDescent="0.25">
      <c r="A4168" s="469"/>
      <c r="B4168" s="311" t="s">
        <v>2041</v>
      </c>
      <c r="C4168" s="342"/>
      <c r="D4168" s="469"/>
      <c r="E4168" s="503"/>
      <c r="F4168" s="503"/>
    </row>
    <row r="4169" spans="1:6" ht="25.5" x14ac:dyDescent="0.25">
      <c r="A4169" s="469"/>
      <c r="B4169" s="146" t="s">
        <v>2042</v>
      </c>
      <c r="C4169" s="342"/>
      <c r="D4169" s="469"/>
      <c r="E4169" s="503"/>
      <c r="F4169" s="503"/>
    </row>
    <row r="4170" spans="1:6" ht="25.5" x14ac:dyDescent="0.25">
      <c r="A4170" s="469"/>
      <c r="B4170" s="146" t="s">
        <v>2043</v>
      </c>
      <c r="C4170" s="342"/>
      <c r="D4170" s="469"/>
      <c r="E4170" s="503"/>
      <c r="F4170" s="503"/>
    </row>
    <row r="4171" spans="1:6" x14ac:dyDescent="0.25">
      <c r="A4171" s="469"/>
      <c r="B4171" s="166"/>
      <c r="C4171" s="342"/>
      <c r="D4171" s="469"/>
      <c r="E4171" s="503"/>
      <c r="F4171" s="503"/>
    </row>
    <row r="4172" spans="1:6" x14ac:dyDescent="0.25">
      <c r="A4172" s="469"/>
      <c r="B4172" s="166"/>
      <c r="C4172" s="342" t="s">
        <v>48</v>
      </c>
      <c r="D4172" s="469"/>
      <c r="E4172" s="503"/>
      <c r="F4172" s="503"/>
    </row>
    <row r="4173" spans="1:6" ht="38.25" x14ac:dyDescent="0.25">
      <c r="A4173" s="469"/>
      <c r="B4173" s="150" t="s">
        <v>2044</v>
      </c>
      <c r="C4173" s="342" t="s">
        <v>48</v>
      </c>
      <c r="D4173" s="469"/>
      <c r="E4173" s="503"/>
      <c r="F4173" s="503"/>
    </row>
    <row r="4174" spans="1:6" ht="38.25" x14ac:dyDescent="0.25">
      <c r="A4174" s="469"/>
      <c r="B4174" s="150" t="s">
        <v>2045</v>
      </c>
      <c r="C4174" s="342" t="s">
        <v>48</v>
      </c>
      <c r="D4174" s="469"/>
      <c r="E4174" s="503"/>
      <c r="F4174" s="503"/>
    </row>
    <row r="4175" spans="1:6" ht="38.25" x14ac:dyDescent="0.25">
      <c r="A4175" s="469"/>
      <c r="B4175" s="150" t="s">
        <v>1951</v>
      </c>
      <c r="C4175" s="342" t="s">
        <v>48</v>
      </c>
      <c r="D4175" s="469"/>
      <c r="E4175" s="503"/>
      <c r="F4175" s="503"/>
    </row>
    <row r="4176" spans="1:6" ht="51.75" thickBot="1" x14ac:dyDescent="0.3">
      <c r="A4176" s="436"/>
      <c r="B4176" s="151" t="s">
        <v>2046</v>
      </c>
      <c r="C4176" s="343" t="s">
        <v>48</v>
      </c>
      <c r="D4176" s="436"/>
      <c r="E4176" s="444"/>
      <c r="F4176" s="444"/>
    </row>
    <row r="4177" spans="1:6" ht="31.5" x14ac:dyDescent="0.25">
      <c r="A4177" s="435"/>
      <c r="B4177" s="137" t="s">
        <v>1893</v>
      </c>
      <c r="C4177" s="473" t="s">
        <v>1895</v>
      </c>
      <c r="D4177" s="474"/>
      <c r="E4177" s="474"/>
      <c r="F4177" s="475"/>
    </row>
    <row r="4178" spans="1:6" x14ac:dyDescent="0.25">
      <c r="A4178" s="469"/>
      <c r="B4178" s="138"/>
      <c r="C4178" s="476" t="s">
        <v>1896</v>
      </c>
      <c r="D4178" s="477"/>
      <c r="E4178" s="477"/>
      <c r="F4178" s="478"/>
    </row>
    <row r="4179" spans="1:6" ht="21.75" thickBot="1" x14ac:dyDescent="0.3">
      <c r="A4179" s="469"/>
      <c r="B4179" s="139" t="s">
        <v>2219</v>
      </c>
      <c r="C4179" s="494" t="s">
        <v>1897</v>
      </c>
      <c r="D4179" s="495"/>
      <c r="E4179" s="495"/>
      <c r="F4179" s="496"/>
    </row>
    <row r="4180" spans="1:6" ht="15.75" thickBot="1" x14ac:dyDescent="0.3">
      <c r="A4180" s="470"/>
      <c r="B4180" s="140"/>
      <c r="C4180" s="497" t="s">
        <v>1898</v>
      </c>
      <c r="D4180" s="498"/>
      <c r="E4180" s="498"/>
      <c r="F4180" s="499"/>
    </row>
    <row r="4181" spans="1:6" ht="16.5" thickTop="1" thickBot="1" x14ac:dyDescent="0.3">
      <c r="A4181" s="156" t="s">
        <v>1899</v>
      </c>
      <c r="B4181" s="310" t="s">
        <v>1</v>
      </c>
      <c r="C4181" s="341" t="s">
        <v>3</v>
      </c>
      <c r="D4181" s="173" t="s">
        <v>2</v>
      </c>
      <c r="E4181" s="278" t="s">
        <v>1900</v>
      </c>
      <c r="F4181" s="299" t="s">
        <v>1427</v>
      </c>
    </row>
    <row r="4182" spans="1:6" ht="15.75" thickTop="1" x14ac:dyDescent="0.25">
      <c r="A4182" s="149"/>
      <c r="B4182" s="155" t="s">
        <v>2047</v>
      </c>
      <c r="C4182" s="345"/>
      <c r="D4182" s="148"/>
      <c r="E4182" s="280"/>
      <c r="F4182" s="280"/>
    </row>
    <row r="4183" spans="1:6" ht="25.5" x14ac:dyDescent="0.25">
      <c r="A4183" s="172" t="s">
        <v>2048</v>
      </c>
      <c r="B4183" s="146" t="s">
        <v>2049</v>
      </c>
      <c r="C4183" s="342" t="s">
        <v>76</v>
      </c>
      <c r="D4183" s="158">
        <v>1</v>
      </c>
      <c r="E4183" s="281">
        <v>75000</v>
      </c>
      <c r="F4183" s="281">
        <f>E4183*D4183</f>
        <v>75000</v>
      </c>
    </row>
    <row r="4184" spans="1:6" ht="25.5" x14ac:dyDescent="0.25">
      <c r="A4184" s="172" t="s">
        <v>2050</v>
      </c>
      <c r="B4184" s="146" t="s">
        <v>2051</v>
      </c>
      <c r="C4184" s="342" t="s">
        <v>76</v>
      </c>
      <c r="D4184" s="158">
        <v>1</v>
      </c>
      <c r="E4184" s="281">
        <v>48000</v>
      </c>
      <c r="F4184" s="281">
        <f>E4184*D4184</f>
        <v>48000</v>
      </c>
    </row>
    <row r="4185" spans="1:6" ht="26.25" thickBot="1" x14ac:dyDescent="0.3">
      <c r="A4185" s="176" t="s">
        <v>2052</v>
      </c>
      <c r="B4185" s="170" t="s">
        <v>2053</v>
      </c>
      <c r="C4185" s="343" t="s">
        <v>76</v>
      </c>
      <c r="D4185" s="160">
        <v>1</v>
      </c>
      <c r="E4185" s="282">
        <v>38500</v>
      </c>
      <c r="F4185" s="281">
        <f>E4185*D4185</f>
        <v>38500</v>
      </c>
    </row>
    <row r="4186" spans="1:6" ht="26.25" thickBot="1" x14ac:dyDescent="0.3">
      <c r="A4186" s="154"/>
      <c r="B4186" s="177" t="s">
        <v>2054</v>
      </c>
      <c r="C4186" s="346"/>
      <c r="D4186" s="171"/>
      <c r="E4186" s="285" t="s">
        <v>1932</v>
      </c>
      <c r="F4186" s="286">
        <f>SUM(F4183:F4185)</f>
        <v>161500</v>
      </c>
    </row>
    <row r="4187" spans="1:6" ht="31.5" x14ac:dyDescent="0.25">
      <c r="A4187" s="435"/>
      <c r="B4187" s="137" t="s">
        <v>1893</v>
      </c>
      <c r="C4187" s="473" t="s">
        <v>1895</v>
      </c>
      <c r="D4187" s="474"/>
      <c r="E4187" s="474"/>
      <c r="F4187" s="478"/>
    </row>
    <row r="4188" spans="1:6" x14ac:dyDescent="0.25">
      <c r="A4188" s="469"/>
      <c r="B4188" s="138"/>
      <c r="C4188" s="476" t="s">
        <v>1896</v>
      </c>
      <c r="D4188" s="477"/>
      <c r="E4188" s="477"/>
      <c r="F4188" s="478"/>
    </row>
    <row r="4189" spans="1:6" ht="21.75" thickBot="1" x14ac:dyDescent="0.3">
      <c r="A4189" s="469"/>
      <c r="B4189" s="139" t="s">
        <v>2219</v>
      </c>
      <c r="C4189" s="494" t="s">
        <v>1897</v>
      </c>
      <c r="D4189" s="495"/>
      <c r="E4189" s="495"/>
      <c r="F4189" s="496"/>
    </row>
    <row r="4190" spans="1:6" ht="15.75" thickBot="1" x14ac:dyDescent="0.3">
      <c r="A4190" s="470"/>
      <c r="B4190" s="140"/>
      <c r="C4190" s="533" t="s">
        <v>1898</v>
      </c>
      <c r="D4190" s="534"/>
      <c r="E4190" s="534"/>
      <c r="F4190" s="535"/>
    </row>
    <row r="4191" spans="1:6" ht="16.5" thickTop="1" thickBot="1" x14ac:dyDescent="0.3">
      <c r="A4191" s="156" t="s">
        <v>1899</v>
      </c>
      <c r="B4191" s="310" t="s">
        <v>1</v>
      </c>
      <c r="C4191" s="341" t="s">
        <v>3</v>
      </c>
      <c r="D4191" s="142" t="s">
        <v>2</v>
      </c>
      <c r="E4191" s="279" t="s">
        <v>1900</v>
      </c>
      <c r="F4191" s="288" t="s">
        <v>1427</v>
      </c>
    </row>
    <row r="4192" spans="1:6" ht="15.75" thickTop="1" x14ac:dyDescent="0.25">
      <c r="A4192" s="144"/>
      <c r="B4192" s="146"/>
      <c r="C4192" s="500"/>
      <c r="D4192" s="501"/>
      <c r="E4192" s="502"/>
      <c r="F4192" s="502"/>
    </row>
    <row r="4193" spans="1:6" x14ac:dyDescent="0.25">
      <c r="A4193" s="164" t="s">
        <v>2055</v>
      </c>
      <c r="B4193" s="155" t="s">
        <v>2056</v>
      </c>
      <c r="C4193" s="489"/>
      <c r="D4193" s="469"/>
      <c r="E4193" s="503"/>
      <c r="F4193" s="503"/>
    </row>
    <row r="4194" spans="1:6" ht="127.5" x14ac:dyDescent="0.25">
      <c r="A4194" s="149"/>
      <c r="B4194" s="150" t="s">
        <v>2057</v>
      </c>
      <c r="C4194" s="342" t="s">
        <v>48</v>
      </c>
      <c r="D4194" s="469"/>
      <c r="E4194" s="503"/>
      <c r="F4194" s="503"/>
    </row>
    <row r="4195" spans="1:6" x14ac:dyDescent="0.25">
      <c r="A4195" s="469"/>
      <c r="B4195" s="146"/>
      <c r="C4195" s="342"/>
      <c r="D4195" s="469"/>
      <c r="E4195" s="503"/>
      <c r="F4195" s="503"/>
    </row>
    <row r="4196" spans="1:6" ht="76.5" x14ac:dyDescent="0.25">
      <c r="A4196" s="469"/>
      <c r="B4196" s="150" t="s">
        <v>2058</v>
      </c>
      <c r="C4196" s="342" t="s">
        <v>48</v>
      </c>
      <c r="D4196" s="469"/>
      <c r="E4196" s="503"/>
      <c r="F4196" s="503"/>
    </row>
    <row r="4197" spans="1:6" x14ac:dyDescent="0.25">
      <c r="A4197" s="469"/>
      <c r="B4197" s="146"/>
      <c r="C4197" s="342"/>
      <c r="D4197" s="469"/>
      <c r="E4197" s="503"/>
      <c r="F4197" s="503"/>
    </row>
    <row r="4198" spans="1:6" ht="51" x14ac:dyDescent="0.25">
      <c r="A4198" s="469"/>
      <c r="B4198" s="150" t="s">
        <v>2059</v>
      </c>
      <c r="C4198" s="342" t="s">
        <v>48</v>
      </c>
      <c r="D4198" s="469"/>
      <c r="E4198" s="503"/>
      <c r="F4198" s="503"/>
    </row>
    <row r="4199" spans="1:6" x14ac:dyDescent="0.25">
      <c r="A4199" s="469"/>
      <c r="B4199" s="146"/>
      <c r="C4199" s="342"/>
      <c r="D4199" s="469"/>
      <c r="E4199" s="503"/>
      <c r="F4199" s="503"/>
    </row>
    <row r="4200" spans="1:6" ht="25.5" x14ac:dyDescent="0.25">
      <c r="A4200" s="469"/>
      <c r="B4200" s="146" t="s">
        <v>2060</v>
      </c>
      <c r="C4200" s="342" t="s">
        <v>48</v>
      </c>
      <c r="D4200" s="469"/>
      <c r="E4200" s="503"/>
      <c r="F4200" s="503"/>
    </row>
    <row r="4201" spans="1:6" x14ac:dyDescent="0.25">
      <c r="A4201" s="469"/>
      <c r="B4201" s="311" t="s">
        <v>2061</v>
      </c>
      <c r="C4201" s="361"/>
      <c r="D4201" s="469"/>
      <c r="E4201" s="503"/>
      <c r="F4201" s="503"/>
    </row>
    <row r="4202" spans="1:6" x14ac:dyDescent="0.25">
      <c r="A4202" s="469"/>
      <c r="B4202" s="311" t="s">
        <v>2062</v>
      </c>
      <c r="C4202" s="361"/>
      <c r="D4202" s="469"/>
      <c r="E4202" s="503"/>
      <c r="F4202" s="503"/>
    </row>
    <row r="4203" spans="1:6" x14ac:dyDescent="0.25">
      <c r="A4203" s="469"/>
      <c r="B4203" s="311" t="s">
        <v>2063</v>
      </c>
      <c r="C4203" s="361"/>
      <c r="D4203" s="469"/>
      <c r="E4203" s="503"/>
      <c r="F4203" s="503"/>
    </row>
    <row r="4204" spans="1:6" x14ac:dyDescent="0.25">
      <c r="A4204" s="469"/>
      <c r="B4204" s="311" t="s">
        <v>2064</v>
      </c>
      <c r="C4204" s="361"/>
      <c r="D4204" s="469"/>
      <c r="E4204" s="503"/>
      <c r="F4204" s="503"/>
    </row>
    <row r="4205" spans="1:6" x14ac:dyDescent="0.25">
      <c r="A4205" s="469"/>
      <c r="B4205" s="311" t="s">
        <v>2065</v>
      </c>
      <c r="C4205" s="361"/>
      <c r="D4205" s="469"/>
      <c r="E4205" s="503"/>
      <c r="F4205" s="503"/>
    </row>
    <row r="4206" spans="1:6" ht="25.5" x14ac:dyDescent="0.25">
      <c r="A4206" s="469"/>
      <c r="B4206" s="146" t="s">
        <v>2066</v>
      </c>
      <c r="C4206" s="361"/>
      <c r="D4206" s="469"/>
      <c r="E4206" s="503"/>
      <c r="F4206" s="503"/>
    </row>
    <row r="4207" spans="1:6" x14ac:dyDescent="0.25">
      <c r="A4207" s="469"/>
      <c r="B4207" s="311" t="s">
        <v>2067</v>
      </c>
      <c r="C4207" s="361"/>
      <c r="D4207" s="469"/>
      <c r="E4207" s="503"/>
      <c r="F4207" s="503"/>
    </row>
    <row r="4208" spans="1:6" ht="15.75" thickBot="1" x14ac:dyDescent="0.3">
      <c r="A4208" s="436"/>
      <c r="B4208" s="312" t="s">
        <v>2068</v>
      </c>
      <c r="C4208" s="362"/>
      <c r="D4208" s="436"/>
      <c r="E4208" s="444"/>
      <c r="F4208" s="444"/>
    </row>
    <row r="4209" spans="1:6" ht="31.5" x14ac:dyDescent="0.25">
      <c r="A4209" s="435"/>
      <c r="B4209" s="137" t="s">
        <v>1893</v>
      </c>
      <c r="C4209" s="473" t="s">
        <v>1895</v>
      </c>
      <c r="D4209" s="474"/>
      <c r="E4209" s="474"/>
      <c r="F4209" s="475"/>
    </row>
    <row r="4210" spans="1:6" x14ac:dyDescent="0.25">
      <c r="A4210" s="469"/>
      <c r="B4210" s="138"/>
      <c r="C4210" s="476" t="s">
        <v>1896</v>
      </c>
      <c r="D4210" s="477"/>
      <c r="E4210" s="477"/>
      <c r="F4210" s="478"/>
    </row>
    <row r="4211" spans="1:6" ht="21.75" thickBot="1" x14ac:dyDescent="0.3">
      <c r="A4211" s="469"/>
      <c r="B4211" s="139" t="s">
        <v>2219</v>
      </c>
      <c r="C4211" s="494" t="s">
        <v>1897</v>
      </c>
      <c r="D4211" s="495"/>
      <c r="E4211" s="495"/>
      <c r="F4211" s="496"/>
    </row>
    <row r="4212" spans="1:6" ht="15.75" thickBot="1" x14ac:dyDescent="0.3">
      <c r="A4212" s="470"/>
      <c r="B4212" s="140"/>
      <c r="C4212" s="533" t="s">
        <v>1898</v>
      </c>
      <c r="D4212" s="534"/>
      <c r="E4212" s="534"/>
      <c r="F4212" s="535"/>
    </row>
    <row r="4213" spans="1:6" ht="16.5" thickTop="1" thickBot="1" x14ac:dyDescent="0.3">
      <c r="A4213" s="156" t="s">
        <v>1899</v>
      </c>
      <c r="B4213" s="310" t="s">
        <v>1</v>
      </c>
      <c r="C4213" s="341" t="s">
        <v>3</v>
      </c>
      <c r="D4213" s="142" t="s">
        <v>2</v>
      </c>
      <c r="E4213" s="279" t="s">
        <v>1900</v>
      </c>
      <c r="F4213" s="288" t="s">
        <v>1427</v>
      </c>
    </row>
    <row r="4214" spans="1:6" ht="90" thickTop="1" x14ac:dyDescent="0.25">
      <c r="A4214" s="149"/>
      <c r="B4214" s="150" t="s">
        <v>2069</v>
      </c>
      <c r="C4214" s="342" t="s">
        <v>48</v>
      </c>
      <c r="D4214" s="148"/>
      <c r="E4214" s="280"/>
      <c r="F4214" s="280"/>
    </row>
    <row r="4215" spans="1:6" x14ac:dyDescent="0.25">
      <c r="A4215" s="469"/>
      <c r="B4215" s="146"/>
      <c r="C4215" s="342"/>
      <c r="D4215" s="469"/>
      <c r="E4215" s="281"/>
      <c r="F4215" s="281"/>
    </row>
    <row r="4216" spans="1:6" ht="38.25" x14ac:dyDescent="0.25">
      <c r="A4216" s="469"/>
      <c r="B4216" s="150" t="s">
        <v>2070</v>
      </c>
      <c r="C4216" s="342" t="s">
        <v>48</v>
      </c>
      <c r="D4216" s="469"/>
      <c r="E4216" s="281"/>
      <c r="F4216" s="281"/>
    </row>
    <row r="4217" spans="1:6" ht="38.25" x14ac:dyDescent="0.25">
      <c r="A4217" s="149"/>
      <c r="B4217" s="150" t="s">
        <v>2071</v>
      </c>
      <c r="C4217" s="342" t="s">
        <v>48</v>
      </c>
      <c r="D4217" s="148"/>
      <c r="E4217" s="281"/>
      <c r="F4217" s="281"/>
    </row>
    <row r="4218" spans="1:6" ht="25.5" x14ac:dyDescent="0.25">
      <c r="A4218" s="149"/>
      <c r="B4218" s="146" t="s">
        <v>2072</v>
      </c>
      <c r="C4218" s="342" t="s">
        <v>48</v>
      </c>
      <c r="D4218" s="148"/>
      <c r="E4218" s="281"/>
      <c r="F4218" s="281"/>
    </row>
    <row r="4219" spans="1:6" x14ac:dyDescent="0.25">
      <c r="A4219" s="469"/>
      <c r="B4219" s="146"/>
      <c r="C4219" s="342"/>
      <c r="D4219" s="469"/>
      <c r="E4219" s="281"/>
      <c r="F4219" s="281"/>
    </row>
    <row r="4220" spans="1:6" ht="76.5" x14ac:dyDescent="0.25">
      <c r="A4220" s="469"/>
      <c r="B4220" s="150" t="s">
        <v>2073</v>
      </c>
      <c r="C4220" s="342" t="s">
        <v>48</v>
      </c>
      <c r="D4220" s="469"/>
      <c r="E4220" s="281"/>
      <c r="F4220" s="281"/>
    </row>
    <row r="4221" spans="1:6" x14ac:dyDescent="0.25">
      <c r="A4221" s="149"/>
      <c r="B4221" s="155" t="s">
        <v>2074</v>
      </c>
      <c r="C4221" s="345"/>
      <c r="D4221" s="148"/>
      <c r="E4221" s="281"/>
      <c r="F4221" s="281"/>
    </row>
    <row r="4222" spans="1:6" ht="64.5" thickBot="1" x14ac:dyDescent="0.3">
      <c r="A4222" s="176" t="s">
        <v>2075</v>
      </c>
      <c r="B4222" s="151" t="s">
        <v>2076</v>
      </c>
      <c r="C4222" s="343" t="s">
        <v>2077</v>
      </c>
      <c r="D4222" s="179">
        <v>0.5</v>
      </c>
      <c r="E4222" s="282">
        <v>39500</v>
      </c>
      <c r="F4222" s="282">
        <f>E4222*D4222</f>
        <v>19750</v>
      </c>
    </row>
    <row r="4223" spans="1:6" ht="31.5" x14ac:dyDescent="0.25">
      <c r="A4223" s="435"/>
      <c r="B4223" s="137" t="s">
        <v>1893</v>
      </c>
      <c r="C4223" s="473" t="s">
        <v>1895</v>
      </c>
      <c r="D4223" s="474"/>
      <c r="E4223" s="474"/>
      <c r="F4223" s="475"/>
    </row>
    <row r="4224" spans="1:6" x14ac:dyDescent="0.25">
      <c r="A4224" s="469"/>
      <c r="B4224" s="138"/>
      <c r="C4224" s="476" t="s">
        <v>1896</v>
      </c>
      <c r="D4224" s="477"/>
      <c r="E4224" s="477"/>
      <c r="F4224" s="478"/>
    </row>
    <row r="4225" spans="1:6" ht="21.75" thickBot="1" x14ac:dyDescent="0.3">
      <c r="A4225" s="469"/>
      <c r="B4225" s="139" t="s">
        <v>2219</v>
      </c>
      <c r="C4225" s="494" t="s">
        <v>1897</v>
      </c>
      <c r="D4225" s="495"/>
      <c r="E4225" s="495"/>
      <c r="F4225" s="496"/>
    </row>
    <row r="4226" spans="1:6" ht="15.75" thickBot="1" x14ac:dyDescent="0.3">
      <c r="A4226" s="470"/>
      <c r="B4226" s="140"/>
      <c r="C4226" s="533" t="s">
        <v>1898</v>
      </c>
      <c r="D4226" s="534"/>
      <c r="E4226" s="534"/>
      <c r="F4226" s="535"/>
    </row>
    <row r="4227" spans="1:6" ht="16.5" thickTop="1" thickBot="1" x14ac:dyDescent="0.3">
      <c r="A4227" s="156" t="s">
        <v>1899</v>
      </c>
      <c r="B4227" s="310" t="s">
        <v>1</v>
      </c>
      <c r="C4227" s="341" t="s">
        <v>3</v>
      </c>
      <c r="D4227" s="142" t="s">
        <v>2</v>
      </c>
      <c r="E4227" s="279" t="s">
        <v>1900</v>
      </c>
      <c r="F4227" s="288" t="s">
        <v>1427</v>
      </c>
    </row>
    <row r="4228" spans="1:6" ht="15.75" thickTop="1" x14ac:dyDescent="0.25">
      <c r="A4228" s="144"/>
      <c r="B4228" s="174" t="s">
        <v>2079</v>
      </c>
      <c r="C4228" s="342"/>
      <c r="D4228" s="146"/>
      <c r="E4228" s="280"/>
      <c r="F4228" s="280"/>
    </row>
    <row r="4229" spans="1:6" x14ac:dyDescent="0.25">
      <c r="A4229" s="144"/>
      <c r="B4229" s="146"/>
      <c r="C4229" s="342"/>
      <c r="D4229" s="146"/>
      <c r="E4229" s="281"/>
      <c r="F4229" s="281"/>
    </row>
    <row r="4230" spans="1:6" ht="90" thickBot="1" x14ac:dyDescent="0.3">
      <c r="A4230" s="176" t="s">
        <v>2078</v>
      </c>
      <c r="B4230" s="151" t="s">
        <v>2080</v>
      </c>
      <c r="C4230" s="343" t="s">
        <v>2077</v>
      </c>
      <c r="D4230" s="179">
        <v>2</v>
      </c>
      <c r="E4230" s="282">
        <v>39500</v>
      </c>
      <c r="F4230" s="282">
        <f>E4230*D4230</f>
        <v>79000</v>
      </c>
    </row>
    <row r="4231" spans="1:6" ht="25.5" x14ac:dyDescent="0.25">
      <c r="A4231" s="435"/>
      <c r="B4231" s="147" t="s">
        <v>2081</v>
      </c>
      <c r="C4231" s="490"/>
      <c r="D4231" s="435"/>
      <c r="E4231" s="558" t="s">
        <v>1932</v>
      </c>
      <c r="F4231" s="443">
        <f>SUM(F4222,F4230)</f>
        <v>98750</v>
      </c>
    </row>
    <row r="4232" spans="1:6" ht="15.75" thickBot="1" x14ac:dyDescent="0.3">
      <c r="A4232" s="436"/>
      <c r="B4232" s="177" t="s">
        <v>2082</v>
      </c>
      <c r="C4232" s="491"/>
      <c r="D4232" s="436"/>
      <c r="E4232" s="559"/>
      <c r="F4232" s="444"/>
    </row>
    <row r="4233" spans="1:6" ht="31.5" x14ac:dyDescent="0.25">
      <c r="A4233" s="435"/>
      <c r="B4233" s="137" t="s">
        <v>1893</v>
      </c>
      <c r="C4233" s="473" t="s">
        <v>1895</v>
      </c>
      <c r="D4233" s="474"/>
      <c r="E4233" s="474"/>
      <c r="F4233" s="475"/>
    </row>
    <row r="4234" spans="1:6" x14ac:dyDescent="0.25">
      <c r="A4234" s="469"/>
      <c r="B4234" s="138"/>
      <c r="C4234" s="476" t="s">
        <v>1896</v>
      </c>
      <c r="D4234" s="477"/>
      <c r="E4234" s="477"/>
      <c r="F4234" s="478"/>
    </row>
    <row r="4235" spans="1:6" ht="21.75" thickBot="1" x14ac:dyDescent="0.3">
      <c r="A4235" s="469"/>
      <c r="B4235" s="139" t="s">
        <v>2219</v>
      </c>
      <c r="C4235" s="494" t="s">
        <v>1897</v>
      </c>
      <c r="D4235" s="495"/>
      <c r="E4235" s="495"/>
      <c r="F4235" s="496"/>
    </row>
    <row r="4236" spans="1:6" ht="15.75" thickBot="1" x14ac:dyDescent="0.3">
      <c r="A4236" s="470"/>
      <c r="B4236" s="140"/>
      <c r="C4236" s="497" t="s">
        <v>1898</v>
      </c>
      <c r="D4236" s="498"/>
      <c r="E4236" s="498"/>
      <c r="F4236" s="499"/>
    </row>
    <row r="4237" spans="1:6" ht="16.5" thickTop="1" thickBot="1" x14ac:dyDescent="0.3">
      <c r="A4237" s="156" t="s">
        <v>1899</v>
      </c>
      <c r="B4237" s="310" t="s">
        <v>1</v>
      </c>
      <c r="C4237" s="341" t="s">
        <v>3</v>
      </c>
      <c r="D4237" s="142" t="s">
        <v>2</v>
      </c>
      <c r="E4237" s="278" t="s">
        <v>1900</v>
      </c>
      <c r="F4237" s="290" t="s">
        <v>1427</v>
      </c>
    </row>
    <row r="4238" spans="1:6" ht="15.75" thickTop="1" x14ac:dyDescent="0.25">
      <c r="A4238" s="164" t="s">
        <v>2083</v>
      </c>
      <c r="B4238" s="147" t="s">
        <v>2084</v>
      </c>
      <c r="C4238" s="345"/>
      <c r="D4238" s="501"/>
      <c r="E4238" s="502"/>
      <c r="F4238" s="502"/>
    </row>
    <row r="4239" spans="1:6" ht="76.5" x14ac:dyDescent="0.25">
      <c r="A4239" s="149"/>
      <c r="B4239" s="150" t="s">
        <v>1979</v>
      </c>
      <c r="C4239" s="342" t="s">
        <v>48</v>
      </c>
      <c r="D4239" s="469"/>
      <c r="E4239" s="503"/>
      <c r="F4239" s="503"/>
    </row>
    <row r="4240" spans="1:6" ht="63.75" x14ac:dyDescent="0.25">
      <c r="A4240" s="149"/>
      <c r="B4240" s="150" t="s">
        <v>2085</v>
      </c>
      <c r="C4240" s="342" t="s">
        <v>48</v>
      </c>
      <c r="D4240" s="469"/>
      <c r="E4240" s="503"/>
      <c r="F4240" s="503"/>
    </row>
    <row r="4241" spans="1:6" x14ac:dyDescent="0.25">
      <c r="A4241" s="469"/>
      <c r="B4241" s="146"/>
      <c r="C4241" s="342"/>
      <c r="D4241" s="469"/>
      <c r="E4241" s="503"/>
      <c r="F4241" s="503"/>
    </row>
    <row r="4242" spans="1:6" ht="114.75" x14ac:dyDescent="0.25">
      <c r="A4242" s="469"/>
      <c r="B4242" s="150" t="s">
        <v>2086</v>
      </c>
      <c r="C4242" s="342" t="s">
        <v>48</v>
      </c>
      <c r="D4242" s="469"/>
      <c r="E4242" s="503"/>
      <c r="F4242" s="503"/>
    </row>
    <row r="4243" spans="1:6" x14ac:dyDescent="0.25">
      <c r="A4243" s="469"/>
      <c r="B4243" s="146"/>
      <c r="C4243" s="342"/>
      <c r="D4243" s="469"/>
      <c r="E4243" s="503"/>
      <c r="F4243" s="503"/>
    </row>
    <row r="4244" spans="1:6" ht="51" x14ac:dyDescent="0.25">
      <c r="A4244" s="469"/>
      <c r="B4244" s="150" t="s">
        <v>2087</v>
      </c>
      <c r="C4244" s="342" t="s">
        <v>48</v>
      </c>
      <c r="D4244" s="469"/>
      <c r="E4244" s="503"/>
      <c r="F4244" s="503"/>
    </row>
    <row r="4245" spans="1:6" ht="25.5" x14ac:dyDescent="0.25">
      <c r="A4245" s="149"/>
      <c r="B4245" s="146" t="s">
        <v>2088</v>
      </c>
      <c r="C4245" s="342" t="s">
        <v>48</v>
      </c>
      <c r="D4245" s="469"/>
      <c r="E4245" s="503"/>
      <c r="F4245" s="503"/>
    </row>
    <row r="4246" spans="1:6" ht="76.5" x14ac:dyDescent="0.25">
      <c r="A4246" s="149"/>
      <c r="B4246" s="150" t="s">
        <v>2089</v>
      </c>
      <c r="C4246" s="342" t="s">
        <v>48</v>
      </c>
      <c r="D4246" s="469"/>
      <c r="E4246" s="503"/>
      <c r="F4246" s="503"/>
    </row>
    <row r="4247" spans="1:6" ht="39" thickBot="1" x14ac:dyDescent="0.3">
      <c r="A4247" s="154"/>
      <c r="B4247" s="151" t="s">
        <v>2090</v>
      </c>
      <c r="C4247" s="343" t="s">
        <v>48</v>
      </c>
      <c r="D4247" s="436"/>
      <c r="E4247" s="444"/>
      <c r="F4247" s="444"/>
    </row>
    <row r="4248" spans="1:6" ht="31.5" x14ac:dyDescent="0.25">
      <c r="A4248" s="435"/>
      <c r="B4248" s="137" t="s">
        <v>1893</v>
      </c>
      <c r="C4248" s="473" t="s">
        <v>1895</v>
      </c>
      <c r="D4248" s="474"/>
      <c r="E4248" s="474"/>
      <c r="F4248" s="475"/>
    </row>
    <row r="4249" spans="1:6" x14ac:dyDescent="0.25">
      <c r="A4249" s="469"/>
      <c r="B4249" s="138"/>
      <c r="C4249" s="476" t="s">
        <v>1896</v>
      </c>
      <c r="D4249" s="477"/>
      <c r="E4249" s="477"/>
      <c r="F4249" s="478"/>
    </row>
    <row r="4250" spans="1:6" ht="21.75" thickBot="1" x14ac:dyDescent="0.3">
      <c r="A4250" s="469"/>
      <c r="B4250" s="139" t="s">
        <v>2219</v>
      </c>
      <c r="C4250" s="494" t="s">
        <v>1897</v>
      </c>
      <c r="D4250" s="495"/>
      <c r="E4250" s="495"/>
      <c r="F4250" s="496"/>
    </row>
    <row r="4251" spans="1:6" ht="15.75" thickBot="1" x14ac:dyDescent="0.3">
      <c r="A4251" s="470"/>
      <c r="B4251" s="140"/>
      <c r="C4251" s="497" t="s">
        <v>1898</v>
      </c>
      <c r="D4251" s="498"/>
      <c r="E4251" s="498"/>
      <c r="F4251" s="499"/>
    </row>
    <row r="4252" spans="1:6" ht="16.5" thickTop="1" thickBot="1" x14ac:dyDescent="0.3">
      <c r="A4252" s="141" t="s">
        <v>1899</v>
      </c>
      <c r="B4252" s="310" t="s">
        <v>1</v>
      </c>
      <c r="C4252" s="341" t="s">
        <v>3</v>
      </c>
      <c r="D4252" s="142" t="s">
        <v>2</v>
      </c>
      <c r="E4252" s="278" t="s">
        <v>1900</v>
      </c>
      <c r="F4252" s="290" t="s">
        <v>1427</v>
      </c>
    </row>
    <row r="4253" spans="1:6" ht="26.25" thickTop="1" x14ac:dyDescent="0.25">
      <c r="A4253" s="501"/>
      <c r="B4253" s="146" t="s">
        <v>2091</v>
      </c>
      <c r="C4253" s="342" t="s">
        <v>48</v>
      </c>
      <c r="D4253" s="501"/>
      <c r="E4253" s="502"/>
      <c r="F4253" s="502"/>
    </row>
    <row r="4254" spans="1:6" ht="38.25" x14ac:dyDescent="0.25">
      <c r="A4254" s="469"/>
      <c r="B4254" s="150" t="s">
        <v>2092</v>
      </c>
      <c r="C4254" s="342" t="s">
        <v>48</v>
      </c>
      <c r="D4254" s="469"/>
      <c r="E4254" s="503"/>
      <c r="F4254" s="503"/>
    </row>
    <row r="4255" spans="1:6" ht="25.5" x14ac:dyDescent="0.25">
      <c r="A4255" s="469"/>
      <c r="B4255" s="146" t="s">
        <v>2093</v>
      </c>
      <c r="C4255" s="342" t="s">
        <v>48</v>
      </c>
      <c r="D4255" s="469"/>
      <c r="E4255" s="503"/>
      <c r="F4255" s="503"/>
    </row>
    <row r="4256" spans="1:6" x14ac:dyDescent="0.25">
      <c r="A4256" s="469"/>
      <c r="B4256" s="146"/>
      <c r="C4256" s="342"/>
      <c r="D4256" s="469"/>
      <c r="E4256" s="503"/>
      <c r="F4256" s="503"/>
    </row>
    <row r="4257" spans="1:6" ht="76.5" x14ac:dyDescent="0.25">
      <c r="A4257" s="469"/>
      <c r="B4257" s="150" t="s">
        <v>2094</v>
      </c>
      <c r="C4257" s="342" t="s">
        <v>48</v>
      </c>
      <c r="D4257" s="469"/>
      <c r="E4257" s="503"/>
      <c r="F4257" s="503"/>
    </row>
    <row r="4258" spans="1:6" ht="76.5" x14ac:dyDescent="0.25">
      <c r="A4258" s="469"/>
      <c r="B4258" s="150" t="s">
        <v>2095</v>
      </c>
      <c r="C4258" s="342" t="s">
        <v>48</v>
      </c>
      <c r="D4258" s="469"/>
      <c r="E4258" s="503"/>
      <c r="F4258" s="503"/>
    </row>
    <row r="4259" spans="1:6" ht="38.25" x14ac:dyDescent="0.25">
      <c r="A4259" s="469"/>
      <c r="B4259" s="150" t="s">
        <v>2096</v>
      </c>
      <c r="C4259" s="342" t="s">
        <v>48</v>
      </c>
      <c r="D4259" s="469"/>
      <c r="E4259" s="503"/>
      <c r="F4259" s="503"/>
    </row>
    <row r="4260" spans="1:6" x14ac:dyDescent="0.25">
      <c r="A4260" s="469"/>
      <c r="B4260" s="146" t="s">
        <v>2097</v>
      </c>
      <c r="C4260" s="489"/>
      <c r="D4260" s="469"/>
      <c r="E4260" s="503"/>
      <c r="F4260" s="503"/>
    </row>
    <row r="4261" spans="1:6" x14ac:dyDescent="0.25">
      <c r="A4261" s="469"/>
      <c r="B4261" s="146" t="s">
        <v>2098</v>
      </c>
      <c r="C4261" s="489"/>
      <c r="D4261" s="469"/>
      <c r="E4261" s="503"/>
      <c r="F4261" s="503"/>
    </row>
    <row r="4262" spans="1:6" ht="25.5" x14ac:dyDescent="0.25">
      <c r="A4262" s="469"/>
      <c r="B4262" s="146" t="s">
        <v>2099</v>
      </c>
      <c r="C4262" s="345"/>
      <c r="D4262" s="469"/>
      <c r="E4262" s="503"/>
      <c r="F4262" s="503"/>
    </row>
    <row r="4263" spans="1:6" ht="115.5" thickBot="1" x14ac:dyDescent="0.3">
      <c r="A4263" s="436"/>
      <c r="B4263" s="151" t="s">
        <v>2100</v>
      </c>
      <c r="C4263" s="343" t="s">
        <v>48</v>
      </c>
      <c r="D4263" s="436"/>
      <c r="E4263" s="444"/>
      <c r="F4263" s="444"/>
    </row>
    <row r="4264" spans="1:6" ht="31.5" x14ac:dyDescent="0.25">
      <c r="A4264" s="435"/>
      <c r="B4264" s="137" t="s">
        <v>1893</v>
      </c>
      <c r="C4264" s="473" t="s">
        <v>1895</v>
      </c>
      <c r="D4264" s="474"/>
      <c r="E4264" s="474"/>
      <c r="F4264" s="475"/>
    </row>
    <row r="4265" spans="1:6" x14ac:dyDescent="0.25">
      <c r="A4265" s="469"/>
      <c r="B4265" s="138"/>
      <c r="C4265" s="476" t="s">
        <v>1896</v>
      </c>
      <c r="D4265" s="477"/>
      <c r="E4265" s="477"/>
      <c r="F4265" s="478"/>
    </row>
    <row r="4266" spans="1:6" ht="21.75" thickBot="1" x14ac:dyDescent="0.3">
      <c r="A4266" s="469"/>
      <c r="B4266" s="139" t="s">
        <v>2219</v>
      </c>
      <c r="C4266" s="494" t="s">
        <v>1897</v>
      </c>
      <c r="D4266" s="495"/>
      <c r="E4266" s="495"/>
      <c r="F4266" s="496"/>
    </row>
    <row r="4267" spans="1:6" ht="15.75" thickBot="1" x14ac:dyDescent="0.3">
      <c r="A4267" s="470"/>
      <c r="B4267" s="140"/>
      <c r="C4267" s="497" t="s">
        <v>1898</v>
      </c>
      <c r="D4267" s="498"/>
      <c r="E4267" s="498"/>
      <c r="F4267" s="499"/>
    </row>
    <row r="4268" spans="1:6" ht="16.5" thickTop="1" thickBot="1" x14ac:dyDescent="0.3">
      <c r="A4268" s="156" t="s">
        <v>1899</v>
      </c>
      <c r="B4268" s="310" t="s">
        <v>1</v>
      </c>
      <c r="C4268" s="341" t="s">
        <v>3</v>
      </c>
      <c r="D4268" s="142" t="s">
        <v>2</v>
      </c>
      <c r="E4268" s="278" t="s">
        <v>1900</v>
      </c>
      <c r="F4268" s="290" t="s">
        <v>1427</v>
      </c>
    </row>
    <row r="4269" spans="1:6" ht="90" thickTop="1" x14ac:dyDescent="0.25">
      <c r="A4269" s="149"/>
      <c r="B4269" s="150" t="s">
        <v>2101</v>
      </c>
      <c r="C4269" s="342" t="s">
        <v>48</v>
      </c>
      <c r="D4269" s="148"/>
      <c r="E4269" s="280"/>
      <c r="F4269" s="280"/>
    </row>
    <row r="4270" spans="1:6" x14ac:dyDescent="0.25">
      <c r="A4270" s="469"/>
      <c r="B4270" s="146"/>
      <c r="C4270" s="342"/>
      <c r="D4270" s="469"/>
      <c r="E4270" s="281"/>
      <c r="F4270" s="281"/>
    </row>
    <row r="4271" spans="1:6" ht="25.5" x14ac:dyDescent="0.25">
      <c r="A4271" s="469"/>
      <c r="B4271" s="146" t="s">
        <v>2102</v>
      </c>
      <c r="C4271" s="342" t="s">
        <v>48</v>
      </c>
      <c r="D4271" s="469"/>
      <c r="E4271" s="281"/>
      <c r="F4271" s="281"/>
    </row>
    <row r="4272" spans="1:6" ht="25.5" x14ac:dyDescent="0.25">
      <c r="A4272" s="149"/>
      <c r="B4272" s="146" t="s">
        <v>2103</v>
      </c>
      <c r="C4272" s="342" t="s">
        <v>48</v>
      </c>
      <c r="D4272" s="148"/>
      <c r="E4272" s="281"/>
      <c r="F4272" s="281"/>
    </row>
    <row r="4273" spans="1:6" x14ac:dyDescent="0.25">
      <c r="A4273" s="469"/>
      <c r="B4273" s="146"/>
      <c r="C4273" s="342"/>
      <c r="D4273" s="469"/>
      <c r="E4273" s="281"/>
      <c r="F4273" s="281"/>
    </row>
    <row r="4274" spans="1:6" ht="38.25" x14ac:dyDescent="0.25">
      <c r="A4274" s="469"/>
      <c r="B4274" s="150" t="s">
        <v>2104</v>
      </c>
      <c r="C4274" s="342" t="s">
        <v>48</v>
      </c>
      <c r="D4274" s="469"/>
      <c r="E4274" s="281"/>
      <c r="F4274" s="281"/>
    </row>
    <row r="4275" spans="1:6" x14ac:dyDescent="0.25">
      <c r="A4275" s="149"/>
      <c r="B4275" s="155" t="s">
        <v>2105</v>
      </c>
      <c r="C4275" s="345"/>
      <c r="D4275" s="148"/>
      <c r="E4275" s="281"/>
      <c r="F4275" s="281"/>
    </row>
    <row r="4276" spans="1:6" ht="89.25" x14ac:dyDescent="0.25">
      <c r="A4276" s="172" t="s">
        <v>2106</v>
      </c>
      <c r="B4276" s="150" t="s">
        <v>2107</v>
      </c>
      <c r="C4276" s="342" t="s">
        <v>668</v>
      </c>
      <c r="D4276" s="158">
        <v>1</v>
      </c>
      <c r="E4276" s="281">
        <v>145000</v>
      </c>
      <c r="F4276" s="281">
        <f>E4276*D4276</f>
        <v>145000</v>
      </c>
    </row>
    <row r="4277" spans="1:6" ht="90" thickBot="1" x14ac:dyDescent="0.3">
      <c r="A4277" s="176" t="s">
        <v>2108</v>
      </c>
      <c r="B4277" s="151" t="s">
        <v>2109</v>
      </c>
      <c r="C4277" s="343" t="s">
        <v>668</v>
      </c>
      <c r="D4277" s="160">
        <v>1</v>
      </c>
      <c r="E4277" s="282">
        <v>65000</v>
      </c>
      <c r="F4277" s="281">
        <f>E4277*D4277</f>
        <v>65000</v>
      </c>
    </row>
    <row r="4278" spans="1:6" ht="31.5" x14ac:dyDescent="0.25">
      <c r="A4278" s="435"/>
      <c r="B4278" s="137" t="s">
        <v>1893</v>
      </c>
      <c r="C4278" s="473" t="s">
        <v>1895</v>
      </c>
      <c r="D4278" s="474"/>
      <c r="E4278" s="474"/>
      <c r="F4278" s="475"/>
    </row>
    <row r="4279" spans="1:6" x14ac:dyDescent="0.25">
      <c r="A4279" s="469"/>
      <c r="B4279" s="138"/>
      <c r="C4279" s="476" t="s">
        <v>1896</v>
      </c>
      <c r="D4279" s="477"/>
      <c r="E4279" s="477"/>
      <c r="F4279" s="478"/>
    </row>
    <row r="4280" spans="1:6" ht="21.75" thickBot="1" x14ac:dyDescent="0.3">
      <c r="A4280" s="469"/>
      <c r="B4280" s="139" t="s">
        <v>2219</v>
      </c>
      <c r="C4280" s="494" t="s">
        <v>1897</v>
      </c>
      <c r="D4280" s="495"/>
      <c r="E4280" s="495"/>
      <c r="F4280" s="496"/>
    </row>
    <row r="4281" spans="1:6" ht="15.75" thickBot="1" x14ac:dyDescent="0.3">
      <c r="A4281" s="470"/>
      <c r="B4281" s="140"/>
      <c r="C4281" s="497" t="s">
        <v>1898</v>
      </c>
      <c r="D4281" s="498"/>
      <c r="E4281" s="498"/>
      <c r="F4281" s="499"/>
    </row>
    <row r="4282" spans="1:6" ht="16.5" thickTop="1" thickBot="1" x14ac:dyDescent="0.3">
      <c r="A4282" s="156" t="s">
        <v>1899</v>
      </c>
      <c r="B4282" s="310" t="s">
        <v>1</v>
      </c>
      <c r="C4282" s="341" t="s">
        <v>3</v>
      </c>
      <c r="D4282" s="142" t="s">
        <v>2</v>
      </c>
      <c r="E4282" s="278" t="s">
        <v>1900</v>
      </c>
      <c r="F4282" s="290" t="s">
        <v>1427</v>
      </c>
    </row>
    <row r="4283" spans="1:6" ht="15.75" thickTop="1" x14ac:dyDescent="0.25">
      <c r="A4283" s="144"/>
      <c r="B4283" s="155" t="s">
        <v>2113</v>
      </c>
      <c r="C4283" s="342"/>
      <c r="D4283" s="146"/>
      <c r="E4283" s="280"/>
      <c r="F4283" s="280"/>
    </row>
    <row r="4284" spans="1:6" ht="102" x14ac:dyDescent="0.25">
      <c r="A4284" s="172" t="s">
        <v>2110</v>
      </c>
      <c r="B4284" s="150" t="s">
        <v>2114</v>
      </c>
      <c r="C4284" s="342" t="s">
        <v>668</v>
      </c>
      <c r="D4284" s="158">
        <v>1</v>
      </c>
      <c r="E4284" s="281">
        <v>245000</v>
      </c>
      <c r="F4284" s="281">
        <f>E4284*D4284</f>
        <v>245000</v>
      </c>
    </row>
    <row r="4285" spans="1:6" x14ac:dyDescent="0.25">
      <c r="A4285" s="149"/>
      <c r="B4285" s="155" t="s">
        <v>2233</v>
      </c>
      <c r="C4285" s="345"/>
      <c r="D4285" s="148"/>
      <c r="E4285" s="281"/>
      <c r="F4285" s="281"/>
    </row>
    <row r="4286" spans="1:6" ht="89.25" x14ac:dyDescent="0.25">
      <c r="A4286" s="172" t="s">
        <v>2112</v>
      </c>
      <c r="B4286" s="150" t="s">
        <v>2234</v>
      </c>
      <c r="C4286" s="342" t="s">
        <v>668</v>
      </c>
      <c r="D4286" s="158">
        <v>1</v>
      </c>
      <c r="E4286" s="281">
        <v>38500</v>
      </c>
      <c r="F4286" s="281">
        <f>E4286*D4286</f>
        <v>38500</v>
      </c>
    </row>
    <row r="4287" spans="1:6" x14ac:dyDescent="0.25">
      <c r="A4287" s="469"/>
      <c r="B4287" s="146"/>
      <c r="C4287" s="489"/>
      <c r="D4287" s="469"/>
      <c r="E4287" s="281"/>
      <c r="F4287" s="281"/>
    </row>
    <row r="4288" spans="1:6" x14ac:dyDescent="0.25">
      <c r="A4288" s="469"/>
      <c r="B4288" s="155" t="s">
        <v>2235</v>
      </c>
      <c r="C4288" s="489"/>
      <c r="D4288" s="469"/>
      <c r="E4288" s="281"/>
      <c r="F4288" s="281"/>
    </row>
    <row r="4289" spans="1:6" ht="90" thickBot="1" x14ac:dyDescent="0.3">
      <c r="A4289" s="176" t="s">
        <v>2236</v>
      </c>
      <c r="B4289" s="151" t="s">
        <v>2237</v>
      </c>
      <c r="C4289" s="343" t="s">
        <v>668</v>
      </c>
      <c r="D4289" s="160">
        <v>1</v>
      </c>
      <c r="E4289" s="282">
        <v>165000</v>
      </c>
      <c r="F4289" s="281">
        <f>E4289*D4289</f>
        <v>165000</v>
      </c>
    </row>
    <row r="4290" spans="1:6" x14ac:dyDescent="0.25">
      <c r="A4290" s="435"/>
      <c r="B4290" s="147" t="s">
        <v>2115</v>
      </c>
      <c r="C4290" s="490"/>
      <c r="D4290" s="435"/>
      <c r="E4290" s="492" t="s">
        <v>1932</v>
      </c>
      <c r="F4290" s="443">
        <f>SUM(F4289,F4286,F4286,F4284,F4276:F4277)</f>
        <v>697000</v>
      </c>
    </row>
    <row r="4291" spans="1:6" ht="15.75" thickBot="1" x14ac:dyDescent="0.3">
      <c r="A4291" s="436"/>
      <c r="B4291" s="177" t="s">
        <v>2116</v>
      </c>
      <c r="C4291" s="491"/>
      <c r="D4291" s="436"/>
      <c r="E4291" s="493"/>
      <c r="F4291" s="444"/>
    </row>
    <row r="4292" spans="1:6" ht="31.5" x14ac:dyDescent="0.25">
      <c r="A4292" s="505"/>
      <c r="B4292" s="202" t="s">
        <v>1893</v>
      </c>
      <c r="C4292" s="508" t="s">
        <v>1895</v>
      </c>
      <c r="D4292" s="509"/>
      <c r="E4292" s="509"/>
      <c r="F4292" s="510"/>
    </row>
    <row r="4293" spans="1:6" x14ac:dyDescent="0.25">
      <c r="A4293" s="506"/>
      <c r="B4293" s="203"/>
      <c r="C4293" s="511" t="s">
        <v>1896</v>
      </c>
      <c r="D4293" s="512"/>
      <c r="E4293" s="512"/>
      <c r="F4293" s="513"/>
    </row>
    <row r="4294" spans="1:6" ht="21.75" thickBot="1" x14ac:dyDescent="0.3">
      <c r="A4294" s="506"/>
      <c r="B4294" s="204" t="s">
        <v>2219</v>
      </c>
      <c r="C4294" s="514" t="s">
        <v>1897</v>
      </c>
      <c r="D4294" s="515"/>
      <c r="E4294" s="515"/>
      <c r="F4294" s="516"/>
    </row>
    <row r="4295" spans="1:6" ht="15.75" thickBot="1" x14ac:dyDescent="0.3">
      <c r="A4295" s="507"/>
      <c r="B4295" s="140"/>
      <c r="C4295" s="517" t="s">
        <v>1898</v>
      </c>
      <c r="D4295" s="518"/>
      <c r="E4295" s="518"/>
      <c r="F4295" s="519"/>
    </row>
    <row r="4296" spans="1:6" ht="16.5" thickTop="1" thickBot="1" x14ac:dyDescent="0.3">
      <c r="A4296" s="233" t="s">
        <v>1899</v>
      </c>
      <c r="B4296" s="314" t="s">
        <v>1</v>
      </c>
      <c r="C4296" s="348" t="s">
        <v>3</v>
      </c>
      <c r="D4296" s="205" t="s">
        <v>2</v>
      </c>
      <c r="E4296" s="300" t="s">
        <v>1900</v>
      </c>
      <c r="F4296" s="300" t="s">
        <v>1427</v>
      </c>
    </row>
    <row r="4297" spans="1:6" ht="15.75" thickTop="1" x14ac:dyDescent="0.25">
      <c r="A4297" s="167"/>
      <c r="B4297" s="138"/>
      <c r="C4297" s="522"/>
      <c r="D4297" s="521"/>
      <c r="E4297" s="530"/>
      <c r="F4297" s="530"/>
    </row>
    <row r="4298" spans="1:6" x14ac:dyDescent="0.25">
      <c r="A4298" s="234" t="s">
        <v>2117</v>
      </c>
      <c r="B4298" s="206" t="s">
        <v>2118</v>
      </c>
      <c r="C4298" s="523"/>
      <c r="D4298" s="506"/>
      <c r="E4298" s="531"/>
      <c r="F4298" s="531"/>
    </row>
    <row r="4299" spans="1:6" x14ac:dyDescent="0.25">
      <c r="A4299" s="506"/>
      <c r="B4299" s="138"/>
      <c r="C4299" s="349"/>
      <c r="D4299" s="506"/>
      <c r="E4299" s="531"/>
      <c r="F4299" s="531"/>
    </row>
    <row r="4300" spans="1:6" ht="56.25" x14ac:dyDescent="0.25">
      <c r="A4300" s="506"/>
      <c r="B4300" s="207" t="s">
        <v>1979</v>
      </c>
      <c r="C4300" s="349" t="s">
        <v>48</v>
      </c>
      <c r="D4300" s="506"/>
      <c r="E4300" s="531"/>
      <c r="F4300" s="531"/>
    </row>
    <row r="4301" spans="1:6" ht="33.75" x14ac:dyDescent="0.25">
      <c r="A4301" s="230"/>
      <c r="B4301" s="207" t="s">
        <v>2119</v>
      </c>
      <c r="C4301" s="349" t="s">
        <v>48</v>
      </c>
      <c r="D4301" s="506"/>
      <c r="E4301" s="531"/>
      <c r="F4301" s="531"/>
    </row>
    <row r="4302" spans="1:6" ht="90" x14ac:dyDescent="0.25">
      <c r="A4302" s="230"/>
      <c r="B4302" s="207" t="s">
        <v>2120</v>
      </c>
      <c r="C4302" s="349" t="s">
        <v>48</v>
      </c>
      <c r="D4302" s="506"/>
      <c r="E4302" s="531"/>
      <c r="F4302" s="531"/>
    </row>
    <row r="4303" spans="1:6" ht="45" x14ac:dyDescent="0.25">
      <c r="A4303" s="230"/>
      <c r="B4303" s="207" t="s">
        <v>2121</v>
      </c>
      <c r="C4303" s="349" t="s">
        <v>48</v>
      </c>
      <c r="D4303" s="506"/>
      <c r="E4303" s="531"/>
      <c r="F4303" s="531"/>
    </row>
    <row r="4304" spans="1:6" ht="33.75" x14ac:dyDescent="0.25">
      <c r="A4304" s="230"/>
      <c r="B4304" s="207" t="s">
        <v>2122</v>
      </c>
      <c r="C4304" s="349" t="s">
        <v>48</v>
      </c>
      <c r="D4304" s="506"/>
      <c r="E4304" s="531"/>
      <c r="F4304" s="531"/>
    </row>
    <row r="4305" spans="1:6" x14ac:dyDescent="0.25">
      <c r="A4305" s="506"/>
      <c r="B4305" s="138"/>
      <c r="C4305" s="349"/>
      <c r="D4305" s="506"/>
      <c r="E4305" s="531"/>
      <c r="F4305" s="531"/>
    </row>
    <row r="4306" spans="1:6" ht="33.75" x14ac:dyDescent="0.25">
      <c r="A4306" s="506"/>
      <c r="B4306" s="207" t="s">
        <v>2045</v>
      </c>
      <c r="C4306" s="349" t="s">
        <v>48</v>
      </c>
      <c r="D4306" s="506"/>
      <c r="E4306" s="531"/>
      <c r="F4306" s="531"/>
    </row>
    <row r="4307" spans="1:6" ht="33.75" x14ac:dyDescent="0.25">
      <c r="A4307" s="230"/>
      <c r="B4307" s="207" t="s">
        <v>2123</v>
      </c>
      <c r="C4307" s="349" t="s">
        <v>48</v>
      </c>
      <c r="D4307" s="506"/>
      <c r="E4307" s="531"/>
      <c r="F4307" s="531"/>
    </row>
    <row r="4308" spans="1:6" ht="34.5" thickBot="1" x14ac:dyDescent="0.3">
      <c r="A4308" s="208"/>
      <c r="B4308" s="209" t="s">
        <v>2124</v>
      </c>
      <c r="C4308" s="350" t="s">
        <v>48</v>
      </c>
      <c r="D4308" s="529"/>
      <c r="E4308" s="532"/>
      <c r="F4308" s="532"/>
    </row>
    <row r="4309" spans="1:6" ht="31.5" x14ac:dyDescent="0.25">
      <c r="A4309" s="505"/>
      <c r="B4309" s="202" t="s">
        <v>1893</v>
      </c>
      <c r="C4309" s="508" t="s">
        <v>1895</v>
      </c>
      <c r="D4309" s="509"/>
      <c r="E4309" s="509"/>
      <c r="F4309" s="510"/>
    </row>
    <row r="4310" spans="1:6" x14ac:dyDescent="0.25">
      <c r="A4310" s="506"/>
      <c r="B4310" s="203"/>
      <c r="C4310" s="511" t="s">
        <v>1896</v>
      </c>
      <c r="D4310" s="512"/>
      <c r="E4310" s="512"/>
      <c r="F4310" s="513"/>
    </row>
    <row r="4311" spans="1:6" ht="21.75" thickBot="1" x14ac:dyDescent="0.3">
      <c r="A4311" s="506"/>
      <c r="B4311" s="204" t="s">
        <v>2219</v>
      </c>
      <c r="C4311" s="514" t="s">
        <v>1897</v>
      </c>
      <c r="D4311" s="515"/>
      <c r="E4311" s="515"/>
      <c r="F4311" s="516"/>
    </row>
    <row r="4312" spans="1:6" ht="15.75" thickBot="1" x14ac:dyDescent="0.3">
      <c r="A4312" s="507"/>
      <c r="B4312" s="140"/>
      <c r="C4312" s="517" t="s">
        <v>1898</v>
      </c>
      <c r="D4312" s="518"/>
      <c r="E4312" s="518"/>
      <c r="F4312" s="519"/>
    </row>
    <row r="4313" spans="1:6" ht="16.5" thickTop="1" thickBot="1" x14ac:dyDescent="0.3">
      <c r="A4313" s="235" t="s">
        <v>1899</v>
      </c>
      <c r="B4313" s="314" t="s">
        <v>1</v>
      </c>
      <c r="C4313" s="348" t="s">
        <v>3</v>
      </c>
      <c r="D4313" s="205" t="s">
        <v>2</v>
      </c>
      <c r="E4313" s="300" t="s">
        <v>1900</v>
      </c>
      <c r="F4313" s="300" t="s">
        <v>1427</v>
      </c>
    </row>
    <row r="4314" spans="1:6" ht="23.25" thickTop="1" x14ac:dyDescent="0.25">
      <c r="A4314" s="521"/>
      <c r="B4314" s="138" t="s">
        <v>2125</v>
      </c>
      <c r="C4314" s="349" t="s">
        <v>48</v>
      </c>
      <c r="D4314" s="521"/>
      <c r="E4314" s="530"/>
      <c r="F4314" s="530"/>
    </row>
    <row r="4315" spans="1:6" ht="22.5" x14ac:dyDescent="0.25">
      <c r="A4315" s="506"/>
      <c r="B4315" s="138" t="s">
        <v>2126</v>
      </c>
      <c r="C4315" s="349" t="s">
        <v>48</v>
      </c>
      <c r="D4315" s="506"/>
      <c r="E4315" s="531"/>
      <c r="F4315" s="531"/>
    </row>
    <row r="4316" spans="1:6" ht="33.75" x14ac:dyDescent="0.25">
      <c r="A4316" s="506"/>
      <c r="B4316" s="207" t="s">
        <v>2127</v>
      </c>
      <c r="C4316" s="349" t="s">
        <v>48</v>
      </c>
      <c r="D4316" s="506"/>
      <c r="E4316" s="531"/>
      <c r="F4316" s="531"/>
    </row>
    <row r="4317" spans="1:6" ht="33.75" x14ac:dyDescent="0.25">
      <c r="A4317" s="506"/>
      <c r="B4317" s="207" t="s">
        <v>2128</v>
      </c>
      <c r="C4317" s="349" t="s">
        <v>48</v>
      </c>
      <c r="D4317" s="506"/>
      <c r="E4317" s="531"/>
      <c r="F4317" s="531"/>
    </row>
    <row r="4318" spans="1:6" ht="45" x14ac:dyDescent="0.25">
      <c r="A4318" s="506"/>
      <c r="B4318" s="207" t="s">
        <v>2129</v>
      </c>
      <c r="C4318" s="349" t="s">
        <v>48</v>
      </c>
      <c r="D4318" s="506"/>
      <c r="E4318" s="531"/>
      <c r="F4318" s="531"/>
    </row>
    <row r="4319" spans="1:6" ht="33.75" x14ac:dyDescent="0.25">
      <c r="A4319" s="506"/>
      <c r="B4319" s="207" t="s">
        <v>2130</v>
      </c>
      <c r="C4319" s="349" t="s">
        <v>48</v>
      </c>
      <c r="D4319" s="506"/>
      <c r="E4319" s="531"/>
      <c r="F4319" s="531"/>
    </row>
    <row r="4320" spans="1:6" ht="67.5" x14ac:dyDescent="0.25">
      <c r="A4320" s="506"/>
      <c r="B4320" s="207" t="s">
        <v>2131</v>
      </c>
      <c r="C4320" s="349" t="s">
        <v>48</v>
      </c>
      <c r="D4320" s="506"/>
      <c r="E4320" s="531"/>
      <c r="F4320" s="531"/>
    </row>
    <row r="4321" spans="1:6" ht="56.25" x14ac:dyDescent="0.25">
      <c r="A4321" s="506"/>
      <c r="B4321" s="207" t="s">
        <v>2132</v>
      </c>
      <c r="C4321" s="349" t="s">
        <v>48</v>
      </c>
      <c r="D4321" s="506"/>
      <c r="E4321" s="531"/>
      <c r="F4321" s="531"/>
    </row>
    <row r="4322" spans="1:6" x14ac:dyDescent="0.25">
      <c r="A4322" s="506"/>
      <c r="B4322" s="138"/>
      <c r="C4322" s="349"/>
      <c r="D4322" s="506"/>
      <c r="E4322" s="531"/>
      <c r="F4322" s="531"/>
    </row>
    <row r="4323" spans="1:6" ht="22.5" x14ac:dyDescent="0.25">
      <c r="A4323" s="506"/>
      <c r="B4323" s="138" t="s">
        <v>2133</v>
      </c>
      <c r="C4323" s="349" t="s">
        <v>48</v>
      </c>
      <c r="D4323" s="506"/>
      <c r="E4323" s="531"/>
      <c r="F4323" s="531"/>
    </row>
    <row r="4324" spans="1:6" ht="57" thickBot="1" x14ac:dyDescent="0.3">
      <c r="A4324" s="529"/>
      <c r="B4324" s="209" t="s">
        <v>2134</v>
      </c>
      <c r="C4324" s="350" t="s">
        <v>48</v>
      </c>
      <c r="D4324" s="529"/>
      <c r="E4324" s="532"/>
      <c r="F4324" s="532"/>
    </row>
    <row r="4325" spans="1:6" ht="31.5" x14ac:dyDescent="0.25">
      <c r="A4325" s="505"/>
      <c r="B4325" s="202" t="s">
        <v>1893</v>
      </c>
      <c r="C4325" s="508" t="s">
        <v>1895</v>
      </c>
      <c r="D4325" s="509"/>
      <c r="E4325" s="509"/>
      <c r="F4325" s="510"/>
    </row>
    <row r="4326" spans="1:6" x14ac:dyDescent="0.25">
      <c r="A4326" s="506"/>
      <c r="B4326" s="203"/>
      <c r="C4326" s="511" t="s">
        <v>1896</v>
      </c>
      <c r="D4326" s="512"/>
      <c r="E4326" s="512"/>
      <c r="F4326" s="513"/>
    </row>
    <row r="4327" spans="1:6" ht="21.75" thickBot="1" x14ac:dyDescent="0.3">
      <c r="A4327" s="506"/>
      <c r="B4327" s="204" t="s">
        <v>2219</v>
      </c>
      <c r="C4327" s="514" t="s">
        <v>1897</v>
      </c>
      <c r="D4327" s="515"/>
      <c r="E4327" s="515"/>
      <c r="F4327" s="516"/>
    </row>
    <row r="4328" spans="1:6" ht="15.75" thickBot="1" x14ac:dyDescent="0.3">
      <c r="A4328" s="507"/>
      <c r="B4328" s="140"/>
      <c r="C4328" s="517" t="s">
        <v>1898</v>
      </c>
      <c r="D4328" s="518"/>
      <c r="E4328" s="518"/>
      <c r="F4328" s="519"/>
    </row>
    <row r="4329" spans="1:6" ht="16.5" thickTop="1" thickBot="1" x14ac:dyDescent="0.3">
      <c r="A4329" s="233" t="s">
        <v>1899</v>
      </c>
      <c r="B4329" s="314" t="s">
        <v>1</v>
      </c>
      <c r="C4329" s="348" t="s">
        <v>3</v>
      </c>
      <c r="D4329" s="205" t="s">
        <v>2</v>
      </c>
      <c r="E4329" s="300" t="s">
        <v>1900</v>
      </c>
      <c r="F4329" s="300" t="s">
        <v>1427</v>
      </c>
    </row>
    <row r="4330" spans="1:6" ht="15.75" thickTop="1" x14ac:dyDescent="0.25">
      <c r="A4330" s="521"/>
      <c r="B4330" s="138" t="s">
        <v>2135</v>
      </c>
      <c r="C4330" s="526" t="s">
        <v>48</v>
      </c>
      <c r="D4330" s="521"/>
      <c r="E4330" s="301"/>
      <c r="F4330" s="301"/>
    </row>
    <row r="4331" spans="1:6" x14ac:dyDescent="0.25">
      <c r="A4331" s="506"/>
      <c r="B4331" s="138" t="s">
        <v>2136</v>
      </c>
      <c r="C4331" s="520"/>
      <c r="D4331" s="506"/>
      <c r="E4331" s="302"/>
      <c r="F4331" s="302"/>
    </row>
    <row r="4332" spans="1:6" ht="45" x14ac:dyDescent="0.25">
      <c r="A4332" s="230"/>
      <c r="B4332" s="207" t="s">
        <v>2137</v>
      </c>
      <c r="C4332" s="349" t="s">
        <v>48</v>
      </c>
      <c r="D4332" s="203"/>
      <c r="E4332" s="302"/>
      <c r="F4332" s="302"/>
    </row>
    <row r="4333" spans="1:6" ht="56.25" x14ac:dyDescent="0.25">
      <c r="A4333" s="230"/>
      <c r="B4333" s="207" t="s">
        <v>2138</v>
      </c>
      <c r="C4333" s="349" t="s">
        <v>48</v>
      </c>
      <c r="D4333" s="203"/>
      <c r="E4333" s="302"/>
      <c r="F4333" s="302"/>
    </row>
    <row r="4334" spans="1:6" ht="22.5" x14ac:dyDescent="0.25">
      <c r="A4334" s="230"/>
      <c r="B4334" s="138" t="s">
        <v>2139</v>
      </c>
      <c r="C4334" s="349" t="s">
        <v>48</v>
      </c>
      <c r="D4334" s="203"/>
      <c r="E4334" s="302"/>
      <c r="F4334" s="302"/>
    </row>
    <row r="4335" spans="1:6" ht="33.75" x14ac:dyDescent="0.25">
      <c r="A4335" s="230"/>
      <c r="B4335" s="207" t="s">
        <v>1951</v>
      </c>
      <c r="C4335" s="349" t="s">
        <v>48</v>
      </c>
      <c r="D4335" s="203"/>
      <c r="E4335" s="302"/>
      <c r="F4335" s="302"/>
    </row>
    <row r="4336" spans="1:6" x14ac:dyDescent="0.25">
      <c r="A4336" s="230"/>
      <c r="B4336" s="206" t="s">
        <v>2140</v>
      </c>
      <c r="C4336" s="358"/>
      <c r="D4336" s="203"/>
      <c r="E4336" s="302"/>
      <c r="F4336" s="302"/>
    </row>
    <row r="4337" spans="1:6" x14ac:dyDescent="0.25">
      <c r="A4337" s="230"/>
      <c r="B4337" s="206" t="s">
        <v>2141</v>
      </c>
      <c r="C4337" s="358"/>
      <c r="D4337" s="203"/>
      <c r="E4337" s="302"/>
      <c r="F4337" s="302"/>
    </row>
    <row r="4338" spans="1:6" ht="90" x14ac:dyDescent="0.25">
      <c r="A4338" s="157" t="s">
        <v>2142</v>
      </c>
      <c r="B4338" s="207" t="s">
        <v>2143</v>
      </c>
      <c r="C4338" s="349" t="s">
        <v>1958</v>
      </c>
      <c r="D4338" s="210">
        <v>215</v>
      </c>
      <c r="E4338" s="302">
        <v>850</v>
      </c>
      <c r="F4338" s="302">
        <f>E4338*D4338</f>
        <v>182750</v>
      </c>
    </row>
    <row r="4339" spans="1:6" x14ac:dyDescent="0.25">
      <c r="A4339" s="167"/>
      <c r="B4339" s="138"/>
      <c r="C4339" s="349"/>
      <c r="D4339" s="138"/>
      <c r="E4339" s="302"/>
      <c r="F4339" s="302"/>
    </row>
    <row r="4340" spans="1:6" ht="67.5" x14ac:dyDescent="0.25">
      <c r="A4340" s="157" t="s">
        <v>2144</v>
      </c>
      <c r="B4340" s="138" t="s">
        <v>2145</v>
      </c>
      <c r="C4340" s="349" t="s">
        <v>1958</v>
      </c>
      <c r="D4340" s="210">
        <v>70</v>
      </c>
      <c r="E4340" s="302">
        <v>750</v>
      </c>
      <c r="F4340" s="302">
        <f>E4340*D4340</f>
        <v>52500</v>
      </c>
    </row>
    <row r="4341" spans="1:6" ht="15.75" thickBot="1" x14ac:dyDescent="0.3">
      <c r="A4341" s="236"/>
      <c r="B4341" s="211" t="s">
        <v>2146</v>
      </c>
      <c r="C4341" s="362"/>
      <c r="D4341" s="178"/>
      <c r="E4341" s="303"/>
      <c r="F4341" s="303"/>
    </row>
    <row r="4342" spans="1:6" ht="31.5" x14ac:dyDescent="0.25">
      <c r="A4342" s="505"/>
      <c r="B4342" s="202" t="s">
        <v>1893</v>
      </c>
      <c r="C4342" s="508" t="s">
        <v>1895</v>
      </c>
      <c r="D4342" s="509"/>
      <c r="E4342" s="509"/>
      <c r="F4342" s="510"/>
    </row>
    <row r="4343" spans="1:6" x14ac:dyDescent="0.25">
      <c r="A4343" s="506"/>
      <c r="B4343" s="203"/>
      <c r="C4343" s="511" t="s">
        <v>1896</v>
      </c>
      <c r="D4343" s="512"/>
      <c r="E4343" s="512"/>
      <c r="F4343" s="513"/>
    </row>
    <row r="4344" spans="1:6" ht="21.75" thickBot="1" x14ac:dyDescent="0.3">
      <c r="A4344" s="506"/>
      <c r="B4344" s="204" t="s">
        <v>2219</v>
      </c>
      <c r="C4344" s="514" t="s">
        <v>1897</v>
      </c>
      <c r="D4344" s="515"/>
      <c r="E4344" s="515"/>
      <c r="F4344" s="516"/>
    </row>
    <row r="4345" spans="1:6" ht="15.75" thickBot="1" x14ac:dyDescent="0.3">
      <c r="A4345" s="507"/>
      <c r="B4345" s="140"/>
      <c r="C4345" s="517" t="s">
        <v>1898</v>
      </c>
      <c r="D4345" s="518"/>
      <c r="E4345" s="518"/>
      <c r="F4345" s="519"/>
    </row>
    <row r="4346" spans="1:6" ht="16.5" thickTop="1" thickBot="1" x14ac:dyDescent="0.3">
      <c r="A4346" s="233" t="s">
        <v>1899</v>
      </c>
      <c r="B4346" s="314" t="s">
        <v>1</v>
      </c>
      <c r="C4346" s="348" t="s">
        <v>3</v>
      </c>
      <c r="D4346" s="205" t="s">
        <v>2</v>
      </c>
      <c r="E4346" s="300" t="s">
        <v>1900</v>
      </c>
      <c r="F4346" s="300" t="s">
        <v>1427</v>
      </c>
    </row>
    <row r="4347" spans="1:6" ht="34.5" thickTop="1" x14ac:dyDescent="0.25">
      <c r="A4347" s="524" t="s">
        <v>2147</v>
      </c>
      <c r="B4347" s="207" t="s">
        <v>2148</v>
      </c>
      <c r="C4347" s="526" t="s">
        <v>1958</v>
      </c>
      <c r="D4347" s="527">
        <v>30</v>
      </c>
      <c r="E4347" s="667">
        <v>750</v>
      </c>
      <c r="F4347" s="667">
        <f>E4347*D4347</f>
        <v>22500</v>
      </c>
    </row>
    <row r="4348" spans="1:6" ht="56.25" x14ac:dyDescent="0.25">
      <c r="A4348" s="525"/>
      <c r="B4348" s="207" t="s">
        <v>2149</v>
      </c>
      <c r="C4348" s="520"/>
      <c r="D4348" s="528"/>
      <c r="E4348" s="668"/>
      <c r="F4348" s="668"/>
    </row>
    <row r="4349" spans="1:6" x14ac:dyDescent="0.25">
      <c r="A4349" s="167"/>
      <c r="B4349" s="138"/>
      <c r="C4349" s="349"/>
      <c r="D4349" s="138"/>
      <c r="E4349" s="302"/>
      <c r="F4349" s="302"/>
    </row>
    <row r="4350" spans="1:6" ht="101.25" x14ac:dyDescent="0.25">
      <c r="A4350" s="157" t="s">
        <v>2150</v>
      </c>
      <c r="B4350" s="207" t="s">
        <v>2151</v>
      </c>
      <c r="C4350" s="349" t="s">
        <v>1958</v>
      </c>
      <c r="D4350" s="210">
        <v>15</v>
      </c>
      <c r="E4350" s="302">
        <v>1350</v>
      </c>
      <c r="F4350" s="302">
        <f>E4350*D4350</f>
        <v>20250</v>
      </c>
    </row>
    <row r="4351" spans="1:6" x14ac:dyDescent="0.25">
      <c r="A4351" s="506"/>
      <c r="B4351" s="138"/>
      <c r="C4351" s="523"/>
      <c r="D4351" s="506"/>
      <c r="E4351" s="302"/>
      <c r="F4351" s="302"/>
    </row>
    <row r="4352" spans="1:6" x14ac:dyDescent="0.25">
      <c r="A4352" s="506"/>
      <c r="B4352" s="206" t="s">
        <v>2152</v>
      </c>
      <c r="C4352" s="523"/>
      <c r="D4352" s="506"/>
      <c r="E4352" s="302"/>
      <c r="F4352" s="302"/>
    </row>
    <row r="4353" spans="1:6" ht="56.25" x14ac:dyDescent="0.25">
      <c r="A4353" s="230"/>
      <c r="B4353" s="207" t="s">
        <v>2153</v>
      </c>
      <c r="C4353" s="349" t="s">
        <v>48</v>
      </c>
      <c r="D4353" s="203"/>
      <c r="E4353" s="302"/>
      <c r="F4353" s="302"/>
    </row>
    <row r="4354" spans="1:6" x14ac:dyDescent="0.25">
      <c r="A4354" s="506"/>
      <c r="B4354" s="138"/>
      <c r="C4354" s="349"/>
      <c r="D4354" s="506"/>
      <c r="E4354" s="302"/>
      <c r="F4354" s="302"/>
    </row>
    <row r="4355" spans="1:6" ht="22.5" x14ac:dyDescent="0.25">
      <c r="A4355" s="506"/>
      <c r="B4355" s="138" t="s">
        <v>2154</v>
      </c>
      <c r="C4355" s="349" t="s">
        <v>48</v>
      </c>
      <c r="D4355" s="506"/>
      <c r="E4355" s="302"/>
      <c r="F4355" s="302"/>
    </row>
    <row r="4356" spans="1:6" ht="33.75" x14ac:dyDescent="0.25">
      <c r="A4356" s="230"/>
      <c r="B4356" s="207" t="s">
        <v>2155</v>
      </c>
      <c r="C4356" s="349" t="s">
        <v>48</v>
      </c>
      <c r="D4356" s="203"/>
      <c r="E4356" s="302"/>
      <c r="F4356" s="302"/>
    </row>
    <row r="4357" spans="1:6" x14ac:dyDescent="0.25">
      <c r="A4357" s="506"/>
      <c r="B4357" s="138"/>
      <c r="C4357" s="349"/>
      <c r="D4357" s="506"/>
      <c r="E4357" s="302"/>
      <c r="F4357" s="302"/>
    </row>
    <row r="4358" spans="1:6" ht="34.5" thickBot="1" x14ac:dyDescent="0.3">
      <c r="A4358" s="529"/>
      <c r="B4358" s="209" t="s">
        <v>2156</v>
      </c>
      <c r="C4358" s="350" t="s">
        <v>48</v>
      </c>
      <c r="D4358" s="529"/>
      <c r="E4358" s="303"/>
      <c r="F4358" s="303"/>
    </row>
    <row r="4359" spans="1:6" ht="31.5" x14ac:dyDescent="0.25">
      <c r="A4359" s="505"/>
      <c r="B4359" s="202" t="s">
        <v>1893</v>
      </c>
      <c r="C4359" s="508" t="s">
        <v>1895</v>
      </c>
      <c r="D4359" s="509"/>
      <c r="E4359" s="509"/>
      <c r="F4359" s="510"/>
    </row>
    <row r="4360" spans="1:6" x14ac:dyDescent="0.25">
      <c r="A4360" s="506"/>
      <c r="B4360" s="203"/>
      <c r="C4360" s="511" t="s">
        <v>1896</v>
      </c>
      <c r="D4360" s="512"/>
      <c r="E4360" s="512"/>
      <c r="F4360" s="513"/>
    </row>
    <row r="4361" spans="1:6" ht="21.75" thickBot="1" x14ac:dyDescent="0.3">
      <c r="A4361" s="506"/>
      <c r="B4361" s="204" t="s">
        <v>2219</v>
      </c>
      <c r="C4361" s="514" t="s">
        <v>1897</v>
      </c>
      <c r="D4361" s="515"/>
      <c r="E4361" s="515"/>
      <c r="F4361" s="516"/>
    </row>
    <row r="4362" spans="1:6" ht="15.75" thickBot="1" x14ac:dyDescent="0.3">
      <c r="A4362" s="507"/>
      <c r="B4362" s="140"/>
      <c r="C4362" s="517" t="s">
        <v>1898</v>
      </c>
      <c r="D4362" s="518"/>
      <c r="E4362" s="518"/>
      <c r="F4362" s="519"/>
    </row>
    <row r="4363" spans="1:6" ht="16.5" thickTop="1" thickBot="1" x14ac:dyDescent="0.3">
      <c r="A4363" s="233" t="s">
        <v>1899</v>
      </c>
      <c r="B4363" s="314" t="s">
        <v>1</v>
      </c>
      <c r="C4363" s="348" t="s">
        <v>3</v>
      </c>
      <c r="D4363" s="205" t="s">
        <v>2</v>
      </c>
      <c r="E4363" s="300" t="s">
        <v>1900</v>
      </c>
      <c r="F4363" s="300" t="s">
        <v>1427</v>
      </c>
    </row>
    <row r="4364" spans="1:6" ht="15.75" thickTop="1" x14ac:dyDescent="0.25">
      <c r="A4364" s="521"/>
      <c r="B4364" s="138"/>
      <c r="C4364" s="522"/>
      <c r="D4364" s="521"/>
      <c r="E4364" s="301"/>
      <c r="F4364" s="301"/>
    </row>
    <row r="4365" spans="1:6" x14ac:dyDescent="0.25">
      <c r="A4365" s="506"/>
      <c r="B4365" s="206" t="s">
        <v>2157</v>
      </c>
      <c r="C4365" s="523"/>
      <c r="D4365" s="506"/>
      <c r="E4365" s="302"/>
      <c r="F4365" s="302"/>
    </row>
    <row r="4366" spans="1:6" ht="45" x14ac:dyDescent="0.25">
      <c r="A4366" s="157" t="s">
        <v>2158</v>
      </c>
      <c r="B4366" s="207" t="s">
        <v>2159</v>
      </c>
      <c r="C4366" s="349" t="s">
        <v>1958</v>
      </c>
      <c r="D4366" s="210">
        <v>500</v>
      </c>
      <c r="E4366" s="302">
        <v>165</v>
      </c>
      <c r="F4366" s="302">
        <f>E4366*D4366</f>
        <v>82500</v>
      </c>
    </row>
    <row r="4367" spans="1:6" x14ac:dyDescent="0.25">
      <c r="A4367" s="506"/>
      <c r="B4367" s="138"/>
      <c r="C4367" s="523"/>
      <c r="D4367" s="506"/>
      <c r="E4367" s="302"/>
      <c r="F4367" s="302"/>
    </row>
    <row r="4368" spans="1:6" x14ac:dyDescent="0.25">
      <c r="A4368" s="506"/>
      <c r="B4368" s="206" t="s">
        <v>2160</v>
      </c>
      <c r="C4368" s="523"/>
      <c r="D4368" s="506"/>
      <c r="E4368" s="302"/>
      <c r="F4368" s="302"/>
    </row>
    <row r="4369" spans="1:6" ht="45" x14ac:dyDescent="0.25">
      <c r="A4369" s="157" t="s">
        <v>2161</v>
      </c>
      <c r="B4369" s="207" t="s">
        <v>2162</v>
      </c>
      <c r="C4369" s="349" t="s">
        <v>1958</v>
      </c>
      <c r="D4369" s="210">
        <v>100</v>
      </c>
      <c r="E4369" s="302">
        <v>165</v>
      </c>
      <c r="F4369" s="302">
        <f>E4369*D4369</f>
        <v>16500</v>
      </c>
    </row>
    <row r="4370" spans="1:6" x14ac:dyDescent="0.25">
      <c r="A4370" s="167"/>
      <c r="B4370" s="212" t="s">
        <v>2164</v>
      </c>
      <c r="C4370" s="349"/>
      <c r="D4370" s="138"/>
      <c r="E4370" s="302"/>
      <c r="F4370" s="302"/>
    </row>
    <row r="4371" spans="1:6" ht="33.75" x14ac:dyDescent="0.25">
      <c r="A4371" s="157" t="s">
        <v>2163</v>
      </c>
      <c r="B4371" s="207" t="s">
        <v>2165</v>
      </c>
      <c r="C4371" s="349" t="s">
        <v>1958</v>
      </c>
      <c r="D4371" s="210">
        <v>96</v>
      </c>
      <c r="E4371" s="302">
        <v>750</v>
      </c>
      <c r="F4371" s="302">
        <f>E4371*D4371</f>
        <v>72000</v>
      </c>
    </row>
    <row r="4372" spans="1:6" ht="67.5" x14ac:dyDescent="0.25">
      <c r="A4372" s="191"/>
      <c r="B4372" s="207" t="s">
        <v>2166</v>
      </c>
      <c r="C4372" s="361"/>
      <c r="D4372" s="166"/>
      <c r="E4372" s="302"/>
      <c r="F4372" s="302"/>
    </row>
    <row r="4373" spans="1:6" x14ac:dyDescent="0.25">
      <c r="A4373" s="506"/>
      <c r="B4373" s="138"/>
      <c r="C4373" s="523"/>
      <c r="D4373" s="506"/>
      <c r="E4373" s="302"/>
      <c r="F4373" s="302"/>
    </row>
    <row r="4374" spans="1:6" x14ac:dyDescent="0.25">
      <c r="A4374" s="506"/>
      <c r="B4374" s="138"/>
      <c r="C4374" s="523"/>
      <c r="D4374" s="506"/>
      <c r="E4374" s="302"/>
      <c r="F4374" s="302"/>
    </row>
    <row r="4375" spans="1:6" x14ac:dyDescent="0.25">
      <c r="A4375" s="506"/>
      <c r="B4375" s="206" t="s">
        <v>2167</v>
      </c>
      <c r="C4375" s="523"/>
      <c r="D4375" s="506"/>
      <c r="E4375" s="302"/>
      <c r="F4375" s="302"/>
    </row>
    <row r="4376" spans="1:6" ht="102" thickBot="1" x14ac:dyDescent="0.3">
      <c r="A4376" s="159" t="s">
        <v>2168</v>
      </c>
      <c r="B4376" s="209" t="s">
        <v>2169</v>
      </c>
      <c r="C4376" s="350" t="s">
        <v>1958</v>
      </c>
      <c r="D4376" s="213">
        <v>200</v>
      </c>
      <c r="E4376" s="303">
        <v>480</v>
      </c>
      <c r="F4376" s="302">
        <f>E4376*D4376</f>
        <v>96000</v>
      </c>
    </row>
    <row r="4377" spans="1:6" ht="31.5" x14ac:dyDescent="0.25">
      <c r="A4377" s="505"/>
      <c r="B4377" s="202" t="s">
        <v>1893</v>
      </c>
      <c r="C4377" s="508" t="s">
        <v>1895</v>
      </c>
      <c r="D4377" s="509"/>
      <c r="E4377" s="509"/>
      <c r="F4377" s="510"/>
    </row>
    <row r="4378" spans="1:6" x14ac:dyDescent="0.25">
      <c r="A4378" s="506"/>
      <c r="B4378" s="203"/>
      <c r="C4378" s="511" t="s">
        <v>1896</v>
      </c>
      <c r="D4378" s="512"/>
      <c r="E4378" s="512"/>
      <c r="F4378" s="513"/>
    </row>
    <row r="4379" spans="1:6" ht="21.75" thickBot="1" x14ac:dyDescent="0.3">
      <c r="A4379" s="506"/>
      <c r="B4379" s="204" t="s">
        <v>2219</v>
      </c>
      <c r="C4379" s="514" t="s">
        <v>1897</v>
      </c>
      <c r="D4379" s="515"/>
      <c r="E4379" s="515"/>
      <c r="F4379" s="516"/>
    </row>
    <row r="4380" spans="1:6" ht="15.75" thickBot="1" x14ac:dyDescent="0.3">
      <c r="A4380" s="507"/>
      <c r="B4380" s="140"/>
      <c r="C4380" s="517" t="s">
        <v>1898</v>
      </c>
      <c r="D4380" s="518"/>
      <c r="E4380" s="518"/>
      <c r="F4380" s="519"/>
    </row>
    <row r="4381" spans="1:6" ht="16.5" thickTop="1" thickBot="1" x14ac:dyDescent="0.3">
      <c r="A4381" s="233" t="s">
        <v>1899</v>
      </c>
      <c r="B4381" s="314" t="s">
        <v>1</v>
      </c>
      <c r="C4381" s="348" t="s">
        <v>3</v>
      </c>
      <c r="D4381" s="205" t="s">
        <v>2</v>
      </c>
      <c r="E4381" s="300" t="s">
        <v>1900</v>
      </c>
      <c r="F4381" s="300" t="s">
        <v>1427</v>
      </c>
    </row>
    <row r="4382" spans="1:6" ht="15.75" thickTop="1" x14ac:dyDescent="0.25">
      <c r="A4382" s="230"/>
      <c r="B4382" s="206" t="s">
        <v>2238</v>
      </c>
      <c r="C4382" s="358"/>
      <c r="D4382" s="203"/>
      <c r="E4382" s="301"/>
      <c r="F4382" s="301"/>
    </row>
    <row r="4383" spans="1:6" ht="22.5" x14ac:dyDescent="0.25">
      <c r="A4383" s="506"/>
      <c r="B4383" s="138" t="s">
        <v>2239</v>
      </c>
      <c r="C4383" s="520" t="s">
        <v>48</v>
      </c>
      <c r="D4383" s="506"/>
      <c r="E4383" s="302"/>
      <c r="F4383" s="302"/>
    </row>
    <row r="4384" spans="1:6" x14ac:dyDescent="0.25">
      <c r="A4384" s="506"/>
      <c r="B4384" s="315" t="s">
        <v>2240</v>
      </c>
      <c r="C4384" s="520"/>
      <c r="D4384" s="506"/>
      <c r="E4384" s="302"/>
      <c r="F4384" s="302"/>
    </row>
    <row r="4385" spans="1:6" x14ac:dyDescent="0.25">
      <c r="A4385" s="506"/>
      <c r="B4385" s="315" t="s">
        <v>2241</v>
      </c>
      <c r="C4385" s="520"/>
      <c r="D4385" s="506"/>
      <c r="E4385" s="302"/>
      <c r="F4385" s="302"/>
    </row>
    <row r="4386" spans="1:6" x14ac:dyDescent="0.25">
      <c r="A4386" s="506"/>
      <c r="B4386" s="315" t="s">
        <v>2242</v>
      </c>
      <c r="C4386" s="520"/>
      <c r="D4386" s="506"/>
      <c r="E4386" s="302"/>
      <c r="F4386" s="302"/>
    </row>
    <row r="4387" spans="1:6" ht="22.5" x14ac:dyDescent="0.25">
      <c r="A4387" s="230"/>
      <c r="B4387" s="138" t="s">
        <v>2243</v>
      </c>
      <c r="C4387" s="349" t="s">
        <v>48</v>
      </c>
      <c r="D4387" s="203"/>
      <c r="E4387" s="302"/>
      <c r="F4387" s="302"/>
    </row>
    <row r="4388" spans="1:6" ht="33.75" x14ac:dyDescent="0.25">
      <c r="A4388" s="230"/>
      <c r="B4388" s="207" t="s">
        <v>2244</v>
      </c>
      <c r="C4388" s="349" t="s">
        <v>48</v>
      </c>
      <c r="D4388" s="203"/>
      <c r="E4388" s="302"/>
      <c r="F4388" s="302"/>
    </row>
    <row r="4389" spans="1:6" x14ac:dyDescent="0.25">
      <c r="A4389" s="230"/>
      <c r="B4389" s="206" t="s">
        <v>2245</v>
      </c>
      <c r="C4389" s="358"/>
      <c r="D4389" s="203"/>
      <c r="E4389" s="302"/>
      <c r="F4389" s="302"/>
    </row>
    <row r="4390" spans="1:6" x14ac:dyDescent="0.25">
      <c r="A4390" s="167"/>
      <c r="B4390" s="206" t="s">
        <v>2246</v>
      </c>
      <c r="C4390" s="349"/>
      <c r="D4390" s="138"/>
      <c r="E4390" s="302"/>
      <c r="F4390" s="302"/>
    </row>
    <row r="4391" spans="1:6" ht="33.75" x14ac:dyDescent="0.25">
      <c r="A4391" s="157" t="s">
        <v>2170</v>
      </c>
      <c r="B4391" s="207" t="s">
        <v>2247</v>
      </c>
      <c r="C4391" s="349" t="s">
        <v>1958</v>
      </c>
      <c r="D4391" s="210">
        <v>50</v>
      </c>
      <c r="E4391" s="302">
        <v>220</v>
      </c>
      <c r="F4391" s="302">
        <f>E4391*D4391</f>
        <v>11000</v>
      </c>
    </row>
    <row r="4392" spans="1:6" x14ac:dyDescent="0.25">
      <c r="A4392" s="230"/>
      <c r="B4392" s="206" t="s">
        <v>2248</v>
      </c>
      <c r="C4392" s="358"/>
      <c r="D4392" s="203"/>
      <c r="E4392" s="302"/>
      <c r="F4392" s="302"/>
    </row>
    <row r="4393" spans="1:6" ht="147" thickBot="1" x14ac:dyDescent="0.3">
      <c r="A4393" s="159" t="s">
        <v>2249</v>
      </c>
      <c r="B4393" s="209" t="s">
        <v>2250</v>
      </c>
      <c r="C4393" s="350" t="s">
        <v>1958</v>
      </c>
      <c r="D4393" s="213">
        <v>50</v>
      </c>
      <c r="E4393" s="303">
        <v>460</v>
      </c>
      <c r="F4393" s="303">
        <f>E4393*D4393</f>
        <v>23000</v>
      </c>
    </row>
    <row r="4394" spans="1:6" ht="31.5" x14ac:dyDescent="0.25">
      <c r="A4394" s="505"/>
      <c r="B4394" s="202" t="s">
        <v>1893</v>
      </c>
      <c r="C4394" s="508" t="s">
        <v>1895</v>
      </c>
      <c r="D4394" s="509"/>
      <c r="E4394" s="509"/>
      <c r="F4394" s="510"/>
    </row>
    <row r="4395" spans="1:6" x14ac:dyDescent="0.25">
      <c r="A4395" s="506"/>
      <c r="B4395" s="203"/>
      <c r="C4395" s="511" t="s">
        <v>1896</v>
      </c>
      <c r="D4395" s="512"/>
      <c r="E4395" s="512"/>
      <c r="F4395" s="513"/>
    </row>
    <row r="4396" spans="1:6" ht="21.75" thickBot="1" x14ac:dyDescent="0.3">
      <c r="A4396" s="506"/>
      <c r="B4396" s="204" t="s">
        <v>2219</v>
      </c>
      <c r="C4396" s="514" t="s">
        <v>1897</v>
      </c>
      <c r="D4396" s="515"/>
      <c r="E4396" s="515"/>
      <c r="F4396" s="516"/>
    </row>
    <row r="4397" spans="1:6" ht="15.75" thickBot="1" x14ac:dyDescent="0.3">
      <c r="A4397" s="507"/>
      <c r="B4397" s="140"/>
      <c r="C4397" s="517" t="s">
        <v>1898</v>
      </c>
      <c r="D4397" s="518"/>
      <c r="E4397" s="518"/>
      <c r="F4397" s="519"/>
    </row>
    <row r="4398" spans="1:6" ht="16.5" thickTop="1" thickBot="1" x14ac:dyDescent="0.3">
      <c r="A4398" s="233" t="s">
        <v>1899</v>
      </c>
      <c r="B4398" s="314" t="s">
        <v>1</v>
      </c>
      <c r="C4398" s="348" t="s">
        <v>3</v>
      </c>
      <c r="D4398" s="205" t="s">
        <v>2</v>
      </c>
      <c r="E4398" s="300" t="s">
        <v>1900</v>
      </c>
      <c r="F4398" s="300" t="s">
        <v>1427</v>
      </c>
    </row>
    <row r="4399" spans="1:6" ht="147.75" thickTop="1" thickBot="1" x14ac:dyDescent="0.3">
      <c r="A4399" s="157" t="s">
        <v>2251</v>
      </c>
      <c r="B4399" s="207" t="s">
        <v>2252</v>
      </c>
      <c r="C4399" s="349" t="s">
        <v>1958</v>
      </c>
      <c r="D4399" s="210">
        <v>50</v>
      </c>
      <c r="E4399" s="301">
        <v>320</v>
      </c>
      <c r="F4399" s="301">
        <f>E4399*D4399</f>
        <v>16000</v>
      </c>
    </row>
    <row r="4400" spans="1:6" ht="16.5" thickTop="1" thickBot="1" x14ac:dyDescent="0.3">
      <c r="A4400" s="167"/>
      <c r="B4400" s="138"/>
      <c r="C4400" s="349"/>
      <c r="D4400" s="138"/>
      <c r="E4400" s="302"/>
      <c r="F4400" s="301"/>
    </row>
    <row r="4401" spans="1:6" ht="16.5" thickTop="1" thickBot="1" x14ac:dyDescent="0.3">
      <c r="A4401" s="167"/>
      <c r="B4401" s="138"/>
      <c r="C4401" s="349"/>
      <c r="D4401" s="138"/>
      <c r="E4401" s="302"/>
      <c r="F4401" s="301"/>
    </row>
    <row r="4402" spans="1:6" ht="124.5" thickTop="1" x14ac:dyDescent="0.25">
      <c r="A4402" s="157" t="s">
        <v>2253</v>
      </c>
      <c r="B4402" s="207" t="s">
        <v>2254</v>
      </c>
      <c r="C4402" s="349" t="s">
        <v>1958</v>
      </c>
      <c r="D4402" s="210">
        <v>50</v>
      </c>
      <c r="E4402" s="302">
        <v>250</v>
      </c>
      <c r="F4402" s="301">
        <f>E4402*D4402</f>
        <v>12500</v>
      </c>
    </row>
    <row r="4403" spans="1:6" x14ac:dyDescent="0.25">
      <c r="A4403" s="167"/>
      <c r="B4403" s="138"/>
      <c r="C4403" s="349"/>
      <c r="D4403" s="138"/>
      <c r="E4403" s="302"/>
      <c r="F4403" s="302"/>
    </row>
    <row r="4404" spans="1:6" ht="45.75" thickBot="1" x14ac:dyDescent="0.3">
      <c r="A4404" s="159" t="s">
        <v>2255</v>
      </c>
      <c r="B4404" s="211" t="s">
        <v>2171</v>
      </c>
      <c r="C4404" s="350" t="s">
        <v>11</v>
      </c>
      <c r="D4404" s="213">
        <v>1</v>
      </c>
      <c r="E4404" s="303"/>
      <c r="F4404" s="303"/>
    </row>
    <row r="4405" spans="1:6" ht="21.75" thickBot="1" x14ac:dyDescent="0.3">
      <c r="A4405" s="208"/>
      <c r="B4405" s="153" t="s">
        <v>2172</v>
      </c>
      <c r="C4405" s="359"/>
      <c r="D4405" s="214"/>
      <c r="E4405" s="304" t="s">
        <v>1932</v>
      </c>
      <c r="F4405" s="305">
        <f>SUM(F4402,F4399,F4393,F4391,F4376,F4366:F4371,F4350,F4347,F4338:F4340)</f>
        <v>607500</v>
      </c>
    </row>
    <row r="4406" spans="1:6" ht="31.5" x14ac:dyDescent="0.25">
      <c r="A4406" s="435"/>
      <c r="B4406" s="152" t="s">
        <v>1893</v>
      </c>
      <c r="C4406" s="473" t="s">
        <v>1895</v>
      </c>
      <c r="D4406" s="474"/>
      <c r="E4406" s="474"/>
      <c r="F4406" s="475"/>
    </row>
    <row r="4407" spans="1:6" x14ac:dyDescent="0.25">
      <c r="A4407" s="469"/>
      <c r="B4407" s="138"/>
      <c r="C4407" s="476" t="s">
        <v>1896</v>
      </c>
      <c r="D4407" s="477"/>
      <c r="E4407" s="477"/>
      <c r="F4407" s="478"/>
    </row>
    <row r="4408" spans="1:6" ht="21.75" thickBot="1" x14ac:dyDescent="0.3">
      <c r="A4408" s="469"/>
      <c r="B4408" s="139" t="s">
        <v>2219</v>
      </c>
      <c r="C4408" s="494" t="s">
        <v>1897</v>
      </c>
      <c r="D4408" s="495"/>
      <c r="E4408" s="495"/>
      <c r="F4408" s="496"/>
    </row>
    <row r="4409" spans="1:6" ht="15.75" thickBot="1" x14ac:dyDescent="0.3">
      <c r="A4409" s="470"/>
      <c r="B4409" s="140"/>
      <c r="C4409" s="497" t="s">
        <v>1898</v>
      </c>
      <c r="D4409" s="498"/>
      <c r="E4409" s="498"/>
      <c r="F4409" s="499"/>
    </row>
    <row r="4410" spans="1:6" ht="16.5" thickTop="1" thickBot="1" x14ac:dyDescent="0.3">
      <c r="A4410" s="156" t="s">
        <v>1899</v>
      </c>
      <c r="B4410" s="310" t="s">
        <v>1</v>
      </c>
      <c r="C4410" s="341" t="s">
        <v>3</v>
      </c>
      <c r="D4410" s="142" t="s">
        <v>2</v>
      </c>
      <c r="E4410" s="278" t="s">
        <v>1900</v>
      </c>
      <c r="F4410" s="288" t="s">
        <v>1427</v>
      </c>
    </row>
    <row r="4411" spans="1:6" ht="15.75" thickTop="1" x14ac:dyDescent="0.25">
      <c r="A4411" s="144"/>
      <c r="B4411" s="146"/>
      <c r="C4411" s="500"/>
      <c r="D4411" s="501"/>
      <c r="E4411" s="502"/>
      <c r="F4411" s="502"/>
    </row>
    <row r="4412" spans="1:6" x14ac:dyDescent="0.25">
      <c r="A4412" s="164" t="s">
        <v>2173</v>
      </c>
      <c r="B4412" s="155" t="s">
        <v>2174</v>
      </c>
      <c r="C4412" s="489"/>
      <c r="D4412" s="469"/>
      <c r="E4412" s="503"/>
      <c r="F4412" s="503"/>
    </row>
    <row r="4413" spans="1:6" ht="76.5" x14ac:dyDescent="0.25">
      <c r="A4413" s="149"/>
      <c r="B4413" s="150" t="s">
        <v>2175</v>
      </c>
      <c r="C4413" s="342" t="s">
        <v>48</v>
      </c>
      <c r="D4413" s="469"/>
      <c r="E4413" s="503"/>
      <c r="F4413" s="503"/>
    </row>
    <row r="4414" spans="1:6" ht="51" x14ac:dyDescent="0.25">
      <c r="A4414" s="469"/>
      <c r="B4414" s="150" t="s">
        <v>2176</v>
      </c>
      <c r="C4414" s="504" t="s">
        <v>48</v>
      </c>
      <c r="D4414" s="469"/>
      <c r="E4414" s="503"/>
      <c r="F4414" s="503"/>
    </row>
    <row r="4415" spans="1:6" ht="25.5" x14ac:dyDescent="0.25">
      <c r="A4415" s="469"/>
      <c r="B4415" s="150" t="s">
        <v>2177</v>
      </c>
      <c r="C4415" s="504"/>
      <c r="D4415" s="469"/>
      <c r="E4415" s="503"/>
      <c r="F4415" s="503"/>
    </row>
    <row r="4416" spans="1:6" x14ac:dyDescent="0.25">
      <c r="A4416" s="469"/>
      <c r="B4416" s="311" t="s">
        <v>2178</v>
      </c>
      <c r="C4416" s="489"/>
      <c r="D4416" s="469"/>
      <c r="E4416" s="503"/>
      <c r="F4416" s="503"/>
    </row>
    <row r="4417" spans="1:6" x14ac:dyDescent="0.25">
      <c r="A4417" s="469"/>
      <c r="B4417" s="311" t="s">
        <v>2179</v>
      </c>
      <c r="C4417" s="489"/>
      <c r="D4417" s="469"/>
      <c r="E4417" s="503"/>
      <c r="F4417" s="503"/>
    </row>
    <row r="4418" spans="1:6" x14ac:dyDescent="0.25">
      <c r="A4418" s="469"/>
      <c r="B4418" s="311" t="s">
        <v>2180</v>
      </c>
      <c r="C4418" s="489"/>
      <c r="D4418" s="469"/>
      <c r="E4418" s="503"/>
      <c r="F4418" s="503"/>
    </row>
    <row r="4419" spans="1:6" x14ac:dyDescent="0.25">
      <c r="A4419" s="469"/>
      <c r="B4419" s="311" t="s">
        <v>2181</v>
      </c>
      <c r="C4419" s="489"/>
      <c r="D4419" s="469"/>
      <c r="E4419" s="503"/>
      <c r="F4419" s="503"/>
    </row>
    <row r="4420" spans="1:6" x14ac:dyDescent="0.25">
      <c r="A4420" s="469"/>
      <c r="B4420" s="311" t="s">
        <v>2182</v>
      </c>
      <c r="C4420" s="489"/>
      <c r="D4420" s="469"/>
      <c r="E4420" s="503"/>
      <c r="F4420" s="503"/>
    </row>
    <row r="4421" spans="1:6" x14ac:dyDescent="0.25">
      <c r="A4421" s="469"/>
      <c r="B4421" s="311" t="s">
        <v>2183</v>
      </c>
      <c r="C4421" s="489"/>
      <c r="D4421" s="469"/>
      <c r="E4421" s="503"/>
      <c r="F4421" s="503"/>
    </row>
    <row r="4422" spans="1:6" ht="51" x14ac:dyDescent="0.25">
      <c r="A4422" s="149"/>
      <c r="B4422" s="150" t="s">
        <v>2184</v>
      </c>
      <c r="C4422" s="342" t="s">
        <v>48</v>
      </c>
      <c r="D4422" s="469"/>
      <c r="E4422" s="503"/>
      <c r="F4422" s="503"/>
    </row>
    <row r="4423" spans="1:6" ht="63.75" x14ac:dyDescent="0.25">
      <c r="A4423" s="149"/>
      <c r="B4423" s="150" t="s">
        <v>2185</v>
      </c>
      <c r="C4423" s="342" t="s">
        <v>48</v>
      </c>
      <c r="D4423" s="469"/>
      <c r="E4423" s="503"/>
      <c r="F4423" s="503"/>
    </row>
    <row r="4424" spans="1:6" ht="38.25" x14ac:dyDescent="0.25">
      <c r="A4424" s="149"/>
      <c r="B4424" s="150" t="s">
        <v>2186</v>
      </c>
      <c r="C4424" s="342" t="s">
        <v>48</v>
      </c>
      <c r="D4424" s="469"/>
      <c r="E4424" s="503"/>
      <c r="F4424" s="503"/>
    </row>
    <row r="4425" spans="1:6" ht="51.75" thickBot="1" x14ac:dyDescent="0.3">
      <c r="A4425" s="154"/>
      <c r="B4425" s="151" t="s">
        <v>2187</v>
      </c>
      <c r="C4425" s="343" t="s">
        <v>48</v>
      </c>
      <c r="D4425" s="436"/>
      <c r="E4425" s="444"/>
      <c r="F4425" s="444"/>
    </row>
    <row r="4426" spans="1:6" ht="31.5" x14ac:dyDescent="0.25">
      <c r="A4426" s="435"/>
      <c r="B4426" s="152" t="s">
        <v>1893</v>
      </c>
      <c r="C4426" s="473" t="s">
        <v>1895</v>
      </c>
      <c r="D4426" s="474"/>
      <c r="E4426" s="474"/>
      <c r="F4426" s="475"/>
    </row>
    <row r="4427" spans="1:6" x14ac:dyDescent="0.25">
      <c r="A4427" s="469"/>
      <c r="B4427" s="138"/>
      <c r="C4427" s="476" t="s">
        <v>1896</v>
      </c>
      <c r="D4427" s="477"/>
      <c r="E4427" s="477"/>
      <c r="F4427" s="478"/>
    </row>
    <row r="4428" spans="1:6" ht="21.75" thickBot="1" x14ac:dyDescent="0.3">
      <c r="A4428" s="469"/>
      <c r="B4428" s="139" t="s">
        <v>2219</v>
      </c>
      <c r="C4428" s="494" t="s">
        <v>1897</v>
      </c>
      <c r="D4428" s="495"/>
      <c r="E4428" s="495"/>
      <c r="F4428" s="496"/>
    </row>
    <row r="4429" spans="1:6" ht="15.75" thickBot="1" x14ac:dyDescent="0.3">
      <c r="A4429" s="470"/>
      <c r="B4429" s="140"/>
      <c r="C4429" s="497" t="s">
        <v>1898</v>
      </c>
      <c r="D4429" s="498"/>
      <c r="E4429" s="498"/>
      <c r="F4429" s="499"/>
    </row>
    <row r="4430" spans="1:6" ht="16.5" thickTop="1" thickBot="1" x14ac:dyDescent="0.3">
      <c r="A4430" s="156" t="s">
        <v>1899</v>
      </c>
      <c r="B4430" s="310" t="s">
        <v>1</v>
      </c>
      <c r="C4430" s="341" t="s">
        <v>3</v>
      </c>
      <c r="D4430" s="142" t="s">
        <v>2</v>
      </c>
      <c r="E4430" s="278" t="s">
        <v>1900</v>
      </c>
      <c r="F4430" s="288" t="s">
        <v>1427</v>
      </c>
    </row>
    <row r="4431" spans="1:6" ht="39" thickTop="1" x14ac:dyDescent="0.25">
      <c r="A4431" s="149"/>
      <c r="B4431" s="150" t="s">
        <v>2188</v>
      </c>
      <c r="C4431" s="342" t="s">
        <v>48</v>
      </c>
      <c r="D4431" s="148"/>
      <c r="E4431" s="295"/>
      <c r="F4431" s="296"/>
    </row>
    <row r="4432" spans="1:6" ht="25.5" x14ac:dyDescent="0.25">
      <c r="A4432" s="149"/>
      <c r="B4432" s="146" t="s">
        <v>2189</v>
      </c>
      <c r="C4432" s="342" t="s">
        <v>48</v>
      </c>
      <c r="D4432" s="148"/>
      <c r="E4432" s="297"/>
      <c r="F4432" s="298"/>
    </row>
    <row r="4433" spans="1:6" x14ac:dyDescent="0.25">
      <c r="A4433" s="469"/>
      <c r="B4433" s="146"/>
      <c r="C4433" s="342"/>
      <c r="D4433" s="469"/>
      <c r="E4433" s="297"/>
      <c r="F4433" s="298"/>
    </row>
    <row r="4434" spans="1:6" ht="38.25" x14ac:dyDescent="0.25">
      <c r="A4434" s="469"/>
      <c r="B4434" s="150" t="s">
        <v>2190</v>
      </c>
      <c r="C4434" s="342" t="s">
        <v>48</v>
      </c>
      <c r="D4434" s="469"/>
      <c r="E4434" s="297"/>
      <c r="F4434" s="298"/>
    </row>
    <row r="4435" spans="1:6" ht="38.25" x14ac:dyDescent="0.25">
      <c r="A4435" s="149"/>
      <c r="B4435" s="150" t="s">
        <v>1951</v>
      </c>
      <c r="C4435" s="342" t="s">
        <v>48</v>
      </c>
      <c r="D4435" s="148"/>
      <c r="E4435" s="297"/>
      <c r="F4435" s="298"/>
    </row>
    <row r="4436" spans="1:6" x14ac:dyDescent="0.25">
      <c r="A4436" s="149"/>
      <c r="B4436" s="155" t="s">
        <v>2191</v>
      </c>
      <c r="C4436" s="345"/>
      <c r="D4436" s="148"/>
      <c r="E4436" s="297"/>
      <c r="F4436" s="298"/>
    </row>
    <row r="4437" spans="1:6" x14ac:dyDescent="0.25">
      <c r="A4437" s="144"/>
      <c r="B4437" s="174" t="s">
        <v>2193</v>
      </c>
      <c r="C4437" s="342"/>
      <c r="D4437" s="146"/>
      <c r="E4437" s="297"/>
      <c r="F4437" s="298"/>
    </row>
    <row r="4438" spans="1:6" ht="102" x14ac:dyDescent="0.25">
      <c r="A4438" s="172" t="s">
        <v>2192</v>
      </c>
      <c r="B4438" s="150" t="s">
        <v>2194</v>
      </c>
      <c r="C4438" s="342" t="s">
        <v>1958</v>
      </c>
      <c r="D4438" s="158">
        <v>850</v>
      </c>
      <c r="E4438" s="297">
        <v>280</v>
      </c>
      <c r="F4438" s="298">
        <f>E4438*D4438</f>
        <v>238000</v>
      </c>
    </row>
    <row r="4439" spans="1:6" x14ac:dyDescent="0.25">
      <c r="A4439" s="144"/>
      <c r="B4439" s="146"/>
      <c r="C4439" s="342"/>
      <c r="D4439" s="146"/>
      <c r="E4439" s="297"/>
      <c r="F4439" s="298"/>
    </row>
    <row r="4440" spans="1:6" ht="90" thickBot="1" x14ac:dyDescent="0.3">
      <c r="A4440" s="176" t="s">
        <v>2195</v>
      </c>
      <c r="B4440" s="196" t="s">
        <v>2196</v>
      </c>
      <c r="C4440" s="343" t="s">
        <v>1958</v>
      </c>
      <c r="D4440" s="197">
        <v>100</v>
      </c>
      <c r="E4440" s="306">
        <v>210</v>
      </c>
      <c r="F4440" s="298">
        <f>E4440*D4440</f>
        <v>21000</v>
      </c>
    </row>
    <row r="4441" spans="1:6" ht="31.5" x14ac:dyDescent="0.25">
      <c r="A4441" s="435"/>
      <c r="B4441" s="152" t="s">
        <v>1893</v>
      </c>
      <c r="C4441" s="473" t="s">
        <v>1895</v>
      </c>
      <c r="D4441" s="474"/>
      <c r="E4441" s="474"/>
      <c r="F4441" s="475"/>
    </row>
    <row r="4442" spans="1:6" x14ac:dyDescent="0.25">
      <c r="A4442" s="469"/>
      <c r="B4442" s="138"/>
      <c r="C4442" s="476" t="s">
        <v>1896</v>
      </c>
      <c r="D4442" s="477"/>
      <c r="E4442" s="477"/>
      <c r="F4442" s="478"/>
    </row>
    <row r="4443" spans="1:6" ht="21.75" thickBot="1" x14ac:dyDescent="0.3">
      <c r="A4443" s="469"/>
      <c r="B4443" s="139" t="s">
        <v>2219</v>
      </c>
      <c r="C4443" s="494" t="s">
        <v>1897</v>
      </c>
      <c r="D4443" s="495"/>
      <c r="E4443" s="495"/>
      <c r="F4443" s="496"/>
    </row>
    <row r="4444" spans="1:6" ht="15.75" thickBot="1" x14ac:dyDescent="0.3">
      <c r="A4444" s="470"/>
      <c r="B4444" s="140"/>
      <c r="C4444" s="497" t="s">
        <v>1898</v>
      </c>
      <c r="D4444" s="498"/>
      <c r="E4444" s="498"/>
      <c r="F4444" s="499"/>
    </row>
    <row r="4445" spans="1:6" ht="16.5" thickTop="1" thickBot="1" x14ac:dyDescent="0.3">
      <c r="A4445" s="156" t="s">
        <v>1899</v>
      </c>
      <c r="B4445" s="310" t="s">
        <v>1</v>
      </c>
      <c r="C4445" s="341" t="s">
        <v>3</v>
      </c>
      <c r="D4445" s="142" t="s">
        <v>2</v>
      </c>
      <c r="E4445" s="278" t="s">
        <v>1900</v>
      </c>
      <c r="F4445" s="288" t="s">
        <v>1427</v>
      </c>
    </row>
    <row r="4446" spans="1:6" ht="15.75" thickTop="1" x14ac:dyDescent="0.25">
      <c r="A4446" s="149"/>
      <c r="B4446" s="155" t="s">
        <v>2197</v>
      </c>
      <c r="C4446" s="345"/>
      <c r="D4446" s="148"/>
      <c r="E4446" s="280"/>
      <c r="F4446" s="280"/>
    </row>
    <row r="4447" spans="1:6" ht="102" x14ac:dyDescent="0.25">
      <c r="A4447" s="172" t="s">
        <v>2198</v>
      </c>
      <c r="B4447" s="150" t="s">
        <v>2199</v>
      </c>
      <c r="C4447" s="342" t="s">
        <v>1958</v>
      </c>
      <c r="D4447" s="198">
        <v>100</v>
      </c>
      <c r="E4447" s="281">
        <v>240</v>
      </c>
      <c r="F4447" s="281">
        <f>E4447*D4447</f>
        <v>24000</v>
      </c>
    </row>
    <row r="4448" spans="1:6" x14ac:dyDescent="0.25">
      <c r="A4448" s="469"/>
      <c r="B4448" s="146"/>
      <c r="C4448" s="489"/>
      <c r="D4448" s="469"/>
      <c r="E4448" s="281"/>
      <c r="F4448" s="281"/>
    </row>
    <row r="4449" spans="1:6" x14ac:dyDescent="0.25">
      <c r="A4449" s="469"/>
      <c r="B4449" s="146"/>
      <c r="C4449" s="489"/>
      <c r="D4449" s="469"/>
      <c r="E4449" s="281"/>
      <c r="F4449" s="281"/>
    </row>
    <row r="4450" spans="1:6" x14ac:dyDescent="0.25">
      <c r="A4450" s="469"/>
      <c r="B4450" s="155" t="s">
        <v>2200</v>
      </c>
      <c r="C4450" s="489"/>
      <c r="D4450" s="469"/>
      <c r="E4450" s="281"/>
      <c r="F4450" s="281"/>
    </row>
    <row r="4451" spans="1:6" ht="115.5" thickBot="1" x14ac:dyDescent="0.3">
      <c r="A4451" s="176" t="s">
        <v>2201</v>
      </c>
      <c r="B4451" s="151" t="s">
        <v>2202</v>
      </c>
      <c r="C4451" s="343" t="s">
        <v>1958</v>
      </c>
      <c r="D4451" s="160">
        <v>330</v>
      </c>
      <c r="E4451" s="282">
        <v>230</v>
      </c>
      <c r="F4451" s="281">
        <f>E4451*D4451</f>
        <v>75900</v>
      </c>
    </row>
    <row r="4452" spans="1:6" x14ac:dyDescent="0.25">
      <c r="A4452" s="435"/>
      <c r="B4452" s="147" t="s">
        <v>2203</v>
      </c>
      <c r="C4452" s="490"/>
      <c r="D4452" s="435"/>
      <c r="E4452" s="492" t="s">
        <v>1932</v>
      </c>
      <c r="F4452" s="443">
        <f>SUM(F4451,F4447,F4440,F4440,F4438)</f>
        <v>379900</v>
      </c>
    </row>
    <row r="4453" spans="1:6" ht="15.75" thickBot="1" x14ac:dyDescent="0.3">
      <c r="A4453" s="436"/>
      <c r="B4453" s="177" t="s">
        <v>2204</v>
      </c>
      <c r="C4453" s="491"/>
      <c r="D4453" s="436"/>
      <c r="E4453" s="493"/>
      <c r="F4453" s="444"/>
    </row>
    <row r="4454" spans="1:6" x14ac:dyDescent="0.25">
      <c r="A4454" s="435"/>
      <c r="B4454" s="471" t="s">
        <v>1893</v>
      </c>
      <c r="C4454" s="473" t="s">
        <v>1895</v>
      </c>
      <c r="D4454" s="474"/>
      <c r="E4454" s="475"/>
    </row>
    <row r="4455" spans="1:6" x14ac:dyDescent="0.25">
      <c r="A4455" s="469"/>
      <c r="B4455" s="472"/>
      <c r="C4455" s="476" t="s">
        <v>1896</v>
      </c>
      <c r="D4455" s="477"/>
      <c r="E4455" s="478"/>
    </row>
    <row r="4456" spans="1:6" x14ac:dyDescent="0.25">
      <c r="A4456" s="469"/>
      <c r="B4456" s="199"/>
      <c r="C4456" s="476" t="s">
        <v>1897</v>
      </c>
      <c r="D4456" s="477"/>
      <c r="E4456" s="478"/>
    </row>
    <row r="4457" spans="1:6" ht="15.75" thickBot="1" x14ac:dyDescent="0.3">
      <c r="A4457" s="469"/>
      <c r="B4457" s="472" t="s">
        <v>2219</v>
      </c>
      <c r="C4457" s="480"/>
      <c r="D4457" s="481"/>
      <c r="E4457" s="482"/>
    </row>
    <row r="4458" spans="1:6" ht="15.75" thickBot="1" x14ac:dyDescent="0.3">
      <c r="A4458" s="470"/>
      <c r="B4458" s="479"/>
      <c r="C4458" s="483" t="s">
        <v>1898</v>
      </c>
      <c r="D4458" s="484"/>
      <c r="E4458" s="485"/>
    </row>
    <row r="4459" spans="1:6" ht="16.5" thickTop="1" thickBot="1" x14ac:dyDescent="0.3">
      <c r="A4459" s="156" t="s">
        <v>1899</v>
      </c>
      <c r="B4459" s="310" t="s">
        <v>1</v>
      </c>
      <c r="C4459" s="357"/>
      <c r="D4459" s="201"/>
      <c r="E4459" s="294" t="s">
        <v>1427</v>
      </c>
    </row>
    <row r="4460" spans="1:6" ht="16.5" thickTop="1" thickBot="1" x14ac:dyDescent="0.3">
      <c r="A4460" s="486" t="s">
        <v>2210</v>
      </c>
      <c r="B4460" s="487"/>
      <c r="C4460" s="487"/>
      <c r="D4460" s="487"/>
      <c r="E4460" s="488"/>
    </row>
    <row r="4461" spans="1:6" x14ac:dyDescent="0.25">
      <c r="A4461" s="144"/>
      <c r="B4461" s="460"/>
      <c r="C4461" s="461"/>
      <c r="D4461" s="146"/>
      <c r="E4461" s="289"/>
    </row>
    <row r="4462" spans="1:6" x14ac:dyDescent="0.25">
      <c r="A4462" s="172" t="s">
        <v>1901</v>
      </c>
      <c r="B4462" s="462" t="s">
        <v>1902</v>
      </c>
      <c r="C4462" s="463"/>
      <c r="D4462" s="158" t="s">
        <v>1932</v>
      </c>
      <c r="E4462" s="281">
        <f>F3932</f>
        <v>70000</v>
      </c>
    </row>
    <row r="4463" spans="1:6" x14ac:dyDescent="0.25">
      <c r="A4463" s="172" t="s">
        <v>1933</v>
      </c>
      <c r="B4463" s="462" t="s">
        <v>2211</v>
      </c>
      <c r="C4463" s="463"/>
      <c r="D4463" s="158" t="s">
        <v>1932</v>
      </c>
      <c r="E4463" s="281">
        <f>F4052</f>
        <v>131275</v>
      </c>
    </row>
    <row r="4464" spans="1:6" x14ac:dyDescent="0.25">
      <c r="A4464" s="172" t="s">
        <v>1977</v>
      </c>
      <c r="B4464" s="462" t="s">
        <v>1978</v>
      </c>
      <c r="C4464" s="463"/>
      <c r="D4464" s="158" t="s">
        <v>1932</v>
      </c>
      <c r="E4464" s="281">
        <f>F4141</f>
        <v>166900</v>
      </c>
    </row>
    <row r="4465" spans="1:6" x14ac:dyDescent="0.25">
      <c r="A4465" s="172" t="s">
        <v>2029</v>
      </c>
      <c r="B4465" s="462" t="s">
        <v>2030</v>
      </c>
      <c r="C4465" s="463"/>
      <c r="D4465" s="158" t="s">
        <v>1932</v>
      </c>
      <c r="E4465" s="281">
        <f>F4186</f>
        <v>161500</v>
      </c>
    </row>
    <row r="4466" spans="1:6" x14ac:dyDescent="0.25">
      <c r="A4466" s="172" t="s">
        <v>2212</v>
      </c>
      <c r="B4466" s="462" t="s">
        <v>2213</v>
      </c>
      <c r="C4466" s="463"/>
      <c r="D4466" s="158" t="s">
        <v>1932</v>
      </c>
      <c r="E4466" s="281">
        <f>F4231</f>
        <v>98750</v>
      </c>
    </row>
    <row r="4467" spans="1:6" x14ac:dyDescent="0.25">
      <c r="A4467" s="172" t="s">
        <v>2083</v>
      </c>
      <c r="B4467" s="462" t="s">
        <v>2214</v>
      </c>
      <c r="C4467" s="463"/>
      <c r="D4467" s="158" t="s">
        <v>1932</v>
      </c>
      <c r="E4467" s="281">
        <f>F4290</f>
        <v>697000</v>
      </c>
    </row>
    <row r="4468" spans="1:6" x14ac:dyDescent="0.25">
      <c r="A4468" s="172" t="s">
        <v>2117</v>
      </c>
      <c r="B4468" s="462" t="s">
        <v>2215</v>
      </c>
      <c r="C4468" s="463"/>
      <c r="D4468" s="158" t="s">
        <v>1932</v>
      </c>
      <c r="E4468" s="281">
        <f>F4405</f>
        <v>607500</v>
      </c>
    </row>
    <row r="4469" spans="1:6" ht="15.75" thickBot="1" x14ac:dyDescent="0.3">
      <c r="A4469" s="176" t="s">
        <v>2173</v>
      </c>
      <c r="B4469" s="464" t="s">
        <v>2174</v>
      </c>
      <c r="C4469" s="465"/>
      <c r="D4469" s="160" t="s">
        <v>1932</v>
      </c>
      <c r="E4469" s="282">
        <f>F4452</f>
        <v>379900</v>
      </c>
    </row>
    <row r="4470" spans="1:6" x14ac:dyDescent="0.25">
      <c r="A4470" s="435"/>
      <c r="B4470" s="437" t="s">
        <v>2256</v>
      </c>
      <c r="C4470" s="438"/>
      <c r="D4470" s="441" t="s">
        <v>1932</v>
      </c>
      <c r="E4470" s="443">
        <f>SUM(E4462:E4469)</f>
        <v>2312825</v>
      </c>
    </row>
    <row r="4471" spans="1:6" ht="15.75" thickBot="1" x14ac:dyDescent="0.3">
      <c r="A4471" s="436"/>
      <c r="B4471" s="439" t="s">
        <v>2257</v>
      </c>
      <c r="C4471" s="440"/>
      <c r="D4471" s="442"/>
      <c r="E4471" s="444"/>
    </row>
    <row r="4474" spans="1:6" x14ac:dyDescent="0.25">
      <c r="A4474" s="445"/>
      <c r="B4474" s="446"/>
      <c r="C4474" s="446"/>
      <c r="D4474" s="446"/>
      <c r="E4474" s="446"/>
      <c r="F4474" s="447"/>
    </row>
    <row r="4475" spans="1:6" x14ac:dyDescent="0.25">
      <c r="A4475" s="448"/>
      <c r="B4475" s="449"/>
      <c r="C4475" s="449"/>
      <c r="D4475" s="449"/>
      <c r="E4475" s="449"/>
      <c r="F4475" s="450"/>
    </row>
    <row r="4476" spans="1:6" x14ac:dyDescent="0.25">
      <c r="A4476" s="451"/>
      <c r="B4476" s="452"/>
      <c r="C4476" s="452"/>
      <c r="D4476" s="452"/>
      <c r="E4476" s="452"/>
      <c r="F4476" s="453"/>
    </row>
    <row r="4479" spans="1:6" ht="30" x14ac:dyDescent="0.25">
      <c r="A4479" s="454" t="s">
        <v>2258</v>
      </c>
      <c r="B4479" s="455"/>
      <c r="C4479" s="455"/>
      <c r="D4479" s="455"/>
      <c r="E4479" s="455"/>
      <c r="F4479" s="456"/>
    </row>
    <row r="4482" spans="1:6" x14ac:dyDescent="0.25">
      <c r="A4482" s="1" t="s">
        <v>0</v>
      </c>
      <c r="B4482" s="1" t="s">
        <v>1</v>
      </c>
      <c r="C4482" s="338" t="s">
        <v>2</v>
      </c>
      <c r="D4482" s="1" t="s">
        <v>3</v>
      </c>
      <c r="E4482" s="275" t="s">
        <v>4</v>
      </c>
      <c r="F4482" s="275" t="s">
        <v>5</v>
      </c>
    </row>
    <row r="4483" spans="1:6" ht="60" x14ac:dyDescent="0.25">
      <c r="A4483" s="25">
        <v>1</v>
      </c>
      <c r="B4483" s="27" t="s">
        <v>2259</v>
      </c>
      <c r="C4483" s="326">
        <v>6779</v>
      </c>
      <c r="D4483" s="25" t="s">
        <v>9</v>
      </c>
      <c r="E4483" s="259">
        <v>35</v>
      </c>
      <c r="F4483" s="259">
        <f t="shared" ref="F4483:F4492" si="90">E4483*C4483</f>
        <v>237265</v>
      </c>
    </row>
    <row r="4484" spans="1:6" ht="60" x14ac:dyDescent="0.25">
      <c r="A4484" s="25">
        <v>2</v>
      </c>
      <c r="B4484" s="27" t="s">
        <v>2260</v>
      </c>
      <c r="C4484" s="326">
        <v>2303</v>
      </c>
      <c r="D4484" s="25" t="s">
        <v>9</v>
      </c>
      <c r="E4484" s="259">
        <v>15</v>
      </c>
      <c r="F4484" s="259">
        <f t="shared" si="90"/>
        <v>34545</v>
      </c>
    </row>
    <row r="4485" spans="1:6" ht="45" x14ac:dyDescent="0.25">
      <c r="A4485" s="13" t="s">
        <v>1621</v>
      </c>
      <c r="B4485" s="14" t="s">
        <v>2262</v>
      </c>
      <c r="C4485" s="316">
        <v>6779</v>
      </c>
      <c r="D4485" s="15" t="s">
        <v>9</v>
      </c>
      <c r="E4485" s="16">
        <v>250</v>
      </c>
      <c r="F4485" s="16">
        <f t="shared" si="90"/>
        <v>1694750</v>
      </c>
    </row>
    <row r="4486" spans="1:6" ht="30" x14ac:dyDescent="0.25">
      <c r="A4486" s="25">
        <v>4</v>
      </c>
      <c r="B4486" s="14" t="s">
        <v>2261</v>
      </c>
      <c r="C4486" s="316">
        <v>215</v>
      </c>
      <c r="D4486" s="15" t="s">
        <v>33</v>
      </c>
      <c r="E4486" s="16">
        <v>400</v>
      </c>
      <c r="F4486" s="16">
        <f t="shared" si="90"/>
        <v>86000</v>
      </c>
    </row>
    <row r="4487" spans="1:6" ht="30" x14ac:dyDescent="0.25">
      <c r="A4487" s="25">
        <v>5</v>
      </c>
      <c r="B4487" s="14" t="s">
        <v>2268</v>
      </c>
      <c r="C4487" s="316">
        <v>1449.3</v>
      </c>
      <c r="D4487" s="15" t="s">
        <v>9</v>
      </c>
      <c r="E4487" s="16">
        <v>320</v>
      </c>
      <c r="F4487" s="16">
        <f t="shared" si="90"/>
        <v>463776</v>
      </c>
    </row>
    <row r="4488" spans="1:6" ht="45" x14ac:dyDescent="0.25">
      <c r="A4488" s="13" t="s">
        <v>1632</v>
      </c>
      <c r="B4488" s="14" t="s">
        <v>2267</v>
      </c>
      <c r="C4488" s="316">
        <v>263</v>
      </c>
      <c r="D4488" s="15" t="s">
        <v>33</v>
      </c>
      <c r="E4488" s="16">
        <v>480</v>
      </c>
      <c r="F4488" s="16">
        <f t="shared" si="90"/>
        <v>126240</v>
      </c>
    </row>
    <row r="4489" spans="1:6" x14ac:dyDescent="0.25">
      <c r="A4489" s="25">
        <v>7</v>
      </c>
      <c r="B4489" s="14" t="s">
        <v>2263</v>
      </c>
      <c r="C4489" s="316">
        <v>928</v>
      </c>
      <c r="D4489" s="15" t="s">
        <v>33</v>
      </c>
      <c r="E4489" s="16">
        <v>660</v>
      </c>
      <c r="F4489" s="16">
        <f t="shared" si="90"/>
        <v>612480</v>
      </c>
    </row>
    <row r="4490" spans="1:6" x14ac:dyDescent="0.25">
      <c r="A4490" s="25">
        <v>8</v>
      </c>
      <c r="B4490" s="14" t="s">
        <v>2264</v>
      </c>
      <c r="C4490" s="316">
        <v>3850</v>
      </c>
      <c r="D4490" s="15" t="s">
        <v>33</v>
      </c>
      <c r="E4490" s="16">
        <v>380</v>
      </c>
      <c r="F4490" s="16">
        <f t="shared" si="90"/>
        <v>1463000</v>
      </c>
    </row>
    <row r="4491" spans="1:6" x14ac:dyDescent="0.25">
      <c r="A4491" s="13" t="s">
        <v>1635</v>
      </c>
      <c r="B4491" s="14" t="s">
        <v>2265</v>
      </c>
      <c r="C4491" s="316">
        <v>100</v>
      </c>
      <c r="D4491" s="15" t="s">
        <v>33</v>
      </c>
      <c r="E4491" s="16">
        <v>1450</v>
      </c>
      <c r="F4491" s="16">
        <f t="shared" si="90"/>
        <v>145000</v>
      </c>
    </row>
    <row r="4492" spans="1:6" x14ac:dyDescent="0.25">
      <c r="A4492" s="25">
        <v>10</v>
      </c>
      <c r="B4492" s="14" t="s">
        <v>2266</v>
      </c>
      <c r="C4492" s="316">
        <v>561</v>
      </c>
      <c r="D4492" s="15" t="s">
        <v>33</v>
      </c>
      <c r="E4492" s="16">
        <v>200</v>
      </c>
      <c r="F4492" s="16">
        <f t="shared" si="90"/>
        <v>112200</v>
      </c>
    </row>
    <row r="4494" spans="1:6" ht="15.75" x14ac:dyDescent="0.25">
      <c r="B4494" s="35" t="s">
        <v>10</v>
      </c>
      <c r="C4494" s="317"/>
      <c r="D4494" s="36"/>
      <c r="E4494" s="240"/>
      <c r="F4494" s="240">
        <f>SUM(F4483:F4492)</f>
        <v>4975256</v>
      </c>
    </row>
    <row r="4497" spans="1:15" x14ac:dyDescent="0.25">
      <c r="A4497" s="1" t="s">
        <v>0</v>
      </c>
      <c r="B4497" s="1" t="s">
        <v>1</v>
      </c>
      <c r="C4497" s="338" t="s">
        <v>2</v>
      </c>
      <c r="D4497" s="1" t="s">
        <v>3</v>
      </c>
    </row>
    <row r="4498" spans="1:15" x14ac:dyDescent="0.25">
      <c r="A4498" s="426" t="s">
        <v>2271</v>
      </c>
      <c r="B4498" s="428"/>
    </row>
    <row r="4499" spans="1:15" x14ac:dyDescent="0.25">
      <c r="A4499" s="13" t="s">
        <v>1618</v>
      </c>
      <c r="B4499" s="14" t="s">
        <v>2269</v>
      </c>
      <c r="C4499" s="316">
        <v>2756</v>
      </c>
      <c r="D4499" s="15" t="s">
        <v>9</v>
      </c>
    </row>
    <row r="4500" spans="1:15" x14ac:dyDescent="0.25">
      <c r="A4500" s="13" t="s">
        <v>1620</v>
      </c>
      <c r="B4500" s="14" t="s">
        <v>2270</v>
      </c>
      <c r="C4500" s="316">
        <v>2551</v>
      </c>
      <c r="D4500" s="15" t="s">
        <v>9</v>
      </c>
    </row>
    <row r="4501" spans="1:15" x14ac:dyDescent="0.25">
      <c r="A4501" s="466"/>
      <c r="B4501" s="468"/>
      <c r="C4501" s="468"/>
      <c r="D4501" s="467"/>
    </row>
    <row r="4502" spans="1:15" x14ac:dyDescent="0.25">
      <c r="A4502" s="466" t="s">
        <v>2272</v>
      </c>
      <c r="B4502" s="467"/>
    </row>
    <row r="4503" spans="1:15" x14ac:dyDescent="0.25">
      <c r="A4503" s="13" t="s">
        <v>1618</v>
      </c>
      <c r="B4503" s="14" t="s">
        <v>2273</v>
      </c>
      <c r="C4503" s="316">
        <v>1088</v>
      </c>
      <c r="D4503" s="15" t="s">
        <v>9</v>
      </c>
    </row>
    <row r="4504" spans="1:15" x14ac:dyDescent="0.25">
      <c r="A4504" s="13" t="s">
        <v>1620</v>
      </c>
      <c r="B4504" s="14" t="s">
        <v>2274</v>
      </c>
      <c r="C4504" s="316">
        <v>384</v>
      </c>
      <c r="D4504" s="15" t="s">
        <v>9</v>
      </c>
    </row>
    <row r="4505" spans="1:15" x14ac:dyDescent="0.25">
      <c r="A4505" s="466"/>
      <c r="B4505" s="468"/>
      <c r="C4505" s="468"/>
      <c r="D4505" s="467"/>
    </row>
    <row r="4506" spans="1:15" x14ac:dyDescent="0.25">
      <c r="B4506" s="17" t="s">
        <v>2287</v>
      </c>
      <c r="C4506" s="31">
        <f>SUM(C4499:C4500,C4503:C4504)</f>
        <v>6779</v>
      </c>
      <c r="D4506" s="18" t="s">
        <v>9</v>
      </c>
    </row>
    <row r="4507" spans="1:15" x14ac:dyDescent="0.25">
      <c r="A4507" s="466"/>
      <c r="B4507" s="468"/>
      <c r="C4507" s="468"/>
      <c r="D4507" s="467"/>
    </row>
    <row r="4508" spans="1:15" x14ac:dyDescent="0.25">
      <c r="A4508" s="466" t="s">
        <v>2275</v>
      </c>
      <c r="B4508" s="467"/>
    </row>
    <row r="4509" spans="1:15" x14ac:dyDescent="0.25">
      <c r="A4509" s="13" t="s">
        <v>1618</v>
      </c>
      <c r="B4509" s="14" t="s">
        <v>2276</v>
      </c>
      <c r="C4509" s="316">
        <v>282.24</v>
      </c>
      <c r="D4509" s="15" t="s">
        <v>9</v>
      </c>
      <c r="M4509" s="215">
        <v>7.8</v>
      </c>
      <c r="N4509" s="125">
        <v>16.600000000000001</v>
      </c>
      <c r="O4509" s="125">
        <v>7.7</v>
      </c>
    </row>
    <row r="4510" spans="1:15" x14ac:dyDescent="0.25">
      <c r="A4510" s="13" t="s">
        <v>1620</v>
      </c>
      <c r="B4510" s="14" t="s">
        <v>2277</v>
      </c>
      <c r="C4510" s="316">
        <v>277.22000000000003</v>
      </c>
      <c r="D4510" s="15" t="s">
        <v>9</v>
      </c>
    </row>
    <row r="4511" spans="1:15" x14ac:dyDescent="0.25">
      <c r="A4511" s="13" t="s">
        <v>1621</v>
      </c>
      <c r="B4511" s="14" t="s">
        <v>2278</v>
      </c>
      <c r="C4511" s="316">
        <v>63.08</v>
      </c>
      <c r="D4511" s="15" t="s">
        <v>9</v>
      </c>
    </row>
    <row r="4512" spans="1:15" x14ac:dyDescent="0.25">
      <c r="A4512" s="13" t="s">
        <v>1623</v>
      </c>
      <c r="B4512" s="14" t="s">
        <v>2279</v>
      </c>
      <c r="C4512" s="316">
        <v>59.28</v>
      </c>
      <c r="D4512" s="15" t="s">
        <v>9</v>
      </c>
      <c r="L4512" s="33">
        <f>N4509*O4509</f>
        <v>127.82000000000001</v>
      </c>
    </row>
    <row r="4513" spans="1:12" x14ac:dyDescent="0.25">
      <c r="A4513" s="13" t="s">
        <v>1631</v>
      </c>
      <c r="B4513" s="14" t="s">
        <v>2278</v>
      </c>
      <c r="C4513" s="316">
        <v>63.08</v>
      </c>
      <c r="D4513" s="15" t="s">
        <v>9</v>
      </c>
    </row>
    <row r="4514" spans="1:12" x14ac:dyDescent="0.25">
      <c r="A4514" s="13" t="s">
        <v>1632</v>
      </c>
      <c r="B4514" s="14" t="s">
        <v>2280</v>
      </c>
      <c r="C4514" s="316">
        <v>60.06</v>
      </c>
      <c r="D4514" s="15" t="s">
        <v>9</v>
      </c>
    </row>
    <row r="4515" spans="1:12" x14ac:dyDescent="0.25">
      <c r="A4515" s="13" t="s">
        <v>1633</v>
      </c>
      <c r="B4515" s="14" t="s">
        <v>2281</v>
      </c>
      <c r="C4515" s="316">
        <v>132.03</v>
      </c>
      <c r="D4515" s="15" t="s">
        <v>9</v>
      </c>
    </row>
    <row r="4516" spans="1:12" x14ac:dyDescent="0.25">
      <c r="A4516" s="13" t="s">
        <v>1634</v>
      </c>
      <c r="B4516" s="14" t="s">
        <v>2282</v>
      </c>
      <c r="C4516" s="316">
        <v>131.93</v>
      </c>
      <c r="D4516" s="15" t="s">
        <v>9</v>
      </c>
    </row>
    <row r="4517" spans="1:12" x14ac:dyDescent="0.25">
      <c r="A4517" s="13" t="s">
        <v>1635</v>
      </c>
      <c r="B4517" s="14" t="s">
        <v>2283</v>
      </c>
      <c r="C4517" s="316">
        <v>125.51</v>
      </c>
      <c r="D4517" s="15" t="s">
        <v>9</v>
      </c>
    </row>
    <row r="4518" spans="1:12" x14ac:dyDescent="0.25">
      <c r="A4518" s="13" t="s">
        <v>1385</v>
      </c>
      <c r="B4518" s="14" t="s">
        <v>2284</v>
      </c>
      <c r="C4518" s="316">
        <v>127.05</v>
      </c>
      <c r="D4518" s="15" t="s">
        <v>9</v>
      </c>
    </row>
    <row r="4519" spans="1:12" x14ac:dyDescent="0.25">
      <c r="A4519" s="13" t="s">
        <v>1398</v>
      </c>
      <c r="B4519" s="14" t="s">
        <v>2285</v>
      </c>
      <c r="C4519" s="316">
        <v>127.82</v>
      </c>
      <c r="D4519" s="15" t="s">
        <v>9</v>
      </c>
    </row>
    <row r="4521" spans="1:12" x14ac:dyDescent="0.25">
      <c r="B4521" s="17" t="s">
        <v>2286</v>
      </c>
      <c r="C4521" s="31">
        <f>SUM(C4509:C4519)</f>
        <v>1449.3</v>
      </c>
      <c r="D4521" s="18" t="s">
        <v>9</v>
      </c>
    </row>
    <row r="4523" spans="1:12" x14ac:dyDescent="0.25">
      <c r="A4523" s="432" t="s">
        <v>2293</v>
      </c>
      <c r="B4523" s="433"/>
      <c r="C4523" s="433"/>
      <c r="D4523" s="433"/>
      <c r="E4523" s="433"/>
      <c r="F4523" s="434"/>
    </row>
    <row r="4524" spans="1:12" x14ac:dyDescent="0.25">
      <c r="A4524" s="28" t="s">
        <v>0</v>
      </c>
      <c r="B4524" s="28" t="s">
        <v>1</v>
      </c>
      <c r="C4524" s="329" t="s">
        <v>2</v>
      </c>
      <c r="D4524" s="28" t="s">
        <v>3</v>
      </c>
      <c r="E4524" s="262" t="s">
        <v>4</v>
      </c>
      <c r="F4524" s="262" t="s">
        <v>5</v>
      </c>
    </row>
    <row r="4525" spans="1:12" x14ac:dyDescent="0.25">
      <c r="A4525" s="13" t="s">
        <v>1618</v>
      </c>
      <c r="B4525" s="14" t="s">
        <v>2288</v>
      </c>
      <c r="C4525" s="316">
        <v>644.16</v>
      </c>
      <c r="D4525" s="15" t="s">
        <v>9</v>
      </c>
      <c r="E4525" s="16">
        <v>30</v>
      </c>
      <c r="F4525" s="16">
        <f t="shared" ref="F4525:F4582" si="91">C4525*E4525</f>
        <v>19324.8</v>
      </c>
      <c r="L4525" s="33" t="s">
        <v>2294</v>
      </c>
    </row>
    <row r="4526" spans="1:12" x14ac:dyDescent="0.25">
      <c r="A4526" s="13" t="s">
        <v>1620</v>
      </c>
      <c r="B4526" s="14" t="s">
        <v>1783</v>
      </c>
      <c r="C4526" s="316">
        <v>551.20000000000005</v>
      </c>
      <c r="D4526" s="15" t="s">
        <v>9</v>
      </c>
      <c r="E4526" s="16">
        <v>32</v>
      </c>
      <c r="F4526" s="16">
        <f t="shared" si="91"/>
        <v>17638.400000000001</v>
      </c>
      <c r="L4526" s="33" t="s">
        <v>2295</v>
      </c>
    </row>
    <row r="4527" spans="1:12" x14ac:dyDescent="0.25">
      <c r="A4527" s="13" t="s">
        <v>1621</v>
      </c>
      <c r="B4527" s="14" t="s">
        <v>1784</v>
      </c>
      <c r="C4527" s="316">
        <v>1</v>
      </c>
      <c r="D4527" s="15" t="s">
        <v>772</v>
      </c>
      <c r="E4527" s="16">
        <v>4500</v>
      </c>
      <c r="F4527" s="16">
        <f t="shared" si="91"/>
        <v>4500</v>
      </c>
      <c r="L4527" s="33" t="s">
        <v>2296</v>
      </c>
    </row>
    <row r="4528" spans="1:12" x14ac:dyDescent="0.25">
      <c r="A4528" s="13" t="s">
        <v>1623</v>
      </c>
      <c r="B4528" s="14" t="s">
        <v>1865</v>
      </c>
      <c r="C4528" s="316">
        <v>1152</v>
      </c>
      <c r="D4528" s="15" t="s">
        <v>9</v>
      </c>
      <c r="E4528" s="16">
        <v>29</v>
      </c>
      <c r="F4528" s="16">
        <f t="shared" si="91"/>
        <v>33408</v>
      </c>
      <c r="L4528" s="33" t="s">
        <v>2292</v>
      </c>
    </row>
    <row r="4529" spans="1:12" x14ac:dyDescent="0.25">
      <c r="A4529" s="13" t="s">
        <v>1631</v>
      </c>
      <c r="B4529" s="14" t="s">
        <v>1802</v>
      </c>
      <c r="C4529" s="316">
        <v>650</v>
      </c>
      <c r="D4529" s="15" t="s">
        <v>9</v>
      </c>
      <c r="E4529" s="16">
        <v>20</v>
      </c>
      <c r="F4529" s="16">
        <f t="shared" si="91"/>
        <v>13000</v>
      </c>
      <c r="L4529" s="33" t="s">
        <v>2297</v>
      </c>
    </row>
    <row r="4530" spans="1:12" x14ac:dyDescent="0.25">
      <c r="A4530" s="13" t="s">
        <v>1632</v>
      </c>
      <c r="B4530" s="14" t="s">
        <v>1785</v>
      </c>
      <c r="C4530" s="316">
        <v>48</v>
      </c>
      <c r="D4530" s="15" t="s">
        <v>33</v>
      </c>
      <c r="E4530" s="16">
        <v>12.5</v>
      </c>
      <c r="F4530" s="16">
        <f t="shared" si="91"/>
        <v>600</v>
      </c>
      <c r="L4530" s="33" t="s">
        <v>2298</v>
      </c>
    </row>
    <row r="4531" spans="1:12" x14ac:dyDescent="0.25">
      <c r="A4531" s="13" t="s">
        <v>1633</v>
      </c>
      <c r="B4531" s="14" t="s">
        <v>1786</v>
      </c>
      <c r="C4531" s="316">
        <v>79.2</v>
      </c>
      <c r="D4531" s="15" t="s">
        <v>33</v>
      </c>
      <c r="E4531" s="16">
        <v>12.5</v>
      </c>
      <c r="F4531" s="16">
        <f t="shared" si="91"/>
        <v>990</v>
      </c>
    </row>
    <row r="4532" spans="1:12" x14ac:dyDescent="0.25">
      <c r="A4532" s="13" t="s">
        <v>1634</v>
      </c>
      <c r="B4532" s="14" t="s">
        <v>1787</v>
      </c>
      <c r="C4532" s="316">
        <v>28</v>
      </c>
      <c r="D4532" s="15" t="s">
        <v>32</v>
      </c>
      <c r="E4532" s="16">
        <v>60</v>
      </c>
      <c r="F4532" s="16">
        <f t="shared" si="91"/>
        <v>1680</v>
      </c>
      <c r="L4532" s="33" t="s">
        <v>2317</v>
      </c>
    </row>
    <row r="4533" spans="1:12" ht="30" x14ac:dyDescent="0.25">
      <c r="A4533" s="13" t="s">
        <v>1635</v>
      </c>
      <c r="B4533" s="14" t="s">
        <v>2316</v>
      </c>
      <c r="C4533" s="316">
        <v>32</v>
      </c>
      <c r="D4533" s="15" t="s">
        <v>32</v>
      </c>
      <c r="E4533" s="16">
        <v>60</v>
      </c>
      <c r="F4533" s="16">
        <f t="shared" si="91"/>
        <v>1920</v>
      </c>
      <c r="L4533" s="98">
        <v>208952</v>
      </c>
    </row>
    <row r="4534" spans="1:12" x14ac:dyDescent="0.25">
      <c r="A4534" s="13" t="s">
        <v>1385</v>
      </c>
      <c r="B4534" s="14" t="s">
        <v>1730</v>
      </c>
      <c r="C4534" s="316">
        <v>1298</v>
      </c>
      <c r="D4534" s="15" t="s">
        <v>32</v>
      </c>
      <c r="E4534" s="16">
        <v>55</v>
      </c>
      <c r="F4534" s="16">
        <f t="shared" si="91"/>
        <v>71390</v>
      </c>
    </row>
    <row r="4535" spans="1:12" x14ac:dyDescent="0.25">
      <c r="A4535" s="13" t="s">
        <v>1398</v>
      </c>
      <c r="B4535" s="14" t="s">
        <v>1789</v>
      </c>
      <c r="C4535" s="316">
        <v>21.33</v>
      </c>
      <c r="D4535" s="15" t="s">
        <v>9</v>
      </c>
      <c r="E4535" s="16">
        <v>300</v>
      </c>
      <c r="F4535" s="16">
        <f t="shared" si="91"/>
        <v>6398.9999999999991</v>
      </c>
    </row>
    <row r="4536" spans="1:12" x14ac:dyDescent="0.25">
      <c r="A4536" s="13" t="s">
        <v>1637</v>
      </c>
      <c r="B4536" s="14" t="s">
        <v>63</v>
      </c>
      <c r="C4536" s="316">
        <v>164</v>
      </c>
      <c r="D4536" s="15" t="s">
        <v>9</v>
      </c>
      <c r="E4536" s="16">
        <v>130</v>
      </c>
      <c r="F4536" s="16">
        <f t="shared" si="91"/>
        <v>21320</v>
      </c>
    </row>
    <row r="4537" spans="1:12" x14ac:dyDescent="0.25">
      <c r="A4537" s="13" t="s">
        <v>1660</v>
      </c>
      <c r="B4537" s="14" t="s">
        <v>1790</v>
      </c>
      <c r="C4537" s="316">
        <v>22</v>
      </c>
      <c r="D4537" s="15" t="s">
        <v>62</v>
      </c>
      <c r="E4537" s="16">
        <v>100</v>
      </c>
      <c r="F4537" s="16">
        <f t="shared" si="91"/>
        <v>2200</v>
      </c>
    </row>
    <row r="4538" spans="1:12" x14ac:dyDescent="0.25">
      <c r="A4538" s="13" t="s">
        <v>1661</v>
      </c>
      <c r="B4538" s="14" t="s">
        <v>2299</v>
      </c>
      <c r="C4538" s="316">
        <v>42</v>
      </c>
      <c r="D4538" s="15" t="s">
        <v>32</v>
      </c>
      <c r="E4538" s="16">
        <v>100</v>
      </c>
      <c r="F4538" s="16">
        <f t="shared" si="91"/>
        <v>4200</v>
      </c>
    </row>
    <row r="4539" spans="1:12" x14ac:dyDescent="0.25">
      <c r="A4539" s="13" t="s">
        <v>1662</v>
      </c>
      <c r="B4539" s="14" t="s">
        <v>1793</v>
      </c>
      <c r="C4539" s="316">
        <v>161.04</v>
      </c>
      <c r="D4539" s="15" t="s">
        <v>32</v>
      </c>
      <c r="E4539" s="16">
        <v>300</v>
      </c>
      <c r="F4539" s="16">
        <f t="shared" si="91"/>
        <v>48312</v>
      </c>
    </row>
    <row r="4540" spans="1:12" x14ac:dyDescent="0.25">
      <c r="A4540" s="13" t="s">
        <v>1663</v>
      </c>
      <c r="B4540" s="14" t="s">
        <v>1794</v>
      </c>
      <c r="C4540" s="316">
        <v>598.16</v>
      </c>
      <c r="D4540" s="15" t="s">
        <v>9</v>
      </c>
      <c r="E4540" s="16">
        <v>80</v>
      </c>
      <c r="F4540" s="16">
        <f t="shared" si="91"/>
        <v>47852.799999999996</v>
      </c>
    </row>
    <row r="4541" spans="1:12" x14ac:dyDescent="0.25">
      <c r="A4541" s="13" t="s">
        <v>1664</v>
      </c>
      <c r="B4541" s="14" t="s">
        <v>1795</v>
      </c>
      <c r="C4541" s="316">
        <v>598.16</v>
      </c>
      <c r="D4541" s="15" t="s">
        <v>9</v>
      </c>
      <c r="E4541" s="16">
        <v>30</v>
      </c>
      <c r="F4541" s="16">
        <f t="shared" si="91"/>
        <v>17944.8</v>
      </c>
    </row>
    <row r="4542" spans="1:12" x14ac:dyDescent="0.25">
      <c r="A4542" s="13" t="s">
        <v>1665</v>
      </c>
      <c r="B4542" s="14" t="s">
        <v>1796</v>
      </c>
      <c r="C4542" s="316">
        <v>716.9</v>
      </c>
      <c r="D4542" s="15" t="s">
        <v>9</v>
      </c>
      <c r="E4542" s="16">
        <v>105</v>
      </c>
      <c r="F4542" s="16">
        <f t="shared" si="91"/>
        <v>75274.5</v>
      </c>
    </row>
    <row r="4543" spans="1:12" ht="30" x14ac:dyDescent="0.25">
      <c r="A4543" s="13" t="s">
        <v>1666</v>
      </c>
      <c r="B4543" s="14" t="s">
        <v>1797</v>
      </c>
      <c r="C4543" s="316">
        <v>2725.4</v>
      </c>
      <c r="D4543" s="15" t="s">
        <v>9</v>
      </c>
      <c r="E4543" s="16">
        <v>95</v>
      </c>
      <c r="F4543" s="16">
        <f t="shared" si="91"/>
        <v>258913</v>
      </c>
    </row>
    <row r="4544" spans="1:12" x14ac:dyDescent="0.25">
      <c r="A4544" s="13" t="s">
        <v>1667</v>
      </c>
      <c r="B4544" s="14" t="s">
        <v>2300</v>
      </c>
      <c r="C4544" s="316">
        <v>2725.4</v>
      </c>
      <c r="D4544" s="15" t="s">
        <v>9</v>
      </c>
      <c r="E4544" s="16">
        <v>35</v>
      </c>
      <c r="F4544" s="16">
        <f t="shared" si="91"/>
        <v>95389</v>
      </c>
    </row>
    <row r="4545" spans="1:6" x14ac:dyDescent="0.25">
      <c r="A4545" s="13" t="s">
        <v>1668</v>
      </c>
      <c r="B4545" s="14" t="s">
        <v>1798</v>
      </c>
      <c r="C4545" s="316">
        <v>126</v>
      </c>
      <c r="D4545" s="15" t="s">
        <v>33</v>
      </c>
      <c r="E4545" s="16">
        <v>280</v>
      </c>
      <c r="F4545" s="16">
        <f t="shared" si="91"/>
        <v>35280</v>
      </c>
    </row>
    <row r="4546" spans="1:6" x14ac:dyDescent="0.25">
      <c r="A4546" s="13" t="s">
        <v>1669</v>
      </c>
      <c r="B4546" s="14" t="s">
        <v>1799</v>
      </c>
      <c r="C4546" s="316">
        <v>76</v>
      </c>
      <c r="D4546" s="15" t="s">
        <v>33</v>
      </c>
      <c r="E4546" s="16">
        <v>205</v>
      </c>
      <c r="F4546" s="16">
        <f t="shared" si="91"/>
        <v>15580</v>
      </c>
    </row>
    <row r="4547" spans="1:6" x14ac:dyDescent="0.25">
      <c r="A4547" s="13" t="s">
        <v>1670</v>
      </c>
      <c r="B4547" s="14" t="s">
        <v>1800</v>
      </c>
      <c r="C4547" s="316">
        <v>626.96</v>
      </c>
      <c r="D4547" s="15" t="s">
        <v>9</v>
      </c>
      <c r="E4547" s="16">
        <v>75</v>
      </c>
      <c r="F4547" s="16">
        <f t="shared" si="91"/>
        <v>47022</v>
      </c>
    </row>
    <row r="4548" spans="1:6" x14ac:dyDescent="0.25">
      <c r="A4548" s="13" t="s">
        <v>1671</v>
      </c>
      <c r="B4548" s="14" t="s">
        <v>1801</v>
      </c>
      <c r="C4548" s="316">
        <v>626.96</v>
      </c>
      <c r="D4548" s="15" t="s">
        <v>9</v>
      </c>
      <c r="E4548" s="16">
        <v>35</v>
      </c>
      <c r="F4548" s="16">
        <f t="shared" si="91"/>
        <v>21943.600000000002</v>
      </c>
    </row>
    <row r="4549" spans="1:6" x14ac:dyDescent="0.25">
      <c r="A4549" s="13" t="s">
        <v>1672</v>
      </c>
      <c r="B4549" s="14" t="s">
        <v>1803</v>
      </c>
      <c r="C4549" s="316">
        <v>1042</v>
      </c>
      <c r="D4549" s="15" t="s">
        <v>9</v>
      </c>
      <c r="E4549" s="16">
        <v>190</v>
      </c>
      <c r="F4549" s="16">
        <f t="shared" si="91"/>
        <v>197980</v>
      </c>
    </row>
    <row r="4550" spans="1:6" ht="30" x14ac:dyDescent="0.25">
      <c r="A4550" s="13" t="s">
        <v>1673</v>
      </c>
      <c r="B4550" s="14" t="s">
        <v>1804</v>
      </c>
      <c r="C4550" s="316">
        <v>1042</v>
      </c>
      <c r="D4550" s="15" t="s">
        <v>9</v>
      </c>
      <c r="E4550" s="16">
        <v>24</v>
      </c>
      <c r="F4550" s="16">
        <f t="shared" si="91"/>
        <v>25008</v>
      </c>
    </row>
    <row r="4551" spans="1:6" x14ac:dyDescent="0.25">
      <c r="A4551" s="13" t="s">
        <v>1692</v>
      </c>
      <c r="B4551" s="14" t="s">
        <v>1805</v>
      </c>
      <c r="C4551" s="316">
        <v>44</v>
      </c>
      <c r="D4551" s="15" t="s">
        <v>9</v>
      </c>
      <c r="E4551" s="16">
        <v>160</v>
      </c>
      <c r="F4551" s="16">
        <f t="shared" si="91"/>
        <v>7040</v>
      </c>
    </row>
    <row r="4552" spans="1:6" x14ac:dyDescent="0.25">
      <c r="A4552" s="13" t="s">
        <v>1826</v>
      </c>
      <c r="B4552" s="14" t="s">
        <v>1806</v>
      </c>
      <c r="C4552" s="316">
        <v>102</v>
      </c>
      <c r="D4552" s="15" t="s">
        <v>33</v>
      </c>
      <c r="E4552" s="16">
        <v>220</v>
      </c>
      <c r="F4552" s="16">
        <f t="shared" si="91"/>
        <v>22440</v>
      </c>
    </row>
    <row r="4553" spans="1:6" ht="30" x14ac:dyDescent="0.25">
      <c r="A4553" s="13" t="s">
        <v>1827</v>
      </c>
      <c r="B4553" s="14" t="s">
        <v>1807</v>
      </c>
      <c r="C4553" s="316">
        <v>204</v>
      </c>
      <c r="D4553" s="15" t="s">
        <v>9</v>
      </c>
      <c r="E4553" s="16">
        <v>45</v>
      </c>
      <c r="F4553" s="16">
        <f t="shared" si="91"/>
        <v>9180</v>
      </c>
    </row>
    <row r="4554" spans="1:6" x14ac:dyDescent="0.25">
      <c r="A4554" s="13" t="s">
        <v>1828</v>
      </c>
      <c r="B4554" s="14" t="s">
        <v>1808</v>
      </c>
      <c r="C4554" s="316">
        <v>80</v>
      </c>
      <c r="D4554" s="15" t="s">
        <v>33</v>
      </c>
      <c r="E4554" s="16">
        <v>140</v>
      </c>
      <c r="F4554" s="16">
        <f t="shared" si="91"/>
        <v>11200</v>
      </c>
    </row>
    <row r="4555" spans="1:6" x14ac:dyDescent="0.25">
      <c r="A4555" s="13" t="s">
        <v>1829</v>
      </c>
      <c r="B4555" s="14" t="s">
        <v>1809</v>
      </c>
      <c r="C4555" s="316">
        <v>28</v>
      </c>
      <c r="D4555" s="15" t="s">
        <v>33</v>
      </c>
      <c r="E4555" s="16">
        <v>130</v>
      </c>
      <c r="F4555" s="16">
        <f t="shared" si="91"/>
        <v>3640</v>
      </c>
    </row>
    <row r="4556" spans="1:6" x14ac:dyDescent="0.25">
      <c r="A4556" s="13" t="s">
        <v>1830</v>
      </c>
      <c r="B4556" s="14" t="s">
        <v>1810</v>
      </c>
      <c r="C4556" s="316">
        <v>40</v>
      </c>
      <c r="D4556" s="15" t="s">
        <v>33</v>
      </c>
      <c r="E4556" s="16">
        <v>130</v>
      </c>
      <c r="F4556" s="16">
        <f t="shared" si="91"/>
        <v>5200</v>
      </c>
    </row>
    <row r="4557" spans="1:6" x14ac:dyDescent="0.25">
      <c r="A4557" s="13" t="s">
        <v>1831</v>
      </c>
      <c r="B4557" s="14" t="s">
        <v>1811</v>
      </c>
      <c r="C4557" s="316">
        <v>1042</v>
      </c>
      <c r="D4557" s="15" t="s">
        <v>9</v>
      </c>
      <c r="E4557" s="16">
        <v>24</v>
      </c>
      <c r="F4557" s="16">
        <f t="shared" si="91"/>
        <v>25008</v>
      </c>
    </row>
    <row r="4558" spans="1:6" x14ac:dyDescent="0.25">
      <c r="A4558" s="13" t="s">
        <v>1832</v>
      </c>
      <c r="B4558" s="14" t="s">
        <v>1812</v>
      </c>
      <c r="C4558" s="316">
        <v>78.75</v>
      </c>
      <c r="D4558" s="15" t="s">
        <v>32</v>
      </c>
      <c r="E4558" s="16">
        <v>300</v>
      </c>
      <c r="F4558" s="16">
        <f t="shared" si="91"/>
        <v>23625</v>
      </c>
    </row>
    <row r="4559" spans="1:6" x14ac:dyDescent="0.25">
      <c r="A4559" s="13" t="s">
        <v>1833</v>
      </c>
      <c r="B4559" s="14" t="s">
        <v>2302</v>
      </c>
      <c r="C4559" s="316">
        <v>118</v>
      </c>
      <c r="D4559" s="15" t="s">
        <v>9</v>
      </c>
      <c r="E4559" s="16">
        <v>130</v>
      </c>
      <c r="F4559" s="16">
        <f t="shared" si="91"/>
        <v>15340</v>
      </c>
    </row>
    <row r="4560" spans="1:6" x14ac:dyDescent="0.25">
      <c r="A4560" s="13" t="s">
        <v>1834</v>
      </c>
      <c r="B4560" s="14" t="s">
        <v>2301</v>
      </c>
      <c r="C4560" s="316">
        <v>426.72</v>
      </c>
      <c r="D4560" s="15" t="s">
        <v>9</v>
      </c>
      <c r="E4560" s="16">
        <v>80</v>
      </c>
      <c r="F4560" s="16">
        <f t="shared" si="91"/>
        <v>34137.600000000006</v>
      </c>
    </row>
    <row r="4561" spans="1:6" x14ac:dyDescent="0.25">
      <c r="A4561" s="13" t="s">
        <v>1835</v>
      </c>
      <c r="B4561" s="14" t="s">
        <v>1795</v>
      </c>
      <c r="C4561" s="316">
        <v>426.72</v>
      </c>
      <c r="D4561" s="15" t="s">
        <v>9</v>
      </c>
      <c r="E4561" s="16">
        <v>30</v>
      </c>
      <c r="F4561" s="16">
        <f t="shared" si="91"/>
        <v>12801.6</v>
      </c>
    </row>
    <row r="4562" spans="1:6" x14ac:dyDescent="0.25">
      <c r="A4562" s="13" t="s">
        <v>1836</v>
      </c>
      <c r="B4562" s="14" t="s">
        <v>1815</v>
      </c>
      <c r="C4562" s="316">
        <v>11.2</v>
      </c>
      <c r="D4562" s="15" t="s">
        <v>32</v>
      </c>
      <c r="E4562" s="16">
        <v>290</v>
      </c>
      <c r="F4562" s="16">
        <f t="shared" si="91"/>
        <v>3248</v>
      </c>
    </row>
    <row r="4563" spans="1:6" x14ac:dyDescent="0.25">
      <c r="A4563" s="13" t="s">
        <v>1837</v>
      </c>
      <c r="B4563" s="14" t="s">
        <v>63</v>
      </c>
      <c r="C4563" s="316">
        <v>98</v>
      </c>
      <c r="D4563" s="15" t="s">
        <v>9</v>
      </c>
      <c r="E4563" s="16">
        <v>130</v>
      </c>
      <c r="F4563" s="16">
        <f t="shared" si="91"/>
        <v>12740</v>
      </c>
    </row>
    <row r="4564" spans="1:6" x14ac:dyDescent="0.25">
      <c r="A4564" s="13" t="s">
        <v>1838</v>
      </c>
      <c r="B4564" s="14" t="s">
        <v>1790</v>
      </c>
      <c r="C4564" s="316">
        <v>16</v>
      </c>
      <c r="D4564" s="15" t="s">
        <v>62</v>
      </c>
      <c r="E4564" s="16">
        <v>100</v>
      </c>
      <c r="F4564" s="16">
        <f t="shared" si="91"/>
        <v>1600</v>
      </c>
    </row>
    <row r="4565" spans="1:6" x14ac:dyDescent="0.25">
      <c r="A4565" s="13" t="s">
        <v>1839</v>
      </c>
      <c r="B4565" s="14" t="s">
        <v>2303</v>
      </c>
      <c r="C4565" s="316">
        <v>8</v>
      </c>
      <c r="D4565" s="15" t="s">
        <v>32</v>
      </c>
      <c r="E4565" s="16">
        <v>300</v>
      </c>
      <c r="F4565" s="16">
        <f t="shared" si="91"/>
        <v>2400</v>
      </c>
    </row>
    <row r="4566" spans="1:6" x14ac:dyDescent="0.25">
      <c r="A4566" s="13" t="s">
        <v>1840</v>
      </c>
      <c r="B4566" s="14" t="s">
        <v>63</v>
      </c>
      <c r="C4566" s="316">
        <v>24</v>
      </c>
      <c r="D4566" s="15" t="s">
        <v>9</v>
      </c>
      <c r="E4566" s="16">
        <v>130</v>
      </c>
      <c r="F4566" s="16">
        <f t="shared" si="91"/>
        <v>3120</v>
      </c>
    </row>
    <row r="4567" spans="1:6" x14ac:dyDescent="0.25">
      <c r="A4567" s="13" t="s">
        <v>1841</v>
      </c>
      <c r="B4567" s="14" t="s">
        <v>1790</v>
      </c>
      <c r="C4567" s="316">
        <v>21</v>
      </c>
      <c r="D4567" s="15" t="s">
        <v>62</v>
      </c>
      <c r="E4567" s="16">
        <v>100</v>
      </c>
      <c r="F4567" s="16">
        <f t="shared" si="91"/>
        <v>2100</v>
      </c>
    </row>
    <row r="4568" spans="1:6" x14ac:dyDescent="0.25">
      <c r="A4568" s="13" t="s">
        <v>1842</v>
      </c>
      <c r="B4568" s="14" t="s">
        <v>2304</v>
      </c>
      <c r="C4568" s="316">
        <v>48</v>
      </c>
      <c r="D4568" s="15" t="s">
        <v>9</v>
      </c>
      <c r="E4568" s="16">
        <v>130</v>
      </c>
      <c r="F4568" s="16">
        <f t="shared" si="91"/>
        <v>6240</v>
      </c>
    </row>
    <row r="4569" spans="1:6" x14ac:dyDescent="0.25">
      <c r="A4569" s="13" t="s">
        <v>1843</v>
      </c>
      <c r="B4569" s="14" t="s">
        <v>2305</v>
      </c>
      <c r="C4569" s="316">
        <v>168</v>
      </c>
      <c r="D4569" s="15" t="s">
        <v>9</v>
      </c>
      <c r="E4569" s="16">
        <v>130</v>
      </c>
      <c r="F4569" s="16">
        <f t="shared" si="91"/>
        <v>21840</v>
      </c>
    </row>
    <row r="4570" spans="1:6" x14ac:dyDescent="0.25">
      <c r="A4570" s="13" t="s">
        <v>1844</v>
      </c>
      <c r="B4570" s="14" t="s">
        <v>1860</v>
      </c>
      <c r="C4570" s="316">
        <v>46.5</v>
      </c>
      <c r="D4570" s="15" t="s">
        <v>9</v>
      </c>
      <c r="E4570" s="16">
        <v>120</v>
      </c>
      <c r="F4570" s="16">
        <f t="shared" si="91"/>
        <v>5580</v>
      </c>
    </row>
    <row r="4571" spans="1:6" ht="45" x14ac:dyDescent="0.25">
      <c r="A4571" s="13" t="s">
        <v>1845</v>
      </c>
      <c r="B4571" s="14" t="s">
        <v>2306</v>
      </c>
      <c r="C4571" s="316">
        <v>42</v>
      </c>
      <c r="D4571" s="15" t="s">
        <v>33</v>
      </c>
      <c r="E4571" s="16">
        <v>120</v>
      </c>
      <c r="F4571" s="16">
        <f t="shared" si="91"/>
        <v>5040</v>
      </c>
    </row>
    <row r="4572" spans="1:6" x14ac:dyDescent="0.25">
      <c r="A4572" s="13" t="s">
        <v>1846</v>
      </c>
      <c r="B4572" s="14" t="s">
        <v>1821</v>
      </c>
      <c r="C4572" s="316">
        <v>18</v>
      </c>
      <c r="D4572" s="15" t="s">
        <v>33</v>
      </c>
      <c r="E4572" s="16">
        <v>160</v>
      </c>
      <c r="F4572" s="16">
        <f t="shared" si="91"/>
        <v>2880</v>
      </c>
    </row>
    <row r="4573" spans="1:6" ht="30" x14ac:dyDescent="0.25">
      <c r="A4573" s="13" t="s">
        <v>1847</v>
      </c>
      <c r="B4573" s="14" t="s">
        <v>2307</v>
      </c>
      <c r="C4573" s="316">
        <v>1</v>
      </c>
      <c r="D4573" s="15" t="s">
        <v>180</v>
      </c>
      <c r="E4573" s="16">
        <v>1000</v>
      </c>
      <c r="F4573" s="16">
        <f t="shared" si="91"/>
        <v>1000</v>
      </c>
    </row>
    <row r="4574" spans="1:6" x14ac:dyDescent="0.25">
      <c r="A4574" s="13" t="s">
        <v>1848</v>
      </c>
      <c r="B4574" s="14" t="s">
        <v>2308</v>
      </c>
      <c r="C4574" s="316">
        <v>1</v>
      </c>
      <c r="D4574" s="15" t="s">
        <v>180</v>
      </c>
      <c r="E4574" s="16">
        <v>250</v>
      </c>
      <c r="F4574" s="16">
        <f t="shared" si="91"/>
        <v>250</v>
      </c>
    </row>
    <row r="4575" spans="1:6" ht="30" x14ac:dyDescent="0.25">
      <c r="A4575" s="13" t="s">
        <v>1849</v>
      </c>
      <c r="B4575" s="14" t="s">
        <v>2309</v>
      </c>
      <c r="C4575" s="316">
        <v>1</v>
      </c>
      <c r="D4575" s="15" t="s">
        <v>180</v>
      </c>
      <c r="E4575" s="16">
        <v>1600</v>
      </c>
      <c r="F4575" s="16">
        <f t="shared" si="91"/>
        <v>1600</v>
      </c>
    </row>
    <row r="4576" spans="1:6" x14ac:dyDescent="0.25">
      <c r="A4576" s="13" t="s">
        <v>1850</v>
      </c>
      <c r="B4576" s="14" t="s">
        <v>2310</v>
      </c>
      <c r="C4576" s="316">
        <v>1</v>
      </c>
      <c r="D4576" s="15" t="s">
        <v>180</v>
      </c>
      <c r="E4576" s="16">
        <v>1500</v>
      </c>
      <c r="F4576" s="16">
        <f t="shared" si="91"/>
        <v>1500</v>
      </c>
    </row>
    <row r="4577" spans="1:12" x14ac:dyDescent="0.25">
      <c r="A4577" s="13" t="s">
        <v>1851</v>
      </c>
      <c r="B4577" s="14" t="s">
        <v>2311</v>
      </c>
      <c r="C4577" s="316">
        <v>1</v>
      </c>
      <c r="D4577" s="15" t="s">
        <v>180</v>
      </c>
      <c r="E4577" s="16">
        <v>1500</v>
      </c>
      <c r="F4577" s="16">
        <f t="shared" si="91"/>
        <v>1500</v>
      </c>
    </row>
    <row r="4578" spans="1:12" x14ac:dyDescent="0.25">
      <c r="A4578" s="13" t="s">
        <v>1852</v>
      </c>
      <c r="B4578" s="14" t="s">
        <v>2312</v>
      </c>
      <c r="C4578" s="316">
        <v>54</v>
      </c>
      <c r="D4578" s="15" t="s">
        <v>9</v>
      </c>
      <c r="E4578" s="16">
        <v>130</v>
      </c>
      <c r="F4578" s="16">
        <f t="shared" si="91"/>
        <v>7020</v>
      </c>
    </row>
    <row r="4579" spans="1:12" x14ac:dyDescent="0.25">
      <c r="A4579" s="13" t="s">
        <v>1853</v>
      </c>
      <c r="B4579" s="14" t="s">
        <v>1860</v>
      </c>
      <c r="C4579" s="316">
        <v>21.6</v>
      </c>
      <c r="D4579" s="15" t="s">
        <v>9</v>
      </c>
      <c r="E4579" s="16">
        <v>120</v>
      </c>
      <c r="F4579" s="16">
        <f t="shared" si="91"/>
        <v>2592</v>
      </c>
    </row>
    <row r="4580" spans="1:12" x14ac:dyDescent="0.25">
      <c r="A4580" s="13" t="s">
        <v>1854</v>
      </c>
      <c r="B4580" s="14" t="s">
        <v>2313</v>
      </c>
      <c r="C4580" s="316">
        <v>99</v>
      </c>
      <c r="D4580" s="15" t="s">
        <v>33</v>
      </c>
      <c r="E4580" s="16">
        <v>60</v>
      </c>
      <c r="F4580" s="16">
        <f t="shared" si="91"/>
        <v>5940</v>
      </c>
    </row>
    <row r="4581" spans="1:12" x14ac:dyDescent="0.25">
      <c r="A4581" s="13" t="s">
        <v>1855</v>
      </c>
      <c r="B4581" s="14" t="s">
        <v>2314</v>
      </c>
      <c r="C4581" s="316">
        <v>64</v>
      </c>
      <c r="D4581" s="15" t="s">
        <v>33</v>
      </c>
      <c r="E4581" s="16">
        <v>60</v>
      </c>
      <c r="F4581" s="16">
        <f t="shared" si="91"/>
        <v>3840</v>
      </c>
    </row>
    <row r="4582" spans="1:12" x14ac:dyDescent="0.25">
      <c r="A4582" s="13" t="s">
        <v>1856</v>
      </c>
      <c r="B4582" s="14" t="s">
        <v>1863</v>
      </c>
      <c r="C4582" s="316">
        <v>1</v>
      </c>
      <c r="D4582" s="15" t="s">
        <v>407</v>
      </c>
      <c r="E4582" s="16">
        <v>25380</v>
      </c>
      <c r="F4582" s="16">
        <f t="shared" si="91"/>
        <v>25380</v>
      </c>
    </row>
    <row r="4583" spans="1:12" x14ac:dyDescent="0.25">
      <c r="A4583" s="13" t="s">
        <v>1857</v>
      </c>
      <c r="B4583" s="14" t="s">
        <v>1792</v>
      </c>
      <c r="C4583" s="316">
        <v>1</v>
      </c>
      <c r="D4583" s="15" t="s">
        <v>407</v>
      </c>
      <c r="E4583" s="16">
        <v>12500</v>
      </c>
      <c r="F4583" s="16">
        <v>12500</v>
      </c>
    </row>
    <row r="4584" spans="1:12" ht="30" x14ac:dyDescent="0.25">
      <c r="A4584" s="13" t="s">
        <v>1858</v>
      </c>
      <c r="B4584" s="14" t="s">
        <v>2328</v>
      </c>
      <c r="C4584" s="316">
        <v>1</v>
      </c>
      <c r="D4584" s="15" t="s">
        <v>407</v>
      </c>
      <c r="E4584" s="16">
        <v>18000</v>
      </c>
      <c r="F4584" s="16">
        <v>18000</v>
      </c>
    </row>
    <row r="4585" spans="1:12" ht="45" x14ac:dyDescent="0.25">
      <c r="A4585" s="13" t="s">
        <v>1864</v>
      </c>
      <c r="B4585" s="14" t="s">
        <v>2315</v>
      </c>
      <c r="C4585" s="316">
        <v>1</v>
      </c>
      <c r="D4585" s="15" t="s">
        <v>772</v>
      </c>
      <c r="E4585" s="16">
        <v>6500</v>
      </c>
      <c r="F4585" s="16">
        <f>C4585*E4585</f>
        <v>6500</v>
      </c>
    </row>
    <row r="4587" spans="1:12" ht="15.75" x14ac:dyDescent="0.25">
      <c r="B4587" s="35" t="s">
        <v>10</v>
      </c>
      <c r="C4587" s="317"/>
      <c r="D4587" s="36"/>
      <c r="E4587" s="240"/>
      <c r="F4587" s="240">
        <f>SUM(F4525:F4582,F4583:F4585)</f>
        <v>1409092.1</v>
      </c>
    </row>
    <row r="4588" spans="1:12" x14ac:dyDescent="0.25">
      <c r="A4588" s="19"/>
      <c r="B4588" s="20"/>
      <c r="C4588" s="320"/>
      <c r="D4588" s="21"/>
      <c r="E4588" s="243"/>
      <c r="F4588" s="243"/>
    </row>
    <row r="4589" spans="1:12" x14ac:dyDescent="0.25">
      <c r="A4589" s="432" t="s">
        <v>2290</v>
      </c>
      <c r="B4589" s="433"/>
      <c r="C4589" s="433"/>
      <c r="D4589" s="433"/>
      <c r="E4589" s="433"/>
      <c r="F4589" s="434"/>
    </row>
    <row r="4590" spans="1:12" x14ac:dyDescent="0.25">
      <c r="A4590" s="28" t="s">
        <v>0</v>
      </c>
      <c r="B4590" s="28" t="s">
        <v>1</v>
      </c>
      <c r="C4590" s="329" t="s">
        <v>2</v>
      </c>
      <c r="D4590" s="28" t="s">
        <v>3</v>
      </c>
      <c r="E4590" s="262" t="s">
        <v>4</v>
      </c>
      <c r="F4590" s="262" t="s">
        <v>5</v>
      </c>
    </row>
    <row r="4591" spans="1:12" x14ac:dyDescent="0.25">
      <c r="A4591" s="13" t="s">
        <v>1618</v>
      </c>
      <c r="B4591" s="27" t="s">
        <v>2289</v>
      </c>
      <c r="C4591" s="326">
        <v>64</v>
      </c>
      <c r="D4591" s="25" t="s">
        <v>33</v>
      </c>
      <c r="E4591" s="259">
        <v>12.5</v>
      </c>
      <c r="F4591" s="16">
        <f>E4591*C4591</f>
        <v>800</v>
      </c>
    </row>
    <row r="4592" spans="1:12" x14ac:dyDescent="0.25">
      <c r="A4592" s="13" t="s">
        <v>1620</v>
      </c>
      <c r="B4592" s="27" t="s">
        <v>1874</v>
      </c>
      <c r="C4592" s="326">
        <v>60</v>
      </c>
      <c r="D4592" s="25" t="s">
        <v>9</v>
      </c>
      <c r="E4592" s="259">
        <v>32</v>
      </c>
      <c r="F4592" s="16">
        <f t="shared" ref="F4592:F4638" si="92">E4592*C4592</f>
        <v>1920</v>
      </c>
      <c r="L4592" s="33" t="s">
        <v>2291</v>
      </c>
    </row>
    <row r="4593" spans="1:13" x14ac:dyDescent="0.25">
      <c r="A4593" s="13" t="s">
        <v>1621</v>
      </c>
      <c r="B4593" s="14" t="s">
        <v>1785</v>
      </c>
      <c r="C4593" s="316">
        <v>48</v>
      </c>
      <c r="D4593" s="15" t="s">
        <v>33</v>
      </c>
      <c r="E4593" s="16">
        <v>12.5</v>
      </c>
      <c r="F4593" s="16">
        <f t="shared" si="92"/>
        <v>600</v>
      </c>
    </row>
    <row r="4594" spans="1:13" x14ac:dyDescent="0.25">
      <c r="A4594" s="13" t="s">
        <v>1623</v>
      </c>
      <c r="B4594" s="14" t="s">
        <v>1786</v>
      </c>
      <c r="C4594" s="316">
        <v>79.2</v>
      </c>
      <c r="D4594" s="15" t="s">
        <v>33</v>
      </c>
      <c r="E4594" s="16">
        <v>12.5</v>
      </c>
      <c r="F4594" s="16">
        <f t="shared" si="92"/>
        <v>990</v>
      </c>
    </row>
    <row r="4595" spans="1:13" x14ac:dyDescent="0.25">
      <c r="A4595" s="13" t="s">
        <v>1631</v>
      </c>
      <c r="B4595" s="27" t="s">
        <v>1872</v>
      </c>
      <c r="C4595" s="326">
        <v>626</v>
      </c>
      <c r="D4595" s="25" t="s">
        <v>32</v>
      </c>
      <c r="E4595" s="259">
        <v>20</v>
      </c>
      <c r="F4595" s="16">
        <f t="shared" si="92"/>
        <v>12520</v>
      </c>
    </row>
    <row r="4596" spans="1:13" ht="30" x14ac:dyDescent="0.25">
      <c r="A4596" s="13" t="s">
        <v>1632</v>
      </c>
      <c r="B4596" s="27" t="s">
        <v>1011</v>
      </c>
      <c r="C4596" s="326">
        <v>626</v>
      </c>
      <c r="D4596" s="25" t="s">
        <v>32</v>
      </c>
      <c r="E4596" s="259">
        <v>55</v>
      </c>
      <c r="F4596" s="16">
        <f t="shared" si="92"/>
        <v>34430</v>
      </c>
      <c r="L4596" s="73" t="s">
        <v>2337</v>
      </c>
      <c r="M4596" s="220">
        <v>150000</v>
      </c>
    </row>
    <row r="4597" spans="1:13" ht="30" x14ac:dyDescent="0.25">
      <c r="A4597" s="13" t="s">
        <v>1633</v>
      </c>
      <c r="B4597" s="27" t="s">
        <v>1010</v>
      </c>
      <c r="C4597" s="326">
        <v>156</v>
      </c>
      <c r="D4597" s="25" t="s">
        <v>32</v>
      </c>
      <c r="E4597" s="259">
        <v>300</v>
      </c>
      <c r="F4597" s="16">
        <f t="shared" si="92"/>
        <v>46800</v>
      </c>
      <c r="L4597" s="73" t="s">
        <v>2338</v>
      </c>
      <c r="M4597" s="220">
        <v>200000</v>
      </c>
    </row>
    <row r="4598" spans="1:13" ht="30" x14ac:dyDescent="0.25">
      <c r="A4598" s="13" t="s">
        <v>1634</v>
      </c>
      <c r="B4598" s="27" t="s">
        <v>1876</v>
      </c>
      <c r="C4598" s="326">
        <v>626</v>
      </c>
      <c r="D4598" s="25" t="s">
        <v>9</v>
      </c>
      <c r="E4598" s="259">
        <v>80</v>
      </c>
      <c r="F4598" s="16">
        <f t="shared" si="92"/>
        <v>50080</v>
      </c>
      <c r="L4598" s="73" t="s">
        <v>2339</v>
      </c>
      <c r="M4598" s="220">
        <v>200000</v>
      </c>
    </row>
    <row r="4599" spans="1:13" x14ac:dyDescent="0.25">
      <c r="A4599" s="13" t="s">
        <v>1635</v>
      </c>
      <c r="B4599" s="27" t="s">
        <v>1795</v>
      </c>
      <c r="C4599" s="326">
        <v>626</v>
      </c>
      <c r="D4599" s="25" t="s">
        <v>9</v>
      </c>
      <c r="E4599" s="259">
        <v>30</v>
      </c>
      <c r="F4599" s="16">
        <f t="shared" si="92"/>
        <v>18780</v>
      </c>
      <c r="L4599" s="73"/>
      <c r="M4599" s="220"/>
    </row>
    <row r="4600" spans="1:13" x14ac:dyDescent="0.25">
      <c r="A4600" s="13" t="s">
        <v>1385</v>
      </c>
      <c r="B4600" s="27" t="s">
        <v>1886</v>
      </c>
      <c r="C4600" s="326">
        <v>2.25</v>
      </c>
      <c r="D4600" s="25" t="s">
        <v>32</v>
      </c>
      <c r="E4600" s="259">
        <v>300</v>
      </c>
      <c r="F4600" s="16">
        <f t="shared" si="92"/>
        <v>675</v>
      </c>
      <c r="L4600" s="73" t="s">
        <v>10</v>
      </c>
      <c r="M4600" s="220">
        <f>SUM(F4591:F4642)</f>
        <v>1094770.3999999999</v>
      </c>
    </row>
    <row r="4601" spans="1:13" x14ac:dyDescent="0.25">
      <c r="A4601" s="13" t="s">
        <v>1398</v>
      </c>
      <c r="B4601" s="27" t="s">
        <v>1790</v>
      </c>
      <c r="C4601" s="326">
        <v>4</v>
      </c>
      <c r="D4601" s="25" t="s">
        <v>62</v>
      </c>
      <c r="E4601" s="259">
        <v>100</v>
      </c>
      <c r="F4601" s="16">
        <f t="shared" si="92"/>
        <v>400</v>
      </c>
      <c r="L4601" s="73" t="s">
        <v>228</v>
      </c>
      <c r="M4601" s="220">
        <f>SUM(M4596:M4598)</f>
        <v>550000</v>
      </c>
    </row>
    <row r="4602" spans="1:13" x14ac:dyDescent="0.25">
      <c r="A4602" s="13" t="s">
        <v>1637</v>
      </c>
      <c r="B4602" s="27" t="s">
        <v>1761</v>
      </c>
      <c r="C4602" s="326">
        <v>22</v>
      </c>
      <c r="D4602" s="25" t="s">
        <v>9</v>
      </c>
      <c r="E4602" s="259">
        <v>130</v>
      </c>
      <c r="F4602" s="16">
        <f t="shared" si="92"/>
        <v>2860</v>
      </c>
      <c r="L4602" s="73" t="s">
        <v>234</v>
      </c>
      <c r="M4602" s="220">
        <f>M4600-M4601</f>
        <v>544770.39999999991</v>
      </c>
    </row>
    <row r="4603" spans="1:13" ht="30" x14ac:dyDescent="0.25">
      <c r="A4603" s="13" t="s">
        <v>1660</v>
      </c>
      <c r="B4603" s="27" t="s">
        <v>1009</v>
      </c>
      <c r="C4603" s="326">
        <v>96</v>
      </c>
      <c r="D4603" s="25" t="s">
        <v>9</v>
      </c>
      <c r="E4603" s="259">
        <v>145</v>
      </c>
      <c r="F4603" s="16">
        <f t="shared" si="92"/>
        <v>13920</v>
      </c>
      <c r="L4603" s="99"/>
    </row>
    <row r="4604" spans="1:13" ht="30" x14ac:dyDescent="0.25">
      <c r="A4604" s="13" t="s">
        <v>1661</v>
      </c>
      <c r="B4604" s="27" t="s">
        <v>1877</v>
      </c>
      <c r="C4604" s="326">
        <v>2286.08</v>
      </c>
      <c r="D4604" s="25" t="s">
        <v>9</v>
      </c>
      <c r="E4604" s="259">
        <v>95</v>
      </c>
      <c r="F4604" s="16">
        <f t="shared" si="92"/>
        <v>217177.60000000001</v>
      </c>
    </row>
    <row r="4605" spans="1:13" x14ac:dyDescent="0.25">
      <c r="A4605" s="13" t="s">
        <v>1662</v>
      </c>
      <c r="B4605" s="27" t="s">
        <v>1878</v>
      </c>
      <c r="C4605" s="326">
        <v>2286.08</v>
      </c>
      <c r="D4605" s="25" t="s">
        <v>9</v>
      </c>
      <c r="E4605" s="259">
        <v>35</v>
      </c>
      <c r="F4605" s="16">
        <f t="shared" si="92"/>
        <v>80012.800000000003</v>
      </c>
    </row>
    <row r="4606" spans="1:13" x14ac:dyDescent="0.25">
      <c r="A4606" s="13" t="s">
        <v>1663</v>
      </c>
      <c r="B4606" s="14" t="s">
        <v>1798</v>
      </c>
      <c r="C4606" s="316">
        <v>108</v>
      </c>
      <c r="D4606" s="15" t="s">
        <v>33</v>
      </c>
      <c r="E4606" s="16">
        <v>280</v>
      </c>
      <c r="F4606" s="16">
        <f t="shared" si="92"/>
        <v>30240</v>
      </c>
    </row>
    <row r="4607" spans="1:13" x14ac:dyDescent="0.25">
      <c r="A4607" s="13" t="s">
        <v>1664</v>
      </c>
      <c r="B4607" s="14" t="s">
        <v>1799</v>
      </c>
      <c r="C4607" s="316">
        <v>143</v>
      </c>
      <c r="D4607" s="15" t="s">
        <v>33</v>
      </c>
      <c r="E4607" s="16">
        <v>205</v>
      </c>
      <c r="F4607" s="16">
        <f t="shared" si="92"/>
        <v>29315</v>
      </c>
    </row>
    <row r="4608" spans="1:13" x14ac:dyDescent="0.25">
      <c r="A4608" s="13" t="s">
        <v>1665</v>
      </c>
      <c r="B4608" s="14" t="s">
        <v>1800</v>
      </c>
      <c r="C4608" s="316">
        <v>64</v>
      </c>
      <c r="D4608" s="15" t="s">
        <v>9</v>
      </c>
      <c r="E4608" s="16">
        <v>75</v>
      </c>
      <c r="F4608" s="16">
        <f t="shared" si="92"/>
        <v>4800</v>
      </c>
    </row>
    <row r="4609" spans="1:6" x14ac:dyDescent="0.25">
      <c r="A4609" s="13" t="s">
        <v>1666</v>
      </c>
      <c r="B4609" s="14" t="s">
        <v>1801</v>
      </c>
      <c r="C4609" s="316">
        <v>812</v>
      </c>
      <c r="D4609" s="15" t="s">
        <v>9</v>
      </c>
      <c r="E4609" s="16">
        <v>35</v>
      </c>
      <c r="F4609" s="16">
        <f t="shared" si="92"/>
        <v>28420</v>
      </c>
    </row>
    <row r="4610" spans="1:6" x14ac:dyDescent="0.25">
      <c r="A4610" s="13" t="s">
        <v>1667</v>
      </c>
      <c r="B4610" s="27" t="s">
        <v>1006</v>
      </c>
      <c r="C4610" s="326">
        <v>56</v>
      </c>
      <c r="D4610" s="25" t="s">
        <v>9</v>
      </c>
      <c r="E4610" s="259">
        <v>120</v>
      </c>
      <c r="F4610" s="16">
        <f t="shared" si="92"/>
        <v>6720</v>
      </c>
    </row>
    <row r="4611" spans="1:6" x14ac:dyDescent="0.25">
      <c r="A4611" s="13" t="s">
        <v>1668</v>
      </c>
      <c r="B4611" s="27" t="s">
        <v>1005</v>
      </c>
      <c r="C4611" s="326">
        <v>169</v>
      </c>
      <c r="D4611" s="25" t="s">
        <v>9</v>
      </c>
      <c r="E4611" s="259">
        <v>130</v>
      </c>
      <c r="F4611" s="16">
        <f t="shared" si="92"/>
        <v>21970</v>
      </c>
    </row>
    <row r="4612" spans="1:6" x14ac:dyDescent="0.25">
      <c r="A4612" s="13" t="s">
        <v>1669</v>
      </c>
      <c r="B4612" s="27" t="s">
        <v>1025</v>
      </c>
      <c r="C4612" s="326">
        <v>52</v>
      </c>
      <c r="D4612" s="25" t="s">
        <v>9</v>
      </c>
      <c r="E4612" s="259">
        <v>130</v>
      </c>
      <c r="F4612" s="16">
        <f t="shared" si="92"/>
        <v>6760</v>
      </c>
    </row>
    <row r="4613" spans="1:6" x14ac:dyDescent="0.25">
      <c r="A4613" s="13" t="s">
        <v>1670</v>
      </c>
      <c r="B4613" s="14" t="s">
        <v>1803</v>
      </c>
      <c r="C4613" s="316">
        <v>1090</v>
      </c>
      <c r="D4613" s="15" t="s">
        <v>9</v>
      </c>
      <c r="E4613" s="16">
        <v>190</v>
      </c>
      <c r="F4613" s="16">
        <f t="shared" si="92"/>
        <v>207100</v>
      </c>
    </row>
    <row r="4614" spans="1:6" ht="30" x14ac:dyDescent="0.25">
      <c r="A4614" s="13" t="s">
        <v>1671</v>
      </c>
      <c r="B4614" s="14" t="s">
        <v>1804</v>
      </c>
      <c r="C4614" s="316">
        <v>1090</v>
      </c>
      <c r="D4614" s="15" t="s">
        <v>9</v>
      </c>
      <c r="E4614" s="16">
        <v>24</v>
      </c>
      <c r="F4614" s="16">
        <f t="shared" si="92"/>
        <v>26160</v>
      </c>
    </row>
    <row r="4615" spans="1:6" x14ac:dyDescent="0.25">
      <c r="A4615" s="13" t="s">
        <v>1672</v>
      </c>
      <c r="B4615" s="27" t="s">
        <v>1880</v>
      </c>
      <c r="C4615" s="326">
        <v>44</v>
      </c>
      <c r="D4615" s="25" t="s">
        <v>9</v>
      </c>
      <c r="E4615" s="259">
        <v>160</v>
      </c>
      <c r="F4615" s="16">
        <f t="shared" si="92"/>
        <v>7040</v>
      </c>
    </row>
    <row r="4616" spans="1:6" x14ac:dyDescent="0.25">
      <c r="A4616" s="13" t="s">
        <v>1673</v>
      </c>
      <c r="B4616" s="27" t="s">
        <v>1806</v>
      </c>
      <c r="C4616" s="326">
        <v>107</v>
      </c>
      <c r="D4616" s="15" t="s">
        <v>33</v>
      </c>
      <c r="E4616" s="16">
        <v>220</v>
      </c>
      <c r="F4616" s="16">
        <f t="shared" si="92"/>
        <v>23540</v>
      </c>
    </row>
    <row r="4617" spans="1:6" ht="30" x14ac:dyDescent="0.25">
      <c r="A4617" s="13" t="s">
        <v>1692</v>
      </c>
      <c r="B4617" s="14" t="s">
        <v>1807</v>
      </c>
      <c r="C4617" s="316">
        <v>214</v>
      </c>
      <c r="D4617" s="15" t="s">
        <v>9</v>
      </c>
      <c r="E4617" s="16">
        <v>45</v>
      </c>
      <c r="F4617" s="16">
        <f t="shared" si="92"/>
        <v>9630</v>
      </c>
    </row>
    <row r="4618" spans="1:6" x14ac:dyDescent="0.25">
      <c r="A4618" s="13" t="s">
        <v>1826</v>
      </c>
      <c r="B4618" s="14" t="s">
        <v>1808</v>
      </c>
      <c r="C4618" s="316">
        <v>80</v>
      </c>
      <c r="D4618" s="15" t="s">
        <v>33</v>
      </c>
      <c r="E4618" s="16">
        <v>140</v>
      </c>
      <c r="F4618" s="16">
        <f t="shared" si="92"/>
        <v>11200</v>
      </c>
    </row>
    <row r="4619" spans="1:6" x14ac:dyDescent="0.25">
      <c r="A4619" s="13" t="s">
        <v>1827</v>
      </c>
      <c r="B4619" s="14" t="s">
        <v>1809</v>
      </c>
      <c r="C4619" s="316">
        <v>12</v>
      </c>
      <c r="D4619" s="15" t="s">
        <v>33</v>
      </c>
      <c r="E4619" s="16">
        <v>130</v>
      </c>
      <c r="F4619" s="16">
        <f t="shared" si="92"/>
        <v>1560</v>
      </c>
    </row>
    <row r="4620" spans="1:6" x14ac:dyDescent="0.25">
      <c r="A4620" s="13" t="s">
        <v>1828</v>
      </c>
      <c r="B4620" s="14" t="s">
        <v>1810</v>
      </c>
      <c r="C4620" s="316">
        <v>40</v>
      </c>
      <c r="D4620" s="15" t="s">
        <v>33</v>
      </c>
      <c r="E4620" s="16">
        <v>130</v>
      </c>
      <c r="F4620" s="16">
        <f t="shared" si="92"/>
        <v>5200</v>
      </c>
    </row>
    <row r="4621" spans="1:6" x14ac:dyDescent="0.25">
      <c r="A4621" s="13" t="s">
        <v>1829</v>
      </c>
      <c r="B4621" s="14" t="s">
        <v>1881</v>
      </c>
      <c r="C4621" s="316">
        <v>1044</v>
      </c>
      <c r="D4621" s="15" t="s">
        <v>9</v>
      </c>
      <c r="E4621" s="16">
        <v>24</v>
      </c>
      <c r="F4621" s="16">
        <f t="shared" si="92"/>
        <v>25056</v>
      </c>
    </row>
    <row r="4622" spans="1:6" x14ac:dyDescent="0.25">
      <c r="A4622" s="13" t="s">
        <v>1830</v>
      </c>
      <c r="B4622" s="14" t="s">
        <v>1816</v>
      </c>
      <c r="C4622" s="316">
        <v>8</v>
      </c>
      <c r="D4622" s="15" t="s">
        <v>32</v>
      </c>
      <c r="E4622" s="16">
        <v>300</v>
      </c>
      <c r="F4622" s="16">
        <f t="shared" si="92"/>
        <v>2400</v>
      </c>
    </row>
    <row r="4623" spans="1:6" x14ac:dyDescent="0.25">
      <c r="A4623" s="13" t="s">
        <v>1831</v>
      </c>
      <c r="B4623" s="14" t="s">
        <v>63</v>
      </c>
      <c r="C4623" s="316">
        <v>24</v>
      </c>
      <c r="D4623" s="15" t="s">
        <v>9</v>
      </c>
      <c r="E4623" s="16">
        <v>130</v>
      </c>
      <c r="F4623" s="16">
        <f t="shared" si="92"/>
        <v>3120</v>
      </c>
    </row>
    <row r="4624" spans="1:6" x14ac:dyDescent="0.25">
      <c r="A4624" s="13" t="s">
        <v>1832</v>
      </c>
      <c r="B4624" s="14" t="s">
        <v>1790</v>
      </c>
      <c r="C4624" s="316">
        <v>21</v>
      </c>
      <c r="D4624" s="15" t="s">
        <v>62</v>
      </c>
      <c r="E4624" s="16">
        <v>100</v>
      </c>
      <c r="F4624" s="16">
        <f t="shared" si="92"/>
        <v>2100</v>
      </c>
    </row>
    <row r="4625" spans="1:6" x14ac:dyDescent="0.25">
      <c r="A4625" s="13" t="s">
        <v>1833</v>
      </c>
      <c r="B4625" s="14" t="s">
        <v>1817</v>
      </c>
      <c r="C4625" s="316">
        <v>48</v>
      </c>
      <c r="D4625" s="15" t="s">
        <v>9</v>
      </c>
      <c r="E4625" s="16">
        <v>130</v>
      </c>
      <c r="F4625" s="16">
        <f t="shared" si="92"/>
        <v>6240</v>
      </c>
    </row>
    <row r="4626" spans="1:6" x14ac:dyDescent="0.25">
      <c r="A4626" s="13" t="s">
        <v>1834</v>
      </c>
      <c r="B4626" s="14" t="s">
        <v>1819</v>
      </c>
      <c r="C4626" s="316">
        <v>168</v>
      </c>
      <c r="D4626" s="15" t="s">
        <v>9</v>
      </c>
      <c r="E4626" s="16">
        <v>130</v>
      </c>
      <c r="F4626" s="16">
        <f t="shared" si="92"/>
        <v>21840</v>
      </c>
    </row>
    <row r="4627" spans="1:6" x14ac:dyDescent="0.25">
      <c r="A4627" s="13" t="s">
        <v>1835</v>
      </c>
      <c r="B4627" s="14" t="s">
        <v>526</v>
      </c>
      <c r="C4627" s="316">
        <v>54</v>
      </c>
      <c r="D4627" s="15" t="s">
        <v>9</v>
      </c>
      <c r="E4627" s="16">
        <v>120</v>
      </c>
      <c r="F4627" s="16">
        <f t="shared" si="92"/>
        <v>6480</v>
      </c>
    </row>
    <row r="4628" spans="1:6" ht="45" x14ac:dyDescent="0.25">
      <c r="A4628" s="13" t="s">
        <v>1836</v>
      </c>
      <c r="B4628" s="14" t="s">
        <v>1820</v>
      </c>
      <c r="C4628" s="316">
        <v>42</v>
      </c>
      <c r="D4628" s="15" t="s">
        <v>33</v>
      </c>
      <c r="E4628" s="16">
        <v>120</v>
      </c>
      <c r="F4628" s="16">
        <f t="shared" si="92"/>
        <v>5040</v>
      </c>
    </row>
    <row r="4629" spans="1:6" x14ac:dyDescent="0.25">
      <c r="A4629" s="13" t="s">
        <v>1837</v>
      </c>
      <c r="B4629" s="14" t="s">
        <v>1882</v>
      </c>
      <c r="C4629" s="316">
        <v>32</v>
      </c>
      <c r="D4629" s="15" t="s">
        <v>33</v>
      </c>
      <c r="E4629" s="16">
        <v>120</v>
      </c>
      <c r="F4629" s="16">
        <f t="shared" si="92"/>
        <v>3840</v>
      </c>
    </row>
    <row r="4630" spans="1:6" x14ac:dyDescent="0.25">
      <c r="A4630" s="13" t="s">
        <v>1838</v>
      </c>
      <c r="B4630" s="14" t="s">
        <v>1821</v>
      </c>
      <c r="C4630" s="316">
        <v>32</v>
      </c>
      <c r="D4630" s="15" t="s">
        <v>33</v>
      </c>
      <c r="E4630" s="16">
        <v>160</v>
      </c>
      <c r="F4630" s="16">
        <f t="shared" si="92"/>
        <v>5120</v>
      </c>
    </row>
    <row r="4631" spans="1:6" ht="30" x14ac:dyDescent="0.25">
      <c r="A4631" s="13" t="s">
        <v>1839</v>
      </c>
      <c r="B4631" s="14" t="s">
        <v>1884</v>
      </c>
      <c r="C4631" s="316">
        <v>1</v>
      </c>
      <c r="D4631" s="15" t="s">
        <v>180</v>
      </c>
      <c r="E4631" s="16">
        <v>1000</v>
      </c>
      <c r="F4631" s="16">
        <f t="shared" si="92"/>
        <v>1000</v>
      </c>
    </row>
    <row r="4632" spans="1:6" x14ac:dyDescent="0.25">
      <c r="A4632" s="13" t="s">
        <v>1840</v>
      </c>
      <c r="B4632" s="14" t="s">
        <v>1822</v>
      </c>
      <c r="C4632" s="316">
        <v>1</v>
      </c>
      <c r="D4632" s="15" t="s">
        <v>180</v>
      </c>
      <c r="E4632" s="16">
        <v>250</v>
      </c>
      <c r="F4632" s="16">
        <f t="shared" si="92"/>
        <v>250</v>
      </c>
    </row>
    <row r="4633" spans="1:6" ht="30" x14ac:dyDescent="0.25">
      <c r="A4633" s="13" t="s">
        <v>1841</v>
      </c>
      <c r="B4633" s="14" t="s">
        <v>1823</v>
      </c>
      <c r="C4633" s="316">
        <v>1</v>
      </c>
      <c r="D4633" s="15" t="s">
        <v>180</v>
      </c>
      <c r="E4633" s="16">
        <v>1600</v>
      </c>
      <c r="F4633" s="16">
        <f t="shared" si="92"/>
        <v>1600</v>
      </c>
    </row>
    <row r="4634" spans="1:6" x14ac:dyDescent="0.25">
      <c r="A4634" s="13" t="s">
        <v>1842</v>
      </c>
      <c r="B4634" s="14" t="s">
        <v>1824</v>
      </c>
      <c r="C4634" s="316">
        <v>1</v>
      </c>
      <c r="D4634" s="15" t="s">
        <v>180</v>
      </c>
      <c r="E4634" s="16">
        <v>1500</v>
      </c>
      <c r="F4634" s="16">
        <f t="shared" si="92"/>
        <v>1500</v>
      </c>
    </row>
    <row r="4635" spans="1:6" x14ac:dyDescent="0.25">
      <c r="A4635" s="13" t="s">
        <v>1843</v>
      </c>
      <c r="B4635" s="14" t="s">
        <v>1825</v>
      </c>
      <c r="C4635" s="316">
        <v>1</v>
      </c>
      <c r="D4635" s="15" t="s">
        <v>180</v>
      </c>
      <c r="E4635" s="16">
        <v>1500</v>
      </c>
      <c r="F4635" s="16">
        <f t="shared" si="92"/>
        <v>1500</v>
      </c>
    </row>
    <row r="4636" spans="1:6" x14ac:dyDescent="0.25">
      <c r="A4636" s="13" t="s">
        <v>1844</v>
      </c>
      <c r="B4636" s="14" t="s">
        <v>1861</v>
      </c>
      <c r="C4636" s="316">
        <v>99</v>
      </c>
      <c r="D4636" s="15" t="s">
        <v>9</v>
      </c>
      <c r="E4636" s="16">
        <v>60</v>
      </c>
      <c r="F4636" s="16">
        <f t="shared" si="92"/>
        <v>5940</v>
      </c>
    </row>
    <row r="4637" spans="1:6" x14ac:dyDescent="0.25">
      <c r="A4637" s="13" t="s">
        <v>1845</v>
      </c>
      <c r="B4637" s="14" t="s">
        <v>1862</v>
      </c>
      <c r="C4637" s="316">
        <v>42.4</v>
      </c>
      <c r="D4637" s="15" t="s">
        <v>9</v>
      </c>
      <c r="E4637" s="16">
        <v>60</v>
      </c>
      <c r="F4637" s="16">
        <f t="shared" si="92"/>
        <v>2544</v>
      </c>
    </row>
    <row r="4638" spans="1:6" ht="45" x14ac:dyDescent="0.25">
      <c r="A4638" s="13" t="s">
        <v>1846</v>
      </c>
      <c r="B4638" s="14" t="s">
        <v>1885</v>
      </c>
      <c r="C4638" s="316">
        <v>320</v>
      </c>
      <c r="D4638" s="15" t="s">
        <v>9</v>
      </c>
      <c r="E4638" s="16">
        <v>60</v>
      </c>
      <c r="F4638" s="16">
        <f t="shared" si="92"/>
        <v>19200</v>
      </c>
    </row>
    <row r="4639" spans="1:6" x14ac:dyDescent="0.25">
      <c r="A4639" s="13" t="s">
        <v>1847</v>
      </c>
      <c r="B4639" s="27" t="s">
        <v>1875</v>
      </c>
      <c r="C4639" s="326">
        <v>1</v>
      </c>
      <c r="D4639" s="25" t="s">
        <v>407</v>
      </c>
      <c r="E4639" s="259">
        <v>6500</v>
      </c>
      <c r="F4639" s="16">
        <v>6500</v>
      </c>
    </row>
    <row r="4640" spans="1:6" ht="45" x14ac:dyDescent="0.25">
      <c r="A4640" s="13" t="s">
        <v>1848</v>
      </c>
      <c r="B4640" s="27" t="s">
        <v>1879</v>
      </c>
      <c r="C4640" s="326">
        <v>1</v>
      </c>
      <c r="D4640" s="25" t="s">
        <v>772</v>
      </c>
      <c r="E4640" s="259">
        <v>28500</v>
      </c>
      <c r="F4640" s="16">
        <v>28500</v>
      </c>
    </row>
    <row r="4641" spans="1:12" ht="30" x14ac:dyDescent="0.25">
      <c r="A4641" s="13" t="s">
        <v>1849</v>
      </c>
      <c r="B4641" s="14" t="s">
        <v>2329</v>
      </c>
      <c r="C4641" s="316">
        <v>1</v>
      </c>
      <c r="D4641" s="15" t="s">
        <v>407</v>
      </c>
      <c r="E4641" s="16">
        <v>18000</v>
      </c>
      <c r="F4641" s="16">
        <v>18000</v>
      </c>
    </row>
    <row r="4642" spans="1:12" x14ac:dyDescent="0.25">
      <c r="A4642" s="13" t="s">
        <v>1850</v>
      </c>
      <c r="B4642" s="14" t="s">
        <v>1863</v>
      </c>
      <c r="C4642" s="316">
        <v>1</v>
      </c>
      <c r="D4642" s="15" t="s">
        <v>407</v>
      </c>
      <c r="E4642" s="16">
        <v>25380</v>
      </c>
      <c r="F4642" s="248">
        <v>25380</v>
      </c>
    </row>
    <row r="4644" spans="1:12" x14ac:dyDescent="0.25">
      <c r="B4644" s="17" t="s">
        <v>10</v>
      </c>
      <c r="C4644" s="31"/>
      <c r="D4644" s="18"/>
      <c r="E4644" s="239"/>
      <c r="F4644" s="239">
        <f>SUM(F4591:F4642)</f>
        <v>1094770.3999999999</v>
      </c>
    </row>
    <row r="4646" spans="1:12" x14ac:dyDescent="0.25">
      <c r="A4646" s="432" t="s">
        <v>2318</v>
      </c>
      <c r="B4646" s="433"/>
      <c r="C4646" s="433"/>
      <c r="D4646" s="433"/>
      <c r="E4646" s="433"/>
      <c r="F4646" s="434"/>
    </row>
    <row r="4647" spans="1:12" x14ac:dyDescent="0.25">
      <c r="A4647" s="28" t="s">
        <v>0</v>
      </c>
      <c r="B4647" s="28" t="s">
        <v>1</v>
      </c>
      <c r="C4647" s="329" t="s">
        <v>2</v>
      </c>
      <c r="D4647" s="28" t="s">
        <v>3</v>
      </c>
      <c r="E4647" s="262" t="s">
        <v>4</v>
      </c>
      <c r="F4647" s="262" t="s">
        <v>5</v>
      </c>
    </row>
    <row r="4648" spans="1:12" ht="30" x14ac:dyDescent="0.25">
      <c r="A4648" s="25">
        <v>1</v>
      </c>
      <c r="B4648" s="24" t="s">
        <v>1658</v>
      </c>
      <c r="C4648" s="326">
        <v>299</v>
      </c>
      <c r="D4648" s="25" t="s">
        <v>32</v>
      </c>
      <c r="E4648" s="259">
        <v>60</v>
      </c>
      <c r="F4648" s="259">
        <f>E4648*C4648</f>
        <v>17940</v>
      </c>
    </row>
    <row r="4649" spans="1:12" x14ac:dyDescent="0.25">
      <c r="A4649" s="25">
        <v>2</v>
      </c>
      <c r="B4649" s="24" t="s">
        <v>1699</v>
      </c>
      <c r="C4649" s="326">
        <v>220</v>
      </c>
      <c r="D4649" s="25" t="s">
        <v>32</v>
      </c>
      <c r="E4649" s="259">
        <v>55</v>
      </c>
      <c r="F4649" s="259">
        <f t="shared" ref="F4649:F4710" si="93">E4649*C4649</f>
        <v>12100</v>
      </c>
    </row>
    <row r="4650" spans="1:12" x14ac:dyDescent="0.25">
      <c r="A4650" s="25">
        <v>3</v>
      </c>
      <c r="B4650" s="24" t="s">
        <v>2330</v>
      </c>
      <c r="C4650" s="326">
        <v>220</v>
      </c>
      <c r="D4650" s="25" t="s">
        <v>32</v>
      </c>
      <c r="E4650" s="259">
        <v>100</v>
      </c>
      <c r="F4650" s="259">
        <f t="shared" si="93"/>
        <v>22000</v>
      </c>
    </row>
    <row r="4651" spans="1:12" x14ac:dyDescent="0.25">
      <c r="A4651" s="25">
        <v>4</v>
      </c>
      <c r="B4651" s="24" t="s">
        <v>1042</v>
      </c>
      <c r="C4651" s="326">
        <v>66</v>
      </c>
      <c r="D4651" s="25" t="s">
        <v>9</v>
      </c>
      <c r="E4651" s="259">
        <v>48</v>
      </c>
      <c r="F4651" s="259">
        <f t="shared" si="93"/>
        <v>3168</v>
      </c>
    </row>
    <row r="4652" spans="1:12" ht="45" x14ac:dyDescent="0.25">
      <c r="A4652" s="25">
        <v>5</v>
      </c>
      <c r="B4652" s="24" t="s">
        <v>2331</v>
      </c>
      <c r="C4652" s="326">
        <v>432</v>
      </c>
      <c r="D4652" s="25" t="s">
        <v>9</v>
      </c>
      <c r="E4652" s="259">
        <v>105</v>
      </c>
      <c r="F4652" s="259">
        <f t="shared" si="93"/>
        <v>45360</v>
      </c>
      <c r="L4652" s="33" t="s">
        <v>2340</v>
      </c>
    </row>
    <row r="4653" spans="1:12" x14ac:dyDescent="0.25">
      <c r="A4653" s="25">
        <v>6</v>
      </c>
      <c r="B4653" s="24" t="s">
        <v>1711</v>
      </c>
      <c r="C4653" s="326">
        <v>7.92</v>
      </c>
      <c r="D4653" s="25" t="s">
        <v>32</v>
      </c>
      <c r="E4653" s="259">
        <v>300</v>
      </c>
      <c r="F4653" s="259">
        <f t="shared" si="93"/>
        <v>2376</v>
      </c>
      <c r="L4653" s="33">
        <v>200000</v>
      </c>
    </row>
    <row r="4654" spans="1:12" x14ac:dyDescent="0.25">
      <c r="A4654" s="25">
        <v>7</v>
      </c>
      <c r="B4654" s="24" t="s">
        <v>1761</v>
      </c>
      <c r="C4654" s="326">
        <v>20</v>
      </c>
      <c r="D4654" s="25" t="s">
        <v>9</v>
      </c>
      <c r="E4654" s="259">
        <v>130</v>
      </c>
      <c r="F4654" s="259">
        <f t="shared" si="93"/>
        <v>2600</v>
      </c>
      <c r="L4654" s="33">
        <v>100000</v>
      </c>
    </row>
    <row r="4655" spans="1:12" x14ac:dyDescent="0.25">
      <c r="A4655" s="25">
        <v>8</v>
      </c>
      <c r="B4655" s="24" t="s">
        <v>1762</v>
      </c>
      <c r="C4655" s="326">
        <v>8</v>
      </c>
      <c r="D4655" s="25" t="s">
        <v>1763</v>
      </c>
      <c r="E4655" s="259">
        <v>100</v>
      </c>
      <c r="F4655" s="259">
        <f t="shared" si="93"/>
        <v>800</v>
      </c>
      <c r="L4655" s="33">
        <v>275000</v>
      </c>
    </row>
    <row r="4656" spans="1:12" x14ac:dyDescent="0.25">
      <c r="A4656" s="25">
        <v>9</v>
      </c>
      <c r="B4656" s="24" t="s">
        <v>1712</v>
      </c>
      <c r="C4656" s="326">
        <v>10.56</v>
      </c>
      <c r="D4656" s="25" t="s">
        <v>32</v>
      </c>
      <c r="E4656" s="259">
        <v>290</v>
      </c>
      <c r="F4656" s="259">
        <f t="shared" si="93"/>
        <v>3062.4</v>
      </c>
    </row>
    <row r="4657" spans="1:6" x14ac:dyDescent="0.25">
      <c r="A4657" s="25">
        <v>10</v>
      </c>
      <c r="B4657" s="24" t="s">
        <v>1761</v>
      </c>
      <c r="C4657" s="326">
        <v>88</v>
      </c>
      <c r="D4657" s="25" t="s">
        <v>9</v>
      </c>
      <c r="E4657" s="259">
        <v>130</v>
      </c>
      <c r="F4657" s="259">
        <f t="shared" si="93"/>
        <v>11440</v>
      </c>
    </row>
    <row r="4658" spans="1:6" x14ac:dyDescent="0.25">
      <c r="A4658" s="25">
        <v>11</v>
      </c>
      <c r="B4658" s="24" t="s">
        <v>1762</v>
      </c>
      <c r="C4658" s="326">
        <v>24</v>
      </c>
      <c r="D4658" s="25" t="s">
        <v>1763</v>
      </c>
      <c r="E4658" s="259">
        <v>100</v>
      </c>
      <c r="F4658" s="259">
        <f t="shared" si="93"/>
        <v>2400</v>
      </c>
    </row>
    <row r="4659" spans="1:6" ht="30" x14ac:dyDescent="0.25">
      <c r="A4659" s="25">
        <v>12</v>
      </c>
      <c r="B4659" s="24" t="s">
        <v>2332</v>
      </c>
      <c r="C4659" s="326">
        <v>19.5</v>
      </c>
      <c r="D4659" s="25" t="s">
        <v>32</v>
      </c>
      <c r="E4659" s="259">
        <v>290</v>
      </c>
      <c r="F4659" s="259">
        <f t="shared" si="93"/>
        <v>5655</v>
      </c>
    </row>
    <row r="4660" spans="1:6" x14ac:dyDescent="0.25">
      <c r="A4660" s="25">
        <v>13</v>
      </c>
      <c r="B4660" s="24" t="s">
        <v>1761</v>
      </c>
      <c r="C4660" s="326">
        <v>110</v>
      </c>
      <c r="D4660" s="25" t="s">
        <v>33</v>
      </c>
      <c r="E4660" s="259">
        <v>130</v>
      </c>
      <c r="F4660" s="259">
        <f t="shared" si="93"/>
        <v>14300</v>
      </c>
    </row>
    <row r="4661" spans="1:6" x14ac:dyDescent="0.25">
      <c r="A4661" s="25">
        <v>14</v>
      </c>
      <c r="B4661" s="24" t="s">
        <v>1762</v>
      </c>
      <c r="C4661" s="326">
        <v>24</v>
      </c>
      <c r="D4661" s="25" t="s">
        <v>1763</v>
      </c>
      <c r="E4661" s="259">
        <v>100</v>
      </c>
      <c r="F4661" s="259">
        <f t="shared" si="93"/>
        <v>2400</v>
      </c>
    </row>
    <row r="4662" spans="1:6" ht="30" x14ac:dyDescent="0.25">
      <c r="A4662" s="25">
        <v>15</v>
      </c>
      <c r="B4662" s="24" t="s">
        <v>1714</v>
      </c>
      <c r="C4662" s="326">
        <v>8.8000000000000007</v>
      </c>
      <c r="D4662" s="25" t="s">
        <v>32</v>
      </c>
      <c r="E4662" s="259">
        <v>300</v>
      </c>
      <c r="F4662" s="259">
        <f t="shared" si="93"/>
        <v>2640</v>
      </c>
    </row>
    <row r="4663" spans="1:6" x14ac:dyDescent="0.25">
      <c r="A4663" s="25">
        <v>16</v>
      </c>
      <c r="B4663" s="24" t="s">
        <v>1761</v>
      </c>
      <c r="C4663" s="326">
        <v>12</v>
      </c>
      <c r="D4663" s="25" t="s">
        <v>33</v>
      </c>
      <c r="E4663" s="259">
        <v>130</v>
      </c>
      <c r="F4663" s="259">
        <f t="shared" si="93"/>
        <v>1560</v>
      </c>
    </row>
    <row r="4664" spans="1:6" x14ac:dyDescent="0.25">
      <c r="A4664" s="25">
        <v>17</v>
      </c>
      <c r="B4664" s="24" t="s">
        <v>1762</v>
      </c>
      <c r="C4664" s="326">
        <v>21.8</v>
      </c>
      <c r="D4664" s="25" t="s">
        <v>1763</v>
      </c>
      <c r="E4664" s="259">
        <v>100</v>
      </c>
      <c r="F4664" s="259">
        <f t="shared" si="93"/>
        <v>2180</v>
      </c>
    </row>
    <row r="4665" spans="1:6" x14ac:dyDescent="0.25">
      <c r="A4665" s="25">
        <v>18</v>
      </c>
      <c r="B4665" s="24" t="s">
        <v>2333</v>
      </c>
      <c r="C4665" s="326">
        <v>78</v>
      </c>
      <c r="D4665" s="25" t="s">
        <v>32</v>
      </c>
      <c r="E4665" s="259">
        <v>300</v>
      </c>
      <c r="F4665" s="259">
        <f t="shared" si="93"/>
        <v>23400</v>
      </c>
    </row>
    <row r="4666" spans="1:6" x14ac:dyDescent="0.25">
      <c r="A4666" s="25">
        <v>19</v>
      </c>
      <c r="B4666" s="24" t="s">
        <v>1279</v>
      </c>
      <c r="C4666" s="326">
        <v>234</v>
      </c>
      <c r="D4666" s="25" t="s">
        <v>9</v>
      </c>
      <c r="E4666" s="259">
        <v>90</v>
      </c>
      <c r="F4666" s="259">
        <f t="shared" si="93"/>
        <v>21060</v>
      </c>
    </row>
    <row r="4667" spans="1:6" x14ac:dyDescent="0.25">
      <c r="A4667" s="25">
        <v>20</v>
      </c>
      <c r="B4667" s="24" t="s">
        <v>1795</v>
      </c>
      <c r="C4667" s="326">
        <v>234</v>
      </c>
      <c r="D4667" s="25" t="s">
        <v>9</v>
      </c>
      <c r="E4667" s="259">
        <v>30</v>
      </c>
      <c r="F4667" s="259">
        <f t="shared" si="93"/>
        <v>7020</v>
      </c>
    </row>
    <row r="4668" spans="1:6" ht="30" x14ac:dyDescent="0.25">
      <c r="A4668" s="25">
        <v>21</v>
      </c>
      <c r="B4668" s="24" t="s">
        <v>1715</v>
      </c>
      <c r="C4668" s="326">
        <v>468</v>
      </c>
      <c r="D4668" s="25" t="s">
        <v>9</v>
      </c>
      <c r="E4668" s="259">
        <v>95</v>
      </c>
      <c r="F4668" s="259">
        <f t="shared" si="93"/>
        <v>44460</v>
      </c>
    </row>
    <row r="4669" spans="1:6" ht="30" x14ac:dyDescent="0.25">
      <c r="A4669" s="25">
        <v>22</v>
      </c>
      <c r="B4669" s="24" t="s">
        <v>1716</v>
      </c>
      <c r="C4669" s="326">
        <v>476</v>
      </c>
      <c r="D4669" s="25" t="s">
        <v>9</v>
      </c>
      <c r="E4669" s="259">
        <v>75</v>
      </c>
      <c r="F4669" s="259">
        <f t="shared" si="93"/>
        <v>35700</v>
      </c>
    </row>
    <row r="4670" spans="1:6" ht="30" x14ac:dyDescent="0.25">
      <c r="A4670" s="25">
        <v>23</v>
      </c>
      <c r="B4670" s="24" t="s">
        <v>1687</v>
      </c>
      <c r="C4670" s="326">
        <v>468</v>
      </c>
      <c r="D4670" s="25" t="s">
        <v>9</v>
      </c>
      <c r="E4670" s="259">
        <v>35</v>
      </c>
      <c r="F4670" s="259">
        <f t="shared" si="93"/>
        <v>16380</v>
      </c>
    </row>
    <row r="4671" spans="1:6" ht="45" x14ac:dyDescent="0.25">
      <c r="A4671" s="25">
        <v>24</v>
      </c>
      <c r="B4671" s="24" t="s">
        <v>1686</v>
      </c>
      <c r="C4671" s="326">
        <v>476</v>
      </c>
      <c r="D4671" s="25" t="s">
        <v>9</v>
      </c>
      <c r="E4671" s="259">
        <v>35</v>
      </c>
      <c r="F4671" s="259">
        <f t="shared" si="93"/>
        <v>16660</v>
      </c>
    </row>
    <row r="4672" spans="1:6" x14ac:dyDescent="0.25">
      <c r="A4672" s="25">
        <v>25</v>
      </c>
      <c r="B4672" s="24" t="s">
        <v>2334</v>
      </c>
      <c r="C4672" s="326">
        <v>408</v>
      </c>
      <c r="D4672" s="25" t="s">
        <v>9</v>
      </c>
      <c r="E4672" s="259">
        <v>40</v>
      </c>
      <c r="F4672" s="259">
        <f t="shared" si="93"/>
        <v>16320</v>
      </c>
    </row>
    <row r="4673" spans="1:6" ht="45" x14ac:dyDescent="0.25">
      <c r="A4673" s="25">
        <v>26</v>
      </c>
      <c r="B4673" s="24" t="s">
        <v>2319</v>
      </c>
      <c r="C4673" s="326">
        <v>378</v>
      </c>
      <c r="D4673" s="25" t="s">
        <v>33</v>
      </c>
      <c r="E4673" s="259">
        <v>38</v>
      </c>
      <c r="F4673" s="259">
        <f t="shared" si="93"/>
        <v>14364</v>
      </c>
    </row>
    <row r="4674" spans="1:6" x14ac:dyDescent="0.25">
      <c r="A4674" s="25">
        <v>27</v>
      </c>
      <c r="B4674" s="24" t="s">
        <v>2320</v>
      </c>
      <c r="C4674" s="326">
        <v>288</v>
      </c>
      <c r="D4674" s="25" t="s">
        <v>33</v>
      </c>
      <c r="E4674" s="259">
        <v>20</v>
      </c>
      <c r="F4674" s="259">
        <f t="shared" si="93"/>
        <v>5760</v>
      </c>
    </row>
    <row r="4675" spans="1:6" x14ac:dyDescent="0.25">
      <c r="A4675" s="25">
        <v>28</v>
      </c>
      <c r="B4675" s="24" t="s">
        <v>2321</v>
      </c>
      <c r="C4675" s="326">
        <v>80</v>
      </c>
      <c r="D4675" s="25" t="s">
        <v>33</v>
      </c>
      <c r="E4675" s="259">
        <v>16</v>
      </c>
      <c r="F4675" s="259">
        <f t="shared" si="93"/>
        <v>1280</v>
      </c>
    </row>
    <row r="4676" spans="1:6" x14ac:dyDescent="0.25">
      <c r="A4676" s="25">
        <v>29</v>
      </c>
      <c r="B4676" s="24" t="s">
        <v>2335</v>
      </c>
      <c r="C4676" s="326">
        <v>408</v>
      </c>
      <c r="D4676" s="25" t="s">
        <v>9</v>
      </c>
      <c r="E4676" s="259">
        <v>190</v>
      </c>
      <c r="F4676" s="259">
        <f t="shared" si="93"/>
        <v>77520</v>
      </c>
    </row>
    <row r="4677" spans="1:6" x14ac:dyDescent="0.25">
      <c r="A4677" s="25">
        <v>30</v>
      </c>
      <c r="B4677" s="24" t="s">
        <v>1685</v>
      </c>
      <c r="C4677" s="326">
        <v>408</v>
      </c>
      <c r="D4677" s="25" t="s">
        <v>9</v>
      </c>
      <c r="E4677" s="259">
        <v>24</v>
      </c>
      <c r="F4677" s="259">
        <f t="shared" si="93"/>
        <v>9792</v>
      </c>
    </row>
    <row r="4678" spans="1:6" x14ac:dyDescent="0.25">
      <c r="A4678" s="25">
        <v>31</v>
      </c>
      <c r="B4678" s="24" t="s">
        <v>1698</v>
      </c>
      <c r="C4678" s="326">
        <v>60</v>
      </c>
      <c r="D4678" s="25" t="s">
        <v>33</v>
      </c>
      <c r="E4678" s="259">
        <v>220</v>
      </c>
      <c r="F4678" s="259">
        <f t="shared" si="93"/>
        <v>13200</v>
      </c>
    </row>
    <row r="4679" spans="1:6" x14ac:dyDescent="0.25">
      <c r="A4679" s="25">
        <v>32</v>
      </c>
      <c r="B4679" s="24" t="s">
        <v>1684</v>
      </c>
      <c r="C4679" s="326">
        <v>60</v>
      </c>
      <c r="D4679" s="25" t="s">
        <v>33</v>
      </c>
      <c r="E4679" s="259">
        <v>45</v>
      </c>
      <c r="F4679" s="259">
        <f t="shared" si="93"/>
        <v>2700</v>
      </c>
    </row>
    <row r="4680" spans="1:6" x14ac:dyDescent="0.25">
      <c r="A4680" s="25">
        <v>33</v>
      </c>
      <c r="B4680" s="24" t="s">
        <v>1681</v>
      </c>
      <c r="C4680" s="326">
        <v>234</v>
      </c>
      <c r="D4680" s="25" t="s">
        <v>9</v>
      </c>
      <c r="E4680" s="259">
        <v>30</v>
      </c>
      <c r="F4680" s="259">
        <f t="shared" si="93"/>
        <v>7020</v>
      </c>
    </row>
    <row r="4681" spans="1:6" x14ac:dyDescent="0.25">
      <c r="A4681" s="25">
        <v>34</v>
      </c>
      <c r="B4681" s="24" t="s">
        <v>2336</v>
      </c>
      <c r="C4681" s="326">
        <v>18</v>
      </c>
      <c r="D4681" s="25" t="s">
        <v>33</v>
      </c>
      <c r="E4681" s="259">
        <v>130</v>
      </c>
      <c r="F4681" s="259">
        <f t="shared" si="93"/>
        <v>2340</v>
      </c>
    </row>
    <row r="4682" spans="1:6" x14ac:dyDescent="0.25">
      <c r="A4682" s="25">
        <v>35</v>
      </c>
      <c r="B4682" s="24" t="s">
        <v>1889</v>
      </c>
      <c r="C4682" s="326">
        <v>104</v>
      </c>
      <c r="D4682" s="25" t="s">
        <v>9</v>
      </c>
      <c r="E4682" s="259">
        <v>105</v>
      </c>
      <c r="F4682" s="259">
        <f t="shared" si="93"/>
        <v>10920</v>
      </c>
    </row>
    <row r="4683" spans="1:6" x14ac:dyDescent="0.25">
      <c r="A4683" s="25">
        <v>36</v>
      </c>
      <c r="B4683" s="24" t="s">
        <v>1676</v>
      </c>
      <c r="C4683" s="326">
        <v>47.6</v>
      </c>
      <c r="D4683" s="25" t="s">
        <v>1873</v>
      </c>
      <c r="E4683" s="259">
        <v>300</v>
      </c>
      <c r="F4683" s="259">
        <f t="shared" si="93"/>
        <v>14280</v>
      </c>
    </row>
    <row r="4684" spans="1:6" x14ac:dyDescent="0.25">
      <c r="A4684" s="25">
        <v>37</v>
      </c>
      <c r="B4684" s="24" t="s">
        <v>1761</v>
      </c>
      <c r="C4684" s="326">
        <v>54</v>
      </c>
      <c r="D4684" s="25" t="s">
        <v>9</v>
      </c>
      <c r="E4684" s="259">
        <v>130</v>
      </c>
      <c r="F4684" s="259">
        <f t="shared" si="93"/>
        <v>7020</v>
      </c>
    </row>
    <row r="4685" spans="1:6" x14ac:dyDescent="0.25">
      <c r="A4685" s="25">
        <v>38</v>
      </c>
      <c r="B4685" s="24" t="s">
        <v>1677</v>
      </c>
      <c r="C4685" s="326">
        <v>247</v>
      </c>
      <c r="D4685" s="25" t="s">
        <v>9</v>
      </c>
      <c r="E4685" s="259">
        <v>90</v>
      </c>
      <c r="F4685" s="259">
        <f t="shared" si="93"/>
        <v>22230</v>
      </c>
    </row>
    <row r="4686" spans="1:6" x14ac:dyDescent="0.25">
      <c r="A4686" s="25">
        <v>39</v>
      </c>
      <c r="B4686" s="14" t="s">
        <v>1798</v>
      </c>
      <c r="C4686" s="316">
        <v>53</v>
      </c>
      <c r="D4686" s="15" t="s">
        <v>33</v>
      </c>
      <c r="E4686" s="16">
        <v>280</v>
      </c>
      <c r="F4686" s="259">
        <f t="shared" si="93"/>
        <v>14840</v>
      </c>
    </row>
    <row r="4687" spans="1:6" x14ac:dyDescent="0.25">
      <c r="A4687" s="25">
        <v>40</v>
      </c>
      <c r="B4687" s="14" t="s">
        <v>1799</v>
      </c>
      <c r="C4687" s="316">
        <v>53</v>
      </c>
      <c r="D4687" s="15" t="s">
        <v>33</v>
      </c>
      <c r="E4687" s="16">
        <v>205</v>
      </c>
      <c r="F4687" s="259">
        <f t="shared" si="93"/>
        <v>10865</v>
      </c>
    </row>
    <row r="4688" spans="1:6" x14ac:dyDescent="0.25">
      <c r="A4688" s="25">
        <v>41</v>
      </c>
      <c r="B4688" s="24" t="s">
        <v>1040</v>
      </c>
      <c r="C4688" s="326">
        <v>1</v>
      </c>
      <c r="D4688" s="25" t="s">
        <v>407</v>
      </c>
      <c r="E4688" s="259">
        <v>14000</v>
      </c>
      <c r="F4688" s="259">
        <f>E4688*C4688</f>
        <v>14000</v>
      </c>
    </row>
    <row r="4689" spans="1:12" ht="45" x14ac:dyDescent="0.25">
      <c r="A4689" s="25">
        <v>42</v>
      </c>
      <c r="B4689" s="24" t="s">
        <v>2322</v>
      </c>
      <c r="C4689" s="326">
        <v>1</v>
      </c>
      <c r="D4689" s="25" t="s">
        <v>772</v>
      </c>
      <c r="E4689" s="259">
        <v>6500</v>
      </c>
      <c r="F4689" s="259">
        <f t="shared" si="93"/>
        <v>6500</v>
      </c>
    </row>
    <row r="4690" spans="1:12" ht="30" x14ac:dyDescent="0.25">
      <c r="A4690" s="25">
        <v>43</v>
      </c>
      <c r="B4690" s="24" t="s">
        <v>1044</v>
      </c>
      <c r="C4690" s="326">
        <v>1</v>
      </c>
      <c r="D4690" s="25" t="s">
        <v>772</v>
      </c>
      <c r="E4690" s="259">
        <v>7000</v>
      </c>
      <c r="F4690" s="259">
        <f t="shared" si="93"/>
        <v>7000</v>
      </c>
    </row>
    <row r="4691" spans="1:12" ht="30" x14ac:dyDescent="0.25">
      <c r="A4691" s="25">
        <v>44</v>
      </c>
      <c r="B4691" s="24" t="s">
        <v>1046</v>
      </c>
      <c r="C4691" s="326">
        <v>1</v>
      </c>
      <c r="D4691" s="25" t="s">
        <v>772</v>
      </c>
      <c r="E4691" s="259">
        <v>8000</v>
      </c>
      <c r="F4691" s="259">
        <f t="shared" si="93"/>
        <v>8000</v>
      </c>
    </row>
    <row r="4692" spans="1:12" ht="30" x14ac:dyDescent="0.25">
      <c r="A4692" s="25">
        <v>45</v>
      </c>
      <c r="B4692" s="24" t="s">
        <v>1706</v>
      </c>
      <c r="C4692" s="326">
        <v>1</v>
      </c>
      <c r="D4692" s="25" t="s">
        <v>407</v>
      </c>
      <c r="E4692" s="259">
        <v>3850</v>
      </c>
      <c r="F4692" s="259">
        <f t="shared" si="93"/>
        <v>3850</v>
      </c>
    </row>
    <row r="4693" spans="1:12" ht="30" x14ac:dyDescent="0.25">
      <c r="A4693" s="25">
        <v>46</v>
      </c>
      <c r="B4693" s="24" t="s">
        <v>1708</v>
      </c>
      <c r="C4693" s="326">
        <v>1</v>
      </c>
      <c r="D4693" s="25" t="s">
        <v>407</v>
      </c>
      <c r="E4693" s="259">
        <v>16000</v>
      </c>
      <c r="F4693" s="259">
        <f t="shared" si="93"/>
        <v>16000</v>
      </c>
    </row>
    <row r="4694" spans="1:12" ht="30" x14ac:dyDescent="0.25">
      <c r="A4694" s="25">
        <v>47</v>
      </c>
      <c r="B4694" s="24" t="s">
        <v>1709</v>
      </c>
      <c r="C4694" s="326">
        <v>1</v>
      </c>
      <c r="D4694" s="25" t="s">
        <v>407</v>
      </c>
      <c r="E4694" s="259">
        <v>10500</v>
      </c>
      <c r="F4694" s="259">
        <f t="shared" si="93"/>
        <v>10500</v>
      </c>
    </row>
    <row r="4695" spans="1:12" x14ac:dyDescent="0.25">
      <c r="A4695" s="25"/>
      <c r="F4695" s="259"/>
    </row>
    <row r="4696" spans="1:12" x14ac:dyDescent="0.25">
      <c r="A4696" s="25"/>
      <c r="B4696" s="71" t="s">
        <v>330</v>
      </c>
      <c r="C4696" s="326"/>
      <c r="D4696" s="25"/>
      <c r="E4696" s="259"/>
      <c r="F4696" s="259"/>
    </row>
    <row r="4697" spans="1:12" x14ac:dyDescent="0.25">
      <c r="A4697" s="25">
        <v>48</v>
      </c>
      <c r="B4697" s="24" t="s">
        <v>1033</v>
      </c>
      <c r="C4697" s="326">
        <v>80</v>
      </c>
      <c r="D4697" s="25" t="s">
        <v>9</v>
      </c>
      <c r="E4697" s="259">
        <v>115</v>
      </c>
      <c r="F4697" s="259">
        <f t="shared" si="93"/>
        <v>9200</v>
      </c>
      <c r="L4697" s="33" t="s">
        <v>2324</v>
      </c>
    </row>
    <row r="4698" spans="1:12" x14ac:dyDescent="0.25">
      <c r="A4698" s="25">
        <v>49</v>
      </c>
      <c r="B4698" s="24" t="s">
        <v>998</v>
      </c>
      <c r="C4698" s="326">
        <v>334</v>
      </c>
      <c r="D4698" s="25" t="s">
        <v>9</v>
      </c>
      <c r="E4698" s="259">
        <v>95</v>
      </c>
      <c r="F4698" s="259">
        <f t="shared" si="93"/>
        <v>31730</v>
      </c>
    </row>
    <row r="4699" spans="1:12" x14ac:dyDescent="0.25">
      <c r="A4699" s="25">
        <v>50</v>
      </c>
      <c r="B4699" s="24" t="s">
        <v>1036</v>
      </c>
      <c r="C4699" s="326">
        <v>284</v>
      </c>
      <c r="D4699" s="25" t="s">
        <v>9</v>
      </c>
      <c r="E4699" s="259">
        <v>195</v>
      </c>
      <c r="F4699" s="259">
        <f t="shared" si="93"/>
        <v>55380</v>
      </c>
    </row>
    <row r="4700" spans="1:12" x14ac:dyDescent="0.25">
      <c r="A4700" s="25">
        <v>51</v>
      </c>
      <c r="B4700" s="24" t="s">
        <v>1034</v>
      </c>
      <c r="C4700" s="326">
        <v>14.3</v>
      </c>
      <c r="D4700" s="25" t="s">
        <v>32</v>
      </c>
      <c r="E4700" s="259">
        <v>300</v>
      </c>
      <c r="F4700" s="259">
        <f t="shared" si="93"/>
        <v>4290</v>
      </c>
    </row>
    <row r="4701" spans="1:12" x14ac:dyDescent="0.25">
      <c r="A4701" s="25">
        <v>52</v>
      </c>
      <c r="B4701" s="24" t="s">
        <v>1035</v>
      </c>
      <c r="C4701" s="326">
        <v>42.5</v>
      </c>
      <c r="D4701" s="25" t="s">
        <v>9</v>
      </c>
      <c r="E4701" s="259">
        <v>75</v>
      </c>
      <c r="F4701" s="259">
        <f t="shared" si="93"/>
        <v>3187.5</v>
      </c>
    </row>
    <row r="4702" spans="1:12" x14ac:dyDescent="0.25">
      <c r="A4702" s="25">
        <v>53</v>
      </c>
      <c r="B4702" s="24" t="s">
        <v>1037</v>
      </c>
      <c r="C4702" s="326">
        <v>42.5</v>
      </c>
      <c r="D4702" s="25" t="s">
        <v>9</v>
      </c>
      <c r="E4702" s="259">
        <v>160</v>
      </c>
      <c r="F4702" s="259">
        <f t="shared" si="93"/>
        <v>6800</v>
      </c>
    </row>
    <row r="4703" spans="1:12" x14ac:dyDescent="0.25">
      <c r="A4703" s="25">
        <v>54</v>
      </c>
      <c r="B4703" s="24" t="s">
        <v>2325</v>
      </c>
      <c r="C4703" s="326">
        <v>1</v>
      </c>
      <c r="D4703" s="25" t="s">
        <v>11</v>
      </c>
      <c r="E4703" s="259">
        <v>1500</v>
      </c>
      <c r="F4703" s="259">
        <f t="shared" si="93"/>
        <v>1500</v>
      </c>
    </row>
    <row r="4704" spans="1:12" ht="30" x14ac:dyDescent="0.25">
      <c r="A4704" s="25">
        <v>55</v>
      </c>
      <c r="B4704" s="24" t="s">
        <v>1823</v>
      </c>
      <c r="C4704" s="326">
        <v>1</v>
      </c>
      <c r="D4704" s="25" t="s">
        <v>11</v>
      </c>
      <c r="E4704" s="259">
        <v>1600</v>
      </c>
      <c r="F4704" s="259">
        <f t="shared" si="93"/>
        <v>1600</v>
      </c>
    </row>
    <row r="4705" spans="1:12" x14ac:dyDescent="0.25">
      <c r="A4705" s="25">
        <v>56</v>
      </c>
      <c r="B4705" s="24" t="s">
        <v>2326</v>
      </c>
      <c r="C4705" s="326">
        <v>1</v>
      </c>
      <c r="D4705" s="25" t="s">
        <v>11</v>
      </c>
      <c r="E4705" s="259">
        <v>1500</v>
      </c>
      <c r="F4705" s="259">
        <f t="shared" si="93"/>
        <v>1500</v>
      </c>
    </row>
    <row r="4706" spans="1:12" x14ac:dyDescent="0.25">
      <c r="A4706" s="25">
        <v>57</v>
      </c>
      <c r="B4706" s="24" t="s">
        <v>2308</v>
      </c>
      <c r="C4706" s="326">
        <v>1</v>
      </c>
      <c r="D4706" s="25" t="s">
        <v>11</v>
      </c>
      <c r="E4706" s="259">
        <v>250</v>
      </c>
      <c r="F4706" s="259">
        <f t="shared" si="93"/>
        <v>250</v>
      </c>
    </row>
    <row r="4707" spans="1:12" ht="30" x14ac:dyDescent="0.25">
      <c r="A4707" s="25">
        <v>58</v>
      </c>
      <c r="B4707" s="24" t="s">
        <v>2323</v>
      </c>
      <c r="C4707" s="326">
        <v>1</v>
      </c>
      <c r="D4707" s="25" t="s">
        <v>407</v>
      </c>
      <c r="E4707" s="259">
        <v>8500</v>
      </c>
      <c r="F4707" s="259">
        <f>E4707*C4707</f>
        <v>8500</v>
      </c>
    </row>
    <row r="4708" spans="1:12" ht="30" x14ac:dyDescent="0.25">
      <c r="A4708" s="25">
        <v>59</v>
      </c>
      <c r="B4708" s="24" t="s">
        <v>1038</v>
      </c>
      <c r="C4708" s="326">
        <v>1</v>
      </c>
      <c r="D4708" s="25" t="s">
        <v>407</v>
      </c>
      <c r="E4708" s="259">
        <v>26500</v>
      </c>
      <c r="F4708" s="259">
        <f t="shared" si="93"/>
        <v>26500</v>
      </c>
    </row>
    <row r="4709" spans="1:12" ht="30" x14ac:dyDescent="0.25">
      <c r="A4709" s="25">
        <v>60</v>
      </c>
      <c r="B4709" s="24" t="s">
        <v>1031</v>
      </c>
      <c r="C4709" s="326">
        <v>1</v>
      </c>
      <c r="D4709" s="25" t="s">
        <v>407</v>
      </c>
      <c r="E4709" s="259">
        <v>3500</v>
      </c>
      <c r="F4709" s="259">
        <f t="shared" si="93"/>
        <v>3500</v>
      </c>
    </row>
    <row r="4710" spans="1:12" ht="60" x14ac:dyDescent="0.25">
      <c r="A4710" s="25">
        <v>61</v>
      </c>
      <c r="B4710" s="24" t="s">
        <v>2327</v>
      </c>
      <c r="C4710" s="326">
        <v>1</v>
      </c>
      <c r="D4710" s="25" t="s">
        <v>407</v>
      </c>
      <c r="E4710" s="259">
        <v>8500</v>
      </c>
      <c r="F4710" s="259">
        <f t="shared" si="93"/>
        <v>8500</v>
      </c>
    </row>
    <row r="4711" spans="1:12" x14ac:dyDescent="0.25">
      <c r="B4711" s="24"/>
      <c r="C4711" s="326"/>
      <c r="D4711" s="25"/>
      <c r="E4711" s="259"/>
      <c r="F4711" s="259"/>
    </row>
    <row r="4712" spans="1:12" x14ac:dyDescent="0.25">
      <c r="B4712" s="71" t="s">
        <v>10</v>
      </c>
      <c r="C4712" s="329"/>
      <c r="D4712" s="28"/>
      <c r="E4712" s="262"/>
      <c r="F4712" s="262">
        <f>SUM(F4648:F4710)</f>
        <v>775399.9</v>
      </c>
      <c r="L4712" s="33">
        <v>1599</v>
      </c>
    </row>
    <row r="4713" spans="1:12" x14ac:dyDescent="0.25">
      <c r="B4713" s="24"/>
      <c r="C4713" s="326"/>
      <c r="D4713" s="25"/>
      <c r="E4713" s="259"/>
      <c r="F4713" s="259"/>
      <c r="L4713" s="33">
        <v>72</v>
      </c>
    </row>
    <row r="4714" spans="1:12" x14ac:dyDescent="0.25">
      <c r="F4714" s="16">
        <f t="shared" ref="F4714:F4742" si="94">E4714*C4714</f>
        <v>0</v>
      </c>
    </row>
    <row r="4715" spans="1:12" x14ac:dyDescent="0.25">
      <c r="A4715" s="28" t="s">
        <v>0</v>
      </c>
      <c r="B4715" s="28" t="s">
        <v>1</v>
      </c>
      <c r="C4715" s="329" t="s">
        <v>2</v>
      </c>
      <c r="D4715" s="28" t="s">
        <v>3</v>
      </c>
      <c r="E4715" s="262" t="s">
        <v>4</v>
      </c>
      <c r="F4715" s="262" t="s">
        <v>5</v>
      </c>
    </row>
    <row r="4716" spans="1:12" x14ac:dyDescent="0.25">
      <c r="A4716" s="13" t="s">
        <v>1618</v>
      </c>
      <c r="B4716" s="14" t="s">
        <v>2345</v>
      </c>
      <c r="C4716" s="316">
        <v>468</v>
      </c>
      <c r="D4716" s="15" t="s">
        <v>32</v>
      </c>
      <c r="E4716" s="16">
        <v>120</v>
      </c>
      <c r="F4716" s="16">
        <f t="shared" si="94"/>
        <v>56160</v>
      </c>
    </row>
    <row r="4717" spans="1:12" x14ac:dyDescent="0.25">
      <c r="A4717" s="13" t="s">
        <v>1620</v>
      </c>
      <c r="B4717" s="14" t="s">
        <v>2347</v>
      </c>
      <c r="C4717" s="316">
        <v>1584</v>
      </c>
      <c r="D4717" s="15" t="s">
        <v>32</v>
      </c>
      <c r="E4717" s="16">
        <v>60</v>
      </c>
      <c r="F4717" s="16">
        <f t="shared" si="94"/>
        <v>95040</v>
      </c>
    </row>
    <row r="4718" spans="1:12" x14ac:dyDescent="0.25">
      <c r="A4718" s="13" t="s">
        <v>1621</v>
      </c>
      <c r="B4718" s="14" t="s">
        <v>2346</v>
      </c>
      <c r="C4718" s="316">
        <v>117</v>
      </c>
      <c r="D4718" s="15" t="s">
        <v>9</v>
      </c>
      <c r="E4718" s="16">
        <v>350</v>
      </c>
      <c r="F4718" s="16">
        <f t="shared" si="94"/>
        <v>40950</v>
      </c>
    </row>
    <row r="4719" spans="1:12" ht="45" x14ac:dyDescent="0.25">
      <c r="A4719" s="13" t="s">
        <v>1623</v>
      </c>
      <c r="B4719" s="14" t="s">
        <v>2348</v>
      </c>
      <c r="C4719" s="316">
        <v>13</v>
      </c>
      <c r="D4719" s="15" t="s">
        <v>668</v>
      </c>
      <c r="E4719" s="16">
        <v>22000</v>
      </c>
      <c r="F4719" s="16">
        <f t="shared" si="94"/>
        <v>286000</v>
      </c>
    </row>
    <row r="4720" spans="1:12" ht="60" x14ac:dyDescent="0.25">
      <c r="A4720" s="13" t="s">
        <v>1631</v>
      </c>
      <c r="B4720" s="14" t="s">
        <v>2349</v>
      </c>
      <c r="C4720" s="316">
        <v>182</v>
      </c>
      <c r="D4720" s="15" t="s">
        <v>33</v>
      </c>
      <c r="E4720" s="16">
        <v>1950</v>
      </c>
      <c r="F4720" s="16">
        <f t="shared" si="94"/>
        <v>354900</v>
      </c>
    </row>
    <row r="4721" spans="1:13" ht="45" x14ac:dyDescent="0.25">
      <c r="A4721" s="13" t="s">
        <v>1632</v>
      </c>
      <c r="B4721" s="14" t="s">
        <v>2350</v>
      </c>
      <c r="C4721" s="316">
        <v>170</v>
      </c>
      <c r="D4721" s="15" t="s">
        <v>33</v>
      </c>
      <c r="E4721" s="16">
        <v>1800</v>
      </c>
      <c r="F4721" s="16">
        <f t="shared" si="94"/>
        <v>306000</v>
      </c>
    </row>
    <row r="4722" spans="1:13" ht="45" x14ac:dyDescent="0.25">
      <c r="A4722" s="13" t="s">
        <v>1633</v>
      </c>
      <c r="B4722" s="14" t="s">
        <v>2351</v>
      </c>
      <c r="C4722" s="316">
        <v>197</v>
      </c>
      <c r="D4722" s="15" t="s">
        <v>33</v>
      </c>
      <c r="E4722" s="16">
        <v>1850</v>
      </c>
      <c r="F4722" s="16">
        <f t="shared" si="94"/>
        <v>364450</v>
      </c>
      <c r="M4722" s="215">
        <v>31</v>
      </c>
    </row>
    <row r="4723" spans="1:13" ht="75" x14ac:dyDescent="0.25">
      <c r="A4723" s="13" t="s">
        <v>1634</v>
      </c>
      <c r="B4723" s="14" t="s">
        <v>2352</v>
      </c>
      <c r="C4723" s="316">
        <v>1527</v>
      </c>
      <c r="D4723" s="15" t="s">
        <v>9</v>
      </c>
      <c r="E4723" s="16">
        <v>1400</v>
      </c>
      <c r="F4723" s="16">
        <f t="shared" si="94"/>
        <v>2137800</v>
      </c>
    </row>
    <row r="4724" spans="1:13" ht="60" x14ac:dyDescent="0.25">
      <c r="A4724" s="13" t="s">
        <v>1635</v>
      </c>
      <c r="B4724" s="14" t="s">
        <v>2353</v>
      </c>
      <c r="C4724" s="316">
        <v>130</v>
      </c>
      <c r="D4724" s="15" t="s">
        <v>33</v>
      </c>
      <c r="E4724" s="16">
        <v>1800</v>
      </c>
      <c r="F4724" s="16">
        <f t="shared" si="94"/>
        <v>234000</v>
      </c>
    </row>
    <row r="4725" spans="1:13" ht="60" x14ac:dyDescent="0.25">
      <c r="A4725" s="13" t="s">
        <v>1385</v>
      </c>
      <c r="B4725" s="14" t="s">
        <v>2354</v>
      </c>
      <c r="C4725" s="316">
        <v>197</v>
      </c>
      <c r="D4725" s="15" t="s">
        <v>33</v>
      </c>
      <c r="E4725" s="16">
        <v>1850</v>
      </c>
      <c r="F4725" s="16">
        <f t="shared" si="94"/>
        <v>364450</v>
      </c>
    </row>
    <row r="4726" spans="1:13" ht="75" x14ac:dyDescent="0.25">
      <c r="A4726" s="13" t="s">
        <v>1398</v>
      </c>
      <c r="B4726" s="14" t="s">
        <v>2367</v>
      </c>
      <c r="C4726" s="316">
        <v>1527</v>
      </c>
      <c r="D4726" s="15" t="s">
        <v>9</v>
      </c>
      <c r="E4726" s="16">
        <v>1350</v>
      </c>
      <c r="F4726" s="16">
        <f t="shared" si="94"/>
        <v>2061450</v>
      </c>
    </row>
    <row r="4727" spans="1:13" ht="45" x14ac:dyDescent="0.25">
      <c r="A4727" s="13" t="s">
        <v>1637</v>
      </c>
      <c r="B4727" s="14" t="s">
        <v>2355</v>
      </c>
      <c r="C4727" s="316">
        <v>1</v>
      </c>
      <c r="D4727" s="15" t="s">
        <v>11</v>
      </c>
      <c r="E4727" s="16">
        <v>260000</v>
      </c>
      <c r="F4727" s="16">
        <f t="shared" si="94"/>
        <v>260000</v>
      </c>
    </row>
    <row r="4728" spans="1:13" ht="45" x14ac:dyDescent="0.25">
      <c r="A4728" s="13" t="s">
        <v>1660</v>
      </c>
      <c r="B4728" s="14" t="s">
        <v>2356</v>
      </c>
      <c r="C4728" s="316">
        <v>1</v>
      </c>
      <c r="D4728" s="15" t="s">
        <v>11</v>
      </c>
      <c r="E4728" s="16">
        <v>280000</v>
      </c>
      <c r="F4728" s="16">
        <f t="shared" si="94"/>
        <v>280000</v>
      </c>
    </row>
    <row r="4729" spans="1:13" ht="45" x14ac:dyDescent="0.25">
      <c r="A4729" s="13" t="s">
        <v>1661</v>
      </c>
      <c r="B4729" s="14" t="s">
        <v>2359</v>
      </c>
      <c r="C4729" s="316">
        <v>1590</v>
      </c>
      <c r="D4729" s="15" t="s">
        <v>9</v>
      </c>
      <c r="E4729" s="16">
        <v>430</v>
      </c>
      <c r="F4729" s="16">
        <f t="shared" si="94"/>
        <v>683700</v>
      </c>
    </row>
    <row r="4730" spans="1:13" ht="60" x14ac:dyDescent="0.25">
      <c r="A4730" s="13" t="s">
        <v>1662</v>
      </c>
      <c r="B4730" s="14" t="s">
        <v>2357</v>
      </c>
      <c r="C4730" s="316">
        <v>2900</v>
      </c>
      <c r="D4730" s="15" t="s">
        <v>9</v>
      </c>
      <c r="E4730" s="16">
        <v>160</v>
      </c>
      <c r="F4730" s="16">
        <f t="shared" si="94"/>
        <v>464000</v>
      </c>
    </row>
    <row r="4731" spans="1:13" ht="75" x14ac:dyDescent="0.25">
      <c r="A4731" s="13" t="s">
        <v>1663</v>
      </c>
      <c r="B4731" s="14" t="s">
        <v>2358</v>
      </c>
      <c r="C4731" s="316">
        <v>1500</v>
      </c>
      <c r="D4731" s="15" t="s">
        <v>9</v>
      </c>
      <c r="E4731" s="16">
        <v>180</v>
      </c>
      <c r="F4731" s="16">
        <f t="shared" si="94"/>
        <v>270000</v>
      </c>
    </row>
    <row r="4732" spans="1:13" ht="30" x14ac:dyDescent="0.25">
      <c r="A4732" s="13" t="s">
        <v>1664</v>
      </c>
      <c r="B4732" s="14" t="s">
        <v>2360</v>
      </c>
      <c r="C4732" s="316">
        <v>1420</v>
      </c>
      <c r="D4732" s="15" t="s">
        <v>9</v>
      </c>
      <c r="E4732" s="16">
        <v>350</v>
      </c>
      <c r="F4732" s="16">
        <f t="shared" si="94"/>
        <v>497000</v>
      </c>
    </row>
    <row r="4733" spans="1:13" ht="60" x14ac:dyDescent="0.25">
      <c r="A4733" s="13" t="s">
        <v>1665</v>
      </c>
      <c r="B4733" s="14" t="s">
        <v>2361</v>
      </c>
      <c r="C4733" s="316">
        <v>2900</v>
      </c>
      <c r="D4733" s="15" t="s">
        <v>9</v>
      </c>
      <c r="E4733" s="16">
        <v>140</v>
      </c>
      <c r="F4733" s="16">
        <f t="shared" si="94"/>
        <v>406000</v>
      </c>
    </row>
    <row r="4734" spans="1:13" ht="60" x14ac:dyDescent="0.25">
      <c r="A4734" s="13" t="s">
        <v>1666</v>
      </c>
      <c r="B4734" s="14" t="s">
        <v>2362</v>
      </c>
      <c r="C4734" s="316">
        <v>1527</v>
      </c>
      <c r="D4734" s="15" t="s">
        <v>9</v>
      </c>
      <c r="E4734" s="16">
        <v>145</v>
      </c>
      <c r="F4734" s="16">
        <f t="shared" si="94"/>
        <v>221415</v>
      </c>
    </row>
    <row r="4735" spans="1:13" ht="45" x14ac:dyDescent="0.25">
      <c r="A4735" s="13" t="s">
        <v>1667</v>
      </c>
      <c r="B4735" s="14" t="s">
        <v>2363</v>
      </c>
      <c r="C4735" s="316">
        <v>1500</v>
      </c>
      <c r="D4735" s="15" t="s">
        <v>9</v>
      </c>
      <c r="E4735" s="16">
        <v>95</v>
      </c>
      <c r="F4735" s="16">
        <f t="shared" si="94"/>
        <v>142500</v>
      </c>
    </row>
    <row r="4736" spans="1:13" ht="60" x14ac:dyDescent="0.25">
      <c r="A4736" s="13" t="s">
        <v>1668</v>
      </c>
      <c r="B4736" s="14" t="s">
        <v>2364</v>
      </c>
      <c r="C4736" s="316">
        <v>1420</v>
      </c>
      <c r="D4736" s="15" t="s">
        <v>9</v>
      </c>
      <c r="E4736" s="16">
        <v>195</v>
      </c>
      <c r="F4736" s="16">
        <f t="shared" si="94"/>
        <v>276900</v>
      </c>
      <c r="L4736" s="33" t="s">
        <v>2344</v>
      </c>
    </row>
    <row r="4737" spans="1:12" ht="60" x14ac:dyDescent="0.25">
      <c r="A4737" s="13" t="s">
        <v>1669</v>
      </c>
      <c r="B4737" s="14" t="s">
        <v>2365</v>
      </c>
      <c r="C4737" s="316">
        <v>295</v>
      </c>
      <c r="D4737" s="15" t="s">
        <v>9</v>
      </c>
      <c r="E4737" s="16">
        <v>210</v>
      </c>
      <c r="F4737" s="16">
        <f t="shared" si="94"/>
        <v>61950</v>
      </c>
    </row>
    <row r="4738" spans="1:12" ht="45" x14ac:dyDescent="0.25">
      <c r="A4738" s="13" t="s">
        <v>1670</v>
      </c>
      <c r="B4738" s="14" t="s">
        <v>2366</v>
      </c>
      <c r="C4738" s="316">
        <v>1</v>
      </c>
      <c r="D4738" s="15" t="s">
        <v>2341</v>
      </c>
      <c r="E4738" s="16">
        <v>45000</v>
      </c>
      <c r="F4738" s="16">
        <f t="shared" si="94"/>
        <v>45000</v>
      </c>
      <c r="L4738" s="33" t="s">
        <v>2342</v>
      </c>
    </row>
    <row r="4739" spans="1:12" x14ac:dyDescent="0.25">
      <c r="L4739" s="33" t="s">
        <v>2343</v>
      </c>
    </row>
    <row r="4740" spans="1:12" x14ac:dyDescent="0.25">
      <c r="B4740" s="17" t="s">
        <v>10</v>
      </c>
      <c r="C4740" s="31"/>
      <c r="D4740" s="18"/>
      <c r="E4740" s="239"/>
      <c r="F4740" s="239">
        <f>SUM(F4716:F4738)</f>
        <v>9909665</v>
      </c>
    </row>
    <row r="4742" spans="1:12" ht="15.75" thickBot="1" x14ac:dyDescent="0.3">
      <c r="F4742" s="16">
        <f t="shared" si="94"/>
        <v>0</v>
      </c>
    </row>
    <row r="4743" spans="1:12" ht="15.75" thickBot="1" x14ac:dyDescent="0.3">
      <c r="A4743" s="5" t="s">
        <v>0</v>
      </c>
      <c r="B4743" s="6" t="s">
        <v>1</v>
      </c>
      <c r="C4743" s="332" t="s">
        <v>2</v>
      </c>
      <c r="D4743" s="6" t="s">
        <v>3</v>
      </c>
      <c r="E4743" s="264" t="s">
        <v>4</v>
      </c>
      <c r="F4743" s="264" t="s">
        <v>5</v>
      </c>
    </row>
    <row r="4744" spans="1:12" ht="30.75" thickBot="1" x14ac:dyDescent="0.3">
      <c r="A4744" s="7">
        <v>1</v>
      </c>
      <c r="B4744" s="8" t="s">
        <v>1658</v>
      </c>
      <c r="C4744" s="324">
        <v>299</v>
      </c>
      <c r="D4744" s="9" t="s">
        <v>32</v>
      </c>
      <c r="E4744" s="237">
        <v>60</v>
      </c>
      <c r="F4744" s="237">
        <f>E4744*C4744</f>
        <v>17940</v>
      </c>
    </row>
    <row r="4745" spans="1:12" ht="30.75" thickBot="1" x14ac:dyDescent="0.3">
      <c r="A4745" s="7">
        <v>2</v>
      </c>
      <c r="B4745" s="8" t="s">
        <v>2373</v>
      </c>
      <c r="C4745" s="324">
        <v>220</v>
      </c>
      <c r="D4745" s="9" t="s">
        <v>32</v>
      </c>
      <c r="E4745" s="237">
        <v>55</v>
      </c>
      <c r="F4745" s="237">
        <f t="shared" ref="F4745:F4804" si="95">E4745*C4745</f>
        <v>12100</v>
      </c>
    </row>
    <row r="4746" spans="1:12" ht="30.75" thickBot="1" x14ac:dyDescent="0.3">
      <c r="A4746" s="7">
        <v>3</v>
      </c>
      <c r="B4746" s="8" t="s">
        <v>2374</v>
      </c>
      <c r="C4746" s="324">
        <v>220</v>
      </c>
      <c r="D4746" s="9" t="s">
        <v>32</v>
      </c>
      <c r="E4746" s="237">
        <v>120</v>
      </c>
      <c r="F4746" s="237">
        <f t="shared" si="95"/>
        <v>26400</v>
      </c>
    </row>
    <row r="4747" spans="1:12" ht="15.75" thickBot="1" x14ac:dyDescent="0.3">
      <c r="A4747" s="7">
        <v>4</v>
      </c>
      <c r="B4747" s="8" t="s">
        <v>1042</v>
      </c>
      <c r="C4747" s="324">
        <v>66</v>
      </c>
      <c r="D4747" s="9" t="s">
        <v>9</v>
      </c>
      <c r="E4747" s="237">
        <v>55</v>
      </c>
      <c r="F4747" s="237">
        <f t="shared" si="95"/>
        <v>3630</v>
      </c>
    </row>
    <row r="4748" spans="1:12" ht="45.75" thickBot="1" x14ac:dyDescent="0.3">
      <c r="A4748" s="7">
        <v>5</v>
      </c>
      <c r="B4748" s="8" t="s">
        <v>2331</v>
      </c>
      <c r="C4748" s="324">
        <v>432</v>
      </c>
      <c r="D4748" s="9" t="s">
        <v>9</v>
      </c>
      <c r="E4748" s="237">
        <v>105</v>
      </c>
      <c r="F4748" s="237">
        <f t="shared" si="95"/>
        <v>45360</v>
      </c>
    </row>
    <row r="4749" spans="1:12" ht="15.75" thickBot="1" x14ac:dyDescent="0.3">
      <c r="A4749" s="7">
        <v>6</v>
      </c>
      <c r="B4749" s="8" t="s">
        <v>1711</v>
      </c>
      <c r="C4749" s="324">
        <v>5.625</v>
      </c>
      <c r="D4749" s="9" t="s">
        <v>32</v>
      </c>
      <c r="E4749" s="237">
        <v>300</v>
      </c>
      <c r="F4749" s="237">
        <f t="shared" si="95"/>
        <v>1687.5</v>
      </c>
    </row>
    <row r="4750" spans="1:12" ht="15.75" thickBot="1" x14ac:dyDescent="0.3">
      <c r="A4750" s="7">
        <v>7</v>
      </c>
      <c r="B4750" s="8" t="s">
        <v>1761</v>
      </c>
      <c r="C4750" s="324">
        <v>20</v>
      </c>
      <c r="D4750" s="9" t="s">
        <v>9</v>
      </c>
      <c r="E4750" s="237">
        <v>130</v>
      </c>
      <c r="F4750" s="237">
        <f t="shared" si="95"/>
        <v>2600</v>
      </c>
    </row>
    <row r="4751" spans="1:12" ht="15.75" thickBot="1" x14ac:dyDescent="0.3">
      <c r="A4751" s="7">
        <v>8</v>
      </c>
      <c r="B4751" s="8" t="s">
        <v>1762</v>
      </c>
      <c r="C4751" s="324">
        <v>8</v>
      </c>
      <c r="D4751" s="9" t="s">
        <v>1763</v>
      </c>
      <c r="E4751" s="237">
        <v>100</v>
      </c>
      <c r="F4751" s="237">
        <f t="shared" si="95"/>
        <v>800</v>
      </c>
    </row>
    <row r="4752" spans="1:12" ht="15.75" thickBot="1" x14ac:dyDescent="0.3">
      <c r="A4752" s="7">
        <v>9</v>
      </c>
      <c r="B4752" s="8" t="s">
        <v>1712</v>
      </c>
      <c r="C4752" s="324">
        <v>7.48</v>
      </c>
      <c r="D4752" s="9" t="s">
        <v>32</v>
      </c>
      <c r="E4752" s="237">
        <v>300</v>
      </c>
      <c r="F4752" s="237">
        <f t="shared" si="95"/>
        <v>2244</v>
      </c>
    </row>
    <row r="4753" spans="1:6" ht="15.75" thickBot="1" x14ac:dyDescent="0.3">
      <c r="A4753" s="7">
        <v>10</v>
      </c>
      <c r="B4753" s="8" t="s">
        <v>1761</v>
      </c>
      <c r="C4753" s="324">
        <v>88</v>
      </c>
      <c r="D4753" s="9" t="s">
        <v>9</v>
      </c>
      <c r="E4753" s="237">
        <v>130</v>
      </c>
      <c r="F4753" s="237">
        <f t="shared" si="95"/>
        <v>11440</v>
      </c>
    </row>
    <row r="4754" spans="1:6" ht="15.75" thickBot="1" x14ac:dyDescent="0.3">
      <c r="A4754" s="7">
        <v>11</v>
      </c>
      <c r="B4754" s="8" t="s">
        <v>1762</v>
      </c>
      <c r="C4754" s="324">
        <v>24</v>
      </c>
      <c r="D4754" s="9" t="s">
        <v>1763</v>
      </c>
      <c r="E4754" s="237">
        <v>100</v>
      </c>
      <c r="F4754" s="237">
        <f t="shared" si="95"/>
        <v>2400</v>
      </c>
    </row>
    <row r="4755" spans="1:6" ht="30.75" thickBot="1" x14ac:dyDescent="0.3">
      <c r="A4755" s="7">
        <v>12</v>
      </c>
      <c r="B4755" s="8" t="s">
        <v>2332</v>
      </c>
      <c r="C4755" s="324">
        <v>10.71</v>
      </c>
      <c r="D4755" s="9" t="s">
        <v>32</v>
      </c>
      <c r="E4755" s="237">
        <v>300</v>
      </c>
      <c r="F4755" s="237">
        <f t="shared" si="95"/>
        <v>3213.0000000000005</v>
      </c>
    </row>
    <row r="4756" spans="1:6" ht="15.75" thickBot="1" x14ac:dyDescent="0.3">
      <c r="A4756" s="7">
        <v>13</v>
      </c>
      <c r="B4756" s="8" t="s">
        <v>1761</v>
      </c>
      <c r="C4756" s="324">
        <v>110</v>
      </c>
      <c r="D4756" s="9" t="s">
        <v>9</v>
      </c>
      <c r="E4756" s="237">
        <v>130</v>
      </c>
      <c r="F4756" s="237">
        <f t="shared" si="95"/>
        <v>14300</v>
      </c>
    </row>
    <row r="4757" spans="1:6" ht="15.75" thickBot="1" x14ac:dyDescent="0.3">
      <c r="A4757" s="7">
        <v>14</v>
      </c>
      <c r="B4757" s="8" t="s">
        <v>1762</v>
      </c>
      <c r="C4757" s="324">
        <v>24</v>
      </c>
      <c r="D4757" s="9" t="s">
        <v>1763</v>
      </c>
      <c r="E4757" s="237">
        <v>100</v>
      </c>
      <c r="F4757" s="237">
        <f t="shared" si="95"/>
        <v>2400</v>
      </c>
    </row>
    <row r="4758" spans="1:6" ht="30.75" thickBot="1" x14ac:dyDescent="0.3">
      <c r="A4758" s="7">
        <v>15</v>
      </c>
      <c r="B4758" s="8" t="s">
        <v>1714</v>
      </c>
      <c r="C4758" s="324">
        <v>8.5</v>
      </c>
      <c r="D4758" s="9" t="s">
        <v>32</v>
      </c>
      <c r="E4758" s="237">
        <v>300</v>
      </c>
      <c r="F4758" s="237">
        <f t="shared" si="95"/>
        <v>2550</v>
      </c>
    </row>
    <row r="4759" spans="1:6" ht="15.75" thickBot="1" x14ac:dyDescent="0.3">
      <c r="A4759" s="7">
        <v>16</v>
      </c>
      <c r="B4759" s="8" t="s">
        <v>1761</v>
      </c>
      <c r="C4759" s="324">
        <v>12</v>
      </c>
      <c r="D4759" s="9" t="s">
        <v>9</v>
      </c>
      <c r="E4759" s="237">
        <v>130</v>
      </c>
      <c r="F4759" s="237">
        <f t="shared" si="95"/>
        <v>1560</v>
      </c>
    </row>
    <row r="4760" spans="1:6" ht="15.75" thickBot="1" x14ac:dyDescent="0.3">
      <c r="A4760" s="7">
        <v>17</v>
      </c>
      <c r="B4760" s="8" t="s">
        <v>1762</v>
      </c>
      <c r="C4760" s="324">
        <v>21.8</v>
      </c>
      <c r="D4760" s="9" t="s">
        <v>1763</v>
      </c>
      <c r="E4760" s="237">
        <v>100</v>
      </c>
      <c r="F4760" s="237">
        <f t="shared" si="95"/>
        <v>2180</v>
      </c>
    </row>
    <row r="4761" spans="1:6" ht="15.75" thickBot="1" x14ac:dyDescent="0.3">
      <c r="A4761" s="7">
        <v>18</v>
      </c>
      <c r="B4761" s="8" t="s">
        <v>2333</v>
      </c>
      <c r="C4761" s="324">
        <v>78</v>
      </c>
      <c r="D4761" s="9" t="s">
        <v>32</v>
      </c>
      <c r="E4761" s="237">
        <v>300</v>
      </c>
      <c r="F4761" s="237">
        <f t="shared" si="95"/>
        <v>23400</v>
      </c>
    </row>
    <row r="4762" spans="1:6" ht="15.75" thickBot="1" x14ac:dyDescent="0.3">
      <c r="A4762" s="7">
        <v>19</v>
      </c>
      <c r="B4762" s="8" t="s">
        <v>1279</v>
      </c>
      <c r="C4762" s="324">
        <v>234</v>
      </c>
      <c r="D4762" s="9" t="s">
        <v>9</v>
      </c>
      <c r="E4762" s="237">
        <v>80</v>
      </c>
      <c r="F4762" s="237">
        <f t="shared" si="95"/>
        <v>18720</v>
      </c>
    </row>
    <row r="4763" spans="1:6" ht="15.75" thickBot="1" x14ac:dyDescent="0.3">
      <c r="A4763" s="7">
        <v>20</v>
      </c>
      <c r="B4763" s="8" t="s">
        <v>1795</v>
      </c>
      <c r="C4763" s="324">
        <v>234</v>
      </c>
      <c r="D4763" s="9" t="s">
        <v>9</v>
      </c>
      <c r="E4763" s="237">
        <v>30</v>
      </c>
      <c r="F4763" s="237">
        <f t="shared" si="95"/>
        <v>7020</v>
      </c>
    </row>
    <row r="4764" spans="1:6" ht="30.75" thickBot="1" x14ac:dyDescent="0.3">
      <c r="A4764" s="7">
        <v>21</v>
      </c>
      <c r="B4764" s="8" t="s">
        <v>1715</v>
      </c>
      <c r="C4764" s="324">
        <v>468</v>
      </c>
      <c r="D4764" s="9" t="s">
        <v>9</v>
      </c>
      <c r="E4764" s="237">
        <v>95</v>
      </c>
      <c r="F4764" s="237">
        <f t="shared" si="95"/>
        <v>44460</v>
      </c>
    </row>
    <row r="4765" spans="1:6" ht="30.75" thickBot="1" x14ac:dyDescent="0.3">
      <c r="A4765" s="7">
        <v>22</v>
      </c>
      <c r="B4765" s="8" t="s">
        <v>1716</v>
      </c>
      <c r="C4765" s="324">
        <v>476</v>
      </c>
      <c r="D4765" s="9" t="s">
        <v>9</v>
      </c>
      <c r="E4765" s="237">
        <v>75</v>
      </c>
      <c r="F4765" s="237">
        <f t="shared" si="95"/>
        <v>35700</v>
      </c>
    </row>
    <row r="4766" spans="1:6" ht="30.75" thickBot="1" x14ac:dyDescent="0.3">
      <c r="A4766" s="7">
        <v>23</v>
      </c>
      <c r="B4766" s="8" t="s">
        <v>1687</v>
      </c>
      <c r="C4766" s="324">
        <v>468</v>
      </c>
      <c r="D4766" s="9" t="s">
        <v>9</v>
      </c>
      <c r="E4766" s="237">
        <v>35</v>
      </c>
      <c r="F4766" s="237">
        <f t="shared" si="95"/>
        <v>16380</v>
      </c>
    </row>
    <row r="4767" spans="1:6" ht="45.75" thickBot="1" x14ac:dyDescent="0.3">
      <c r="A4767" s="7">
        <v>24</v>
      </c>
      <c r="B4767" s="8" t="s">
        <v>1686</v>
      </c>
      <c r="C4767" s="324">
        <v>476</v>
      </c>
      <c r="D4767" s="9" t="s">
        <v>9</v>
      </c>
      <c r="E4767" s="237">
        <v>35</v>
      </c>
      <c r="F4767" s="237">
        <f t="shared" si="95"/>
        <v>16660</v>
      </c>
    </row>
    <row r="4768" spans="1:6" ht="15.75" thickBot="1" x14ac:dyDescent="0.3">
      <c r="A4768" s="7">
        <v>25</v>
      </c>
      <c r="B4768" s="8" t="s">
        <v>2334</v>
      </c>
      <c r="C4768" s="324">
        <v>408</v>
      </c>
      <c r="D4768" s="9" t="s">
        <v>9</v>
      </c>
      <c r="E4768" s="237">
        <v>40</v>
      </c>
      <c r="F4768" s="237">
        <f t="shared" si="95"/>
        <v>16320</v>
      </c>
    </row>
    <row r="4769" spans="1:6" ht="45.75" thickBot="1" x14ac:dyDescent="0.3">
      <c r="A4769" s="7">
        <v>26</v>
      </c>
      <c r="B4769" s="8" t="s">
        <v>2319</v>
      </c>
      <c r="C4769" s="324">
        <v>378</v>
      </c>
      <c r="D4769" s="9" t="s">
        <v>33</v>
      </c>
      <c r="E4769" s="237">
        <v>38</v>
      </c>
      <c r="F4769" s="237">
        <f t="shared" si="95"/>
        <v>14364</v>
      </c>
    </row>
    <row r="4770" spans="1:6" ht="15.75" thickBot="1" x14ac:dyDescent="0.3">
      <c r="A4770" s="7">
        <v>27</v>
      </c>
      <c r="B4770" s="8" t="s">
        <v>2371</v>
      </c>
      <c r="C4770" s="324">
        <v>288</v>
      </c>
      <c r="D4770" s="9" t="s">
        <v>33</v>
      </c>
      <c r="E4770" s="237">
        <v>20</v>
      </c>
      <c r="F4770" s="237">
        <f t="shared" si="95"/>
        <v>5760</v>
      </c>
    </row>
    <row r="4771" spans="1:6" ht="15.75" thickBot="1" x14ac:dyDescent="0.3">
      <c r="A4771" s="7">
        <v>28</v>
      </c>
      <c r="B4771" s="8" t="s">
        <v>2321</v>
      </c>
      <c r="C4771" s="324">
        <v>80</v>
      </c>
      <c r="D4771" s="9" t="s">
        <v>33</v>
      </c>
      <c r="E4771" s="237">
        <v>16</v>
      </c>
      <c r="F4771" s="237">
        <f t="shared" si="95"/>
        <v>1280</v>
      </c>
    </row>
    <row r="4772" spans="1:6" ht="15.75" thickBot="1" x14ac:dyDescent="0.3">
      <c r="A4772" s="7">
        <v>29</v>
      </c>
      <c r="B4772" s="8" t="s">
        <v>2335</v>
      </c>
      <c r="C4772" s="324">
        <v>408</v>
      </c>
      <c r="D4772" s="9" t="s">
        <v>9</v>
      </c>
      <c r="E4772" s="237">
        <v>190</v>
      </c>
      <c r="F4772" s="237">
        <f t="shared" si="95"/>
        <v>77520</v>
      </c>
    </row>
    <row r="4773" spans="1:6" ht="30.75" thickBot="1" x14ac:dyDescent="0.3">
      <c r="A4773" s="7">
        <v>30</v>
      </c>
      <c r="B4773" s="8" t="s">
        <v>2377</v>
      </c>
      <c r="C4773" s="324">
        <v>60</v>
      </c>
      <c r="D4773" s="9" t="s">
        <v>33</v>
      </c>
      <c r="E4773" s="237">
        <v>400</v>
      </c>
      <c r="F4773" s="237">
        <f t="shared" si="95"/>
        <v>24000</v>
      </c>
    </row>
    <row r="4774" spans="1:6" ht="30.75" thickBot="1" x14ac:dyDescent="0.3">
      <c r="A4774" s="7">
        <v>31</v>
      </c>
      <c r="B4774" s="8" t="s">
        <v>2375</v>
      </c>
      <c r="C4774" s="324">
        <v>60</v>
      </c>
      <c r="D4774" s="9" t="s">
        <v>33</v>
      </c>
      <c r="E4774" s="237">
        <v>45</v>
      </c>
      <c r="F4774" s="237">
        <f t="shared" si="95"/>
        <v>2700</v>
      </c>
    </row>
    <row r="4775" spans="1:6" ht="15.75" thickBot="1" x14ac:dyDescent="0.3">
      <c r="A4775" s="7">
        <v>32</v>
      </c>
      <c r="B4775" s="8" t="s">
        <v>1681</v>
      </c>
      <c r="C4775" s="324">
        <v>234</v>
      </c>
      <c r="D4775" s="9" t="s">
        <v>9</v>
      </c>
      <c r="E4775" s="237">
        <v>30</v>
      </c>
      <c r="F4775" s="237">
        <f t="shared" si="95"/>
        <v>7020</v>
      </c>
    </row>
    <row r="4776" spans="1:6" ht="15.75" thickBot="1" x14ac:dyDescent="0.3">
      <c r="A4776" s="7">
        <v>33</v>
      </c>
      <c r="B4776" s="8" t="s">
        <v>2336</v>
      </c>
      <c r="C4776" s="324">
        <v>18</v>
      </c>
      <c r="D4776" s="9" t="s">
        <v>33</v>
      </c>
      <c r="E4776" s="237">
        <v>130</v>
      </c>
      <c r="F4776" s="237">
        <f t="shared" si="95"/>
        <v>2340</v>
      </c>
    </row>
    <row r="4777" spans="1:6" ht="15.75" thickBot="1" x14ac:dyDescent="0.3">
      <c r="A4777" s="7">
        <v>34</v>
      </c>
      <c r="B4777" s="8" t="s">
        <v>1889</v>
      </c>
      <c r="C4777" s="324">
        <v>104</v>
      </c>
      <c r="D4777" s="9" t="s">
        <v>9</v>
      </c>
      <c r="E4777" s="237">
        <v>105</v>
      </c>
      <c r="F4777" s="237">
        <f t="shared" si="95"/>
        <v>10920</v>
      </c>
    </row>
    <row r="4778" spans="1:6" ht="15.75" thickBot="1" x14ac:dyDescent="0.3">
      <c r="A4778" s="7">
        <v>35</v>
      </c>
      <c r="B4778" s="8" t="s">
        <v>1676</v>
      </c>
      <c r="C4778" s="324">
        <v>47.6</v>
      </c>
      <c r="D4778" s="9" t="s">
        <v>1873</v>
      </c>
      <c r="E4778" s="237">
        <v>300</v>
      </c>
      <c r="F4778" s="237">
        <f t="shared" si="95"/>
        <v>14280</v>
      </c>
    </row>
    <row r="4779" spans="1:6" ht="15.75" thickBot="1" x14ac:dyDescent="0.3">
      <c r="A4779" s="7">
        <v>36</v>
      </c>
      <c r="B4779" s="8" t="s">
        <v>1761</v>
      </c>
      <c r="C4779" s="324">
        <v>54</v>
      </c>
      <c r="D4779" s="9" t="s">
        <v>9</v>
      </c>
      <c r="E4779" s="237">
        <v>130</v>
      </c>
      <c r="F4779" s="237">
        <f t="shared" si="95"/>
        <v>7020</v>
      </c>
    </row>
    <row r="4780" spans="1:6" ht="15.75" thickBot="1" x14ac:dyDescent="0.3">
      <c r="A4780" s="7">
        <v>37</v>
      </c>
      <c r="B4780" s="8" t="s">
        <v>1677</v>
      </c>
      <c r="C4780" s="324">
        <v>247</v>
      </c>
      <c r="D4780" s="9" t="s">
        <v>9</v>
      </c>
      <c r="E4780" s="237">
        <v>90</v>
      </c>
      <c r="F4780" s="237">
        <f t="shared" si="95"/>
        <v>22230</v>
      </c>
    </row>
    <row r="4781" spans="1:6" ht="15.75" thickBot="1" x14ac:dyDescent="0.3">
      <c r="A4781" s="7">
        <v>38</v>
      </c>
      <c r="B4781" s="8" t="s">
        <v>1798</v>
      </c>
      <c r="C4781" s="324">
        <v>53</v>
      </c>
      <c r="D4781" s="9" t="s">
        <v>33</v>
      </c>
      <c r="E4781" s="237">
        <v>280</v>
      </c>
      <c r="F4781" s="237">
        <f t="shared" si="95"/>
        <v>14840</v>
      </c>
    </row>
    <row r="4782" spans="1:6" ht="15.75" thickBot="1" x14ac:dyDescent="0.3">
      <c r="A4782" s="7">
        <v>39</v>
      </c>
      <c r="B4782" s="8" t="s">
        <v>1799</v>
      </c>
      <c r="C4782" s="324">
        <v>53</v>
      </c>
      <c r="D4782" s="9" t="s">
        <v>33</v>
      </c>
      <c r="E4782" s="237">
        <v>205</v>
      </c>
      <c r="F4782" s="237">
        <f t="shared" si="95"/>
        <v>10865</v>
      </c>
    </row>
    <row r="4783" spans="1:6" ht="15.75" thickBot="1" x14ac:dyDescent="0.3">
      <c r="A4783" s="7">
        <v>40</v>
      </c>
      <c r="B4783" s="8" t="s">
        <v>1040</v>
      </c>
      <c r="C4783" s="324">
        <v>1</v>
      </c>
      <c r="D4783" s="9" t="s">
        <v>407</v>
      </c>
      <c r="E4783" s="237">
        <v>14000</v>
      </c>
      <c r="F4783" s="237">
        <f t="shared" si="95"/>
        <v>14000</v>
      </c>
    </row>
    <row r="4784" spans="1:6" ht="45.75" thickBot="1" x14ac:dyDescent="0.3">
      <c r="A4784" s="7">
        <v>41</v>
      </c>
      <c r="B4784" s="8" t="s">
        <v>2372</v>
      </c>
      <c r="C4784" s="324">
        <v>1</v>
      </c>
      <c r="D4784" s="9" t="s">
        <v>772</v>
      </c>
      <c r="E4784" s="237">
        <v>6500</v>
      </c>
      <c r="F4784" s="237">
        <f t="shared" si="95"/>
        <v>6500</v>
      </c>
    </row>
    <row r="4785" spans="1:6" ht="30.75" thickBot="1" x14ac:dyDescent="0.3">
      <c r="A4785" s="7">
        <v>42</v>
      </c>
      <c r="B4785" s="8" t="s">
        <v>1044</v>
      </c>
      <c r="C4785" s="324">
        <v>1</v>
      </c>
      <c r="D4785" s="9" t="s">
        <v>772</v>
      </c>
      <c r="E4785" s="237">
        <v>7000</v>
      </c>
      <c r="F4785" s="237">
        <f t="shared" si="95"/>
        <v>7000</v>
      </c>
    </row>
    <row r="4786" spans="1:6" ht="30.75" thickBot="1" x14ac:dyDescent="0.3">
      <c r="A4786" s="7">
        <v>43</v>
      </c>
      <c r="B4786" s="8" t="s">
        <v>1046</v>
      </c>
      <c r="C4786" s="324">
        <v>1</v>
      </c>
      <c r="D4786" s="9" t="s">
        <v>772</v>
      </c>
      <c r="E4786" s="237">
        <v>8000</v>
      </c>
      <c r="F4786" s="237">
        <f t="shared" si="95"/>
        <v>8000</v>
      </c>
    </row>
    <row r="4787" spans="1:6" ht="30.75" thickBot="1" x14ac:dyDescent="0.3">
      <c r="A4787" s="7">
        <v>44</v>
      </c>
      <c r="B4787" s="8" t="s">
        <v>1706</v>
      </c>
      <c r="C4787" s="324">
        <v>1</v>
      </c>
      <c r="D4787" s="9" t="s">
        <v>407</v>
      </c>
      <c r="E4787" s="237">
        <v>3850</v>
      </c>
      <c r="F4787" s="237">
        <f t="shared" si="95"/>
        <v>3850</v>
      </c>
    </row>
    <row r="4788" spans="1:6" ht="30.75" thickBot="1" x14ac:dyDescent="0.3">
      <c r="A4788" s="7">
        <v>45</v>
      </c>
      <c r="B4788" s="8" t="s">
        <v>1708</v>
      </c>
      <c r="C4788" s="324">
        <v>1</v>
      </c>
      <c r="D4788" s="9" t="s">
        <v>407</v>
      </c>
      <c r="E4788" s="237">
        <v>16000</v>
      </c>
      <c r="F4788" s="237">
        <f t="shared" si="95"/>
        <v>16000</v>
      </c>
    </row>
    <row r="4789" spans="1:6" ht="30.75" thickBot="1" x14ac:dyDescent="0.3">
      <c r="A4789" s="7">
        <v>46</v>
      </c>
      <c r="B4789" s="8" t="s">
        <v>1709</v>
      </c>
      <c r="C4789" s="324">
        <v>1</v>
      </c>
      <c r="D4789" s="9" t="s">
        <v>407</v>
      </c>
      <c r="E4789" s="237">
        <v>10500</v>
      </c>
      <c r="F4789" s="237">
        <f t="shared" si="95"/>
        <v>10500</v>
      </c>
    </row>
    <row r="4790" spans="1:6" ht="15.75" thickBot="1" x14ac:dyDescent="0.3">
      <c r="A4790" s="7"/>
      <c r="B4790" s="8"/>
      <c r="C4790" s="324"/>
      <c r="D4790" s="9"/>
      <c r="E4790" s="237"/>
      <c r="F4790" s="237">
        <f t="shared" si="95"/>
        <v>0</v>
      </c>
    </row>
    <row r="4791" spans="1:6" ht="15.75" thickBot="1" x14ac:dyDescent="0.3">
      <c r="A4791" s="7">
        <v>47</v>
      </c>
      <c r="B4791" s="11" t="s">
        <v>330</v>
      </c>
      <c r="C4791" s="324"/>
      <c r="D4791" s="9"/>
      <c r="E4791" s="237"/>
      <c r="F4791" s="237">
        <f t="shared" si="95"/>
        <v>0</v>
      </c>
    </row>
    <row r="4792" spans="1:6" ht="15.75" thickBot="1" x14ac:dyDescent="0.3">
      <c r="A4792" s="7">
        <v>48</v>
      </c>
      <c r="B4792" s="8" t="s">
        <v>1033</v>
      </c>
      <c r="C4792" s="324">
        <v>80</v>
      </c>
      <c r="D4792" s="9" t="s">
        <v>9</v>
      </c>
      <c r="E4792" s="237">
        <v>105</v>
      </c>
      <c r="F4792" s="237">
        <f t="shared" si="95"/>
        <v>8400</v>
      </c>
    </row>
    <row r="4793" spans="1:6" ht="15.75" thickBot="1" x14ac:dyDescent="0.3">
      <c r="A4793" s="7">
        <v>49</v>
      </c>
      <c r="B4793" s="8" t="s">
        <v>998</v>
      </c>
      <c r="C4793" s="324">
        <v>334</v>
      </c>
      <c r="D4793" s="9" t="s">
        <v>9</v>
      </c>
      <c r="E4793" s="237">
        <v>95</v>
      </c>
      <c r="F4793" s="237">
        <f t="shared" si="95"/>
        <v>31730</v>
      </c>
    </row>
    <row r="4794" spans="1:6" ht="15.75" thickBot="1" x14ac:dyDescent="0.3">
      <c r="A4794" s="7">
        <v>50</v>
      </c>
      <c r="B4794" s="8" t="s">
        <v>1036</v>
      </c>
      <c r="C4794" s="324">
        <v>284</v>
      </c>
      <c r="D4794" s="9" t="s">
        <v>9</v>
      </c>
      <c r="E4794" s="237">
        <v>195</v>
      </c>
      <c r="F4794" s="237">
        <f t="shared" si="95"/>
        <v>55380</v>
      </c>
    </row>
    <row r="4795" spans="1:6" ht="15.75" thickBot="1" x14ac:dyDescent="0.3">
      <c r="A4795" s="7">
        <v>51</v>
      </c>
      <c r="B4795" s="8" t="s">
        <v>1034</v>
      </c>
      <c r="C4795" s="324">
        <v>14.3</v>
      </c>
      <c r="D4795" s="9" t="s">
        <v>32</v>
      </c>
      <c r="E4795" s="237">
        <v>300</v>
      </c>
      <c r="F4795" s="237">
        <f t="shared" si="95"/>
        <v>4290</v>
      </c>
    </row>
    <row r="4796" spans="1:6" ht="15.75" thickBot="1" x14ac:dyDescent="0.3">
      <c r="A4796" s="7">
        <v>52</v>
      </c>
      <c r="B4796" s="8" t="s">
        <v>1035</v>
      </c>
      <c r="C4796" s="324">
        <v>42.5</v>
      </c>
      <c r="D4796" s="9" t="s">
        <v>9</v>
      </c>
      <c r="E4796" s="237">
        <v>75</v>
      </c>
      <c r="F4796" s="237">
        <f t="shared" si="95"/>
        <v>3187.5</v>
      </c>
    </row>
    <row r="4797" spans="1:6" ht="30.75" thickBot="1" x14ac:dyDescent="0.3">
      <c r="A4797" s="7">
        <v>53</v>
      </c>
      <c r="B4797" s="8" t="s">
        <v>2376</v>
      </c>
      <c r="C4797" s="324">
        <v>42.5</v>
      </c>
      <c r="D4797" s="9" t="s">
        <v>9</v>
      </c>
      <c r="E4797" s="237">
        <v>160</v>
      </c>
      <c r="F4797" s="237">
        <f t="shared" si="95"/>
        <v>6800</v>
      </c>
    </row>
    <row r="4798" spans="1:6" ht="15.75" thickBot="1" x14ac:dyDescent="0.3">
      <c r="A4798" s="7">
        <v>54</v>
      </c>
      <c r="B4798" s="8" t="s">
        <v>2325</v>
      </c>
      <c r="C4798" s="324">
        <v>1</v>
      </c>
      <c r="D4798" s="9" t="s">
        <v>11</v>
      </c>
      <c r="E4798" s="237">
        <v>1500</v>
      </c>
      <c r="F4798" s="237">
        <f t="shared" si="95"/>
        <v>1500</v>
      </c>
    </row>
    <row r="4799" spans="1:6" ht="30.75" thickBot="1" x14ac:dyDescent="0.3">
      <c r="A4799" s="7">
        <v>55</v>
      </c>
      <c r="B4799" s="8" t="s">
        <v>1823</v>
      </c>
      <c r="C4799" s="324">
        <v>1</v>
      </c>
      <c r="D4799" s="9" t="s">
        <v>11</v>
      </c>
      <c r="E4799" s="237">
        <v>400</v>
      </c>
      <c r="F4799" s="237">
        <f t="shared" si="95"/>
        <v>400</v>
      </c>
    </row>
    <row r="4800" spans="1:6" ht="15.75" thickBot="1" x14ac:dyDescent="0.3">
      <c r="A4800" s="7">
        <v>56</v>
      </c>
      <c r="B4800" s="8" t="s">
        <v>2326</v>
      </c>
      <c r="C4800" s="324">
        <v>1</v>
      </c>
      <c r="D4800" s="9" t="s">
        <v>11</v>
      </c>
      <c r="E4800" s="237">
        <v>1500</v>
      </c>
      <c r="F4800" s="237">
        <f t="shared" si="95"/>
        <v>1500</v>
      </c>
    </row>
    <row r="4801" spans="1:6" ht="15.75" thickBot="1" x14ac:dyDescent="0.3">
      <c r="A4801" s="7">
        <v>57</v>
      </c>
      <c r="B4801" s="8" t="s">
        <v>2308</v>
      </c>
      <c r="C4801" s="324">
        <v>1</v>
      </c>
      <c r="D4801" s="9" t="s">
        <v>11</v>
      </c>
      <c r="E4801" s="237">
        <v>250</v>
      </c>
      <c r="F4801" s="237">
        <f t="shared" si="95"/>
        <v>250</v>
      </c>
    </row>
    <row r="4802" spans="1:6" ht="30.75" thickBot="1" x14ac:dyDescent="0.3">
      <c r="A4802" s="7">
        <v>58</v>
      </c>
      <c r="B4802" s="8" t="s">
        <v>1038</v>
      </c>
      <c r="C4802" s="324">
        <v>1</v>
      </c>
      <c r="D4802" s="9" t="s">
        <v>407</v>
      </c>
      <c r="E4802" s="237">
        <v>26500</v>
      </c>
      <c r="F4802" s="237">
        <f t="shared" si="95"/>
        <v>26500</v>
      </c>
    </row>
    <row r="4803" spans="1:6" ht="30.75" thickBot="1" x14ac:dyDescent="0.3">
      <c r="A4803" s="7">
        <v>59</v>
      </c>
      <c r="B4803" s="8" t="s">
        <v>1031</v>
      </c>
      <c r="C4803" s="324">
        <v>1</v>
      </c>
      <c r="D4803" s="9" t="s">
        <v>407</v>
      </c>
      <c r="E4803" s="237">
        <v>3500</v>
      </c>
      <c r="F4803" s="237">
        <f t="shared" si="95"/>
        <v>3500</v>
      </c>
    </row>
    <row r="4804" spans="1:6" ht="60.75" thickBot="1" x14ac:dyDescent="0.3">
      <c r="A4804" s="7">
        <v>60</v>
      </c>
      <c r="B4804" s="8" t="s">
        <v>2327</v>
      </c>
      <c r="C4804" s="324">
        <v>1</v>
      </c>
      <c r="D4804" s="9" t="s">
        <v>407</v>
      </c>
      <c r="E4804" s="237">
        <v>8500</v>
      </c>
      <c r="F4804" s="237">
        <f t="shared" si="95"/>
        <v>8500</v>
      </c>
    </row>
    <row r="4805" spans="1:6" ht="15.75" thickBot="1" x14ac:dyDescent="0.3">
      <c r="A4805" s="7"/>
      <c r="B4805" s="8"/>
      <c r="C4805" s="324"/>
      <c r="D4805" s="9"/>
      <c r="E4805" s="237"/>
      <c r="F4805" s="237"/>
    </row>
    <row r="4806" spans="1:6" ht="15.75" thickBot="1" x14ac:dyDescent="0.3">
      <c r="A4806" s="7"/>
      <c r="B4806" s="11" t="s">
        <v>10</v>
      </c>
      <c r="C4806" s="325"/>
      <c r="D4806" s="12"/>
      <c r="E4806" s="238"/>
      <c r="F4806" s="238">
        <f>SUM(F4744:F4804)</f>
        <v>764391</v>
      </c>
    </row>
    <row r="4807" spans="1:6" ht="15.75" thickBot="1" x14ac:dyDescent="0.3">
      <c r="F4807" s="16">
        <f>E4807*C4807</f>
        <v>0</v>
      </c>
    </row>
    <row r="4808" spans="1:6" ht="15.75" thickBot="1" x14ac:dyDescent="0.3">
      <c r="A4808" s="5" t="s">
        <v>0</v>
      </c>
      <c r="B4808" s="6" t="s">
        <v>1</v>
      </c>
      <c r="C4808" s="332" t="s">
        <v>2</v>
      </c>
      <c r="D4808" s="6" t="s">
        <v>3</v>
      </c>
      <c r="E4808" s="264" t="s">
        <v>4</v>
      </c>
      <c r="F4808" s="264" t="s">
        <v>5</v>
      </c>
    </row>
    <row r="4809" spans="1:6" ht="15.75" thickBot="1" x14ac:dyDescent="0.3">
      <c r="A4809" s="7">
        <v>1</v>
      </c>
      <c r="B4809" s="8" t="s">
        <v>1874</v>
      </c>
      <c r="C4809" s="324">
        <v>60</v>
      </c>
      <c r="D4809" s="9" t="s">
        <v>9</v>
      </c>
      <c r="E4809" s="237">
        <v>32</v>
      </c>
      <c r="F4809" s="237">
        <f>C4809*E4809</f>
        <v>1920</v>
      </c>
    </row>
    <row r="4810" spans="1:6" ht="15.75" thickBot="1" x14ac:dyDescent="0.3">
      <c r="A4810" s="7">
        <v>2</v>
      </c>
      <c r="B4810" s="8" t="s">
        <v>1785</v>
      </c>
      <c r="C4810" s="324">
        <v>48</v>
      </c>
      <c r="D4810" s="9" t="s">
        <v>33</v>
      </c>
      <c r="E4810" s="237">
        <v>12.5</v>
      </c>
      <c r="F4810" s="237">
        <f t="shared" ref="F4810:F4860" si="96">C4810*E4810</f>
        <v>600</v>
      </c>
    </row>
    <row r="4811" spans="1:6" ht="15.75" thickBot="1" x14ac:dyDescent="0.3">
      <c r="A4811" s="7">
        <v>3</v>
      </c>
      <c r="B4811" s="8" t="s">
        <v>1786</v>
      </c>
      <c r="C4811" s="324">
        <v>79.2</v>
      </c>
      <c r="D4811" s="9" t="s">
        <v>33</v>
      </c>
      <c r="E4811" s="237">
        <v>12.5</v>
      </c>
      <c r="F4811" s="237">
        <f t="shared" si="96"/>
        <v>990</v>
      </c>
    </row>
    <row r="4812" spans="1:6" ht="15.75" thickBot="1" x14ac:dyDescent="0.3">
      <c r="A4812" s="7">
        <v>4</v>
      </c>
      <c r="B4812" s="8" t="s">
        <v>1872</v>
      </c>
      <c r="C4812" s="324">
        <v>626</v>
      </c>
      <c r="D4812" s="9" t="s">
        <v>32</v>
      </c>
      <c r="E4812" s="237">
        <v>30</v>
      </c>
      <c r="F4812" s="237">
        <f t="shared" si="96"/>
        <v>18780</v>
      </c>
    </row>
    <row r="4813" spans="1:6" ht="30.75" thickBot="1" x14ac:dyDescent="0.3">
      <c r="A4813" s="7">
        <v>5</v>
      </c>
      <c r="B4813" s="8" t="s">
        <v>1011</v>
      </c>
      <c r="C4813" s="324">
        <v>626</v>
      </c>
      <c r="D4813" s="9" t="s">
        <v>32</v>
      </c>
      <c r="E4813" s="237">
        <v>55</v>
      </c>
      <c r="F4813" s="237">
        <f t="shared" si="96"/>
        <v>34430</v>
      </c>
    </row>
    <row r="4814" spans="1:6" ht="30.75" thickBot="1" x14ac:dyDescent="0.3">
      <c r="A4814" s="7">
        <v>6</v>
      </c>
      <c r="B4814" s="8" t="s">
        <v>1010</v>
      </c>
      <c r="C4814" s="324">
        <v>156</v>
      </c>
      <c r="D4814" s="9" t="s">
        <v>32</v>
      </c>
      <c r="E4814" s="237">
        <v>300</v>
      </c>
      <c r="F4814" s="237">
        <f t="shared" si="96"/>
        <v>46800</v>
      </c>
    </row>
    <row r="4815" spans="1:6" ht="30.75" thickBot="1" x14ac:dyDescent="0.3">
      <c r="A4815" s="7">
        <v>7</v>
      </c>
      <c r="B4815" s="8" t="s">
        <v>1876</v>
      </c>
      <c r="C4815" s="324">
        <v>626</v>
      </c>
      <c r="D4815" s="9" t="s">
        <v>9</v>
      </c>
      <c r="E4815" s="237">
        <v>80</v>
      </c>
      <c r="F4815" s="237">
        <f t="shared" si="96"/>
        <v>50080</v>
      </c>
    </row>
    <row r="4816" spans="1:6" ht="15.75" thickBot="1" x14ac:dyDescent="0.3">
      <c r="A4816" s="7">
        <v>8</v>
      </c>
      <c r="B4816" s="8" t="s">
        <v>1795</v>
      </c>
      <c r="C4816" s="324">
        <v>626</v>
      </c>
      <c r="D4816" s="9" t="s">
        <v>9</v>
      </c>
      <c r="E4816" s="237">
        <v>30</v>
      </c>
      <c r="F4816" s="237">
        <f t="shared" si="96"/>
        <v>18780</v>
      </c>
    </row>
    <row r="4817" spans="1:6" ht="15.75" thickBot="1" x14ac:dyDescent="0.3">
      <c r="A4817" s="7">
        <v>9</v>
      </c>
      <c r="B4817" s="8" t="s">
        <v>1886</v>
      </c>
      <c r="C4817" s="324">
        <v>2.25</v>
      </c>
      <c r="D4817" s="9" t="s">
        <v>32</v>
      </c>
      <c r="E4817" s="237">
        <v>300</v>
      </c>
      <c r="F4817" s="237">
        <f t="shared" si="96"/>
        <v>675</v>
      </c>
    </row>
    <row r="4818" spans="1:6" ht="15.75" thickBot="1" x14ac:dyDescent="0.3">
      <c r="A4818" s="7">
        <v>10</v>
      </c>
      <c r="B4818" s="8" t="s">
        <v>1790</v>
      </c>
      <c r="C4818" s="324">
        <v>4</v>
      </c>
      <c r="D4818" s="9" t="s">
        <v>62</v>
      </c>
      <c r="E4818" s="237">
        <v>100</v>
      </c>
      <c r="F4818" s="237">
        <f t="shared" si="96"/>
        <v>400</v>
      </c>
    </row>
    <row r="4819" spans="1:6" ht="15.75" thickBot="1" x14ac:dyDescent="0.3">
      <c r="A4819" s="7">
        <v>11</v>
      </c>
      <c r="B4819" s="8" t="s">
        <v>1761</v>
      </c>
      <c r="C4819" s="324">
        <v>22</v>
      </c>
      <c r="D4819" s="9" t="s">
        <v>9</v>
      </c>
      <c r="E4819" s="237">
        <v>130</v>
      </c>
      <c r="F4819" s="237">
        <f t="shared" si="96"/>
        <v>2860</v>
      </c>
    </row>
    <row r="4820" spans="1:6" ht="30.75" thickBot="1" x14ac:dyDescent="0.3">
      <c r="A4820" s="7">
        <v>12</v>
      </c>
      <c r="B4820" s="8" t="s">
        <v>1009</v>
      </c>
      <c r="C4820" s="324">
        <v>96</v>
      </c>
      <c r="D4820" s="9" t="s">
        <v>9</v>
      </c>
      <c r="E4820" s="237">
        <v>145</v>
      </c>
      <c r="F4820" s="237">
        <f t="shared" si="96"/>
        <v>13920</v>
      </c>
    </row>
    <row r="4821" spans="1:6" ht="30.75" thickBot="1" x14ac:dyDescent="0.3">
      <c r="A4821" s="7">
        <v>13</v>
      </c>
      <c r="B4821" s="8" t="s">
        <v>1877</v>
      </c>
      <c r="C4821" s="324">
        <v>2286.08</v>
      </c>
      <c r="D4821" s="9" t="s">
        <v>9</v>
      </c>
      <c r="E4821" s="237">
        <v>95</v>
      </c>
      <c r="F4821" s="237">
        <f t="shared" si="96"/>
        <v>217177.60000000001</v>
      </c>
    </row>
    <row r="4822" spans="1:6" ht="15.75" thickBot="1" x14ac:dyDescent="0.3">
      <c r="A4822" s="7">
        <v>14</v>
      </c>
      <c r="B4822" s="8" t="s">
        <v>1878</v>
      </c>
      <c r="C4822" s="324">
        <v>2286.08</v>
      </c>
      <c r="D4822" s="9" t="s">
        <v>9</v>
      </c>
      <c r="E4822" s="237">
        <v>35</v>
      </c>
      <c r="F4822" s="237">
        <f t="shared" si="96"/>
        <v>80012.800000000003</v>
      </c>
    </row>
    <row r="4823" spans="1:6" ht="15.75" thickBot="1" x14ac:dyDescent="0.3">
      <c r="A4823" s="7">
        <v>15</v>
      </c>
      <c r="B4823" s="8" t="s">
        <v>1798</v>
      </c>
      <c r="C4823" s="324">
        <v>108</v>
      </c>
      <c r="D4823" s="9" t="s">
        <v>33</v>
      </c>
      <c r="E4823" s="237">
        <v>280</v>
      </c>
      <c r="F4823" s="237">
        <f t="shared" si="96"/>
        <v>30240</v>
      </c>
    </row>
    <row r="4824" spans="1:6" ht="15.75" thickBot="1" x14ac:dyDescent="0.3">
      <c r="A4824" s="7">
        <v>16</v>
      </c>
      <c r="B4824" s="8" t="s">
        <v>1799</v>
      </c>
      <c r="C4824" s="324">
        <v>143</v>
      </c>
      <c r="D4824" s="9" t="s">
        <v>33</v>
      </c>
      <c r="E4824" s="237">
        <v>205</v>
      </c>
      <c r="F4824" s="237">
        <f t="shared" si="96"/>
        <v>29315</v>
      </c>
    </row>
    <row r="4825" spans="1:6" ht="15.75" thickBot="1" x14ac:dyDescent="0.3">
      <c r="A4825" s="7">
        <v>17</v>
      </c>
      <c r="B4825" s="8" t="s">
        <v>1800</v>
      </c>
      <c r="C4825" s="324">
        <v>64</v>
      </c>
      <c r="D4825" s="9" t="s">
        <v>9</v>
      </c>
      <c r="E4825" s="237">
        <v>75</v>
      </c>
      <c r="F4825" s="237">
        <f t="shared" si="96"/>
        <v>4800</v>
      </c>
    </row>
    <row r="4826" spans="1:6" ht="15.75" thickBot="1" x14ac:dyDescent="0.3">
      <c r="A4826" s="7">
        <v>18</v>
      </c>
      <c r="B4826" s="8" t="s">
        <v>1801</v>
      </c>
      <c r="C4826" s="324">
        <v>812</v>
      </c>
      <c r="D4826" s="9" t="s">
        <v>9</v>
      </c>
      <c r="E4826" s="237">
        <v>35</v>
      </c>
      <c r="F4826" s="237">
        <f t="shared" si="96"/>
        <v>28420</v>
      </c>
    </row>
    <row r="4827" spans="1:6" ht="15.75" thickBot="1" x14ac:dyDescent="0.3">
      <c r="A4827" s="7">
        <v>19</v>
      </c>
      <c r="B4827" s="8" t="s">
        <v>1006</v>
      </c>
      <c r="C4827" s="324">
        <v>56</v>
      </c>
      <c r="D4827" s="9" t="s">
        <v>9</v>
      </c>
      <c r="E4827" s="237">
        <v>120</v>
      </c>
      <c r="F4827" s="237">
        <f t="shared" si="96"/>
        <v>6720</v>
      </c>
    </row>
    <row r="4828" spans="1:6" ht="15.75" thickBot="1" x14ac:dyDescent="0.3">
      <c r="A4828" s="7">
        <v>20</v>
      </c>
      <c r="B4828" s="8" t="s">
        <v>1005</v>
      </c>
      <c r="C4828" s="324">
        <v>169</v>
      </c>
      <c r="D4828" s="9" t="s">
        <v>9</v>
      </c>
      <c r="E4828" s="237">
        <v>130</v>
      </c>
      <c r="F4828" s="237">
        <f t="shared" si="96"/>
        <v>21970</v>
      </c>
    </row>
    <row r="4829" spans="1:6" ht="15.75" thickBot="1" x14ac:dyDescent="0.3">
      <c r="A4829" s="7">
        <v>21</v>
      </c>
      <c r="B4829" s="8" t="s">
        <v>1025</v>
      </c>
      <c r="C4829" s="324">
        <v>52</v>
      </c>
      <c r="D4829" s="9" t="s">
        <v>9</v>
      </c>
      <c r="E4829" s="237">
        <v>130</v>
      </c>
      <c r="F4829" s="237">
        <f t="shared" si="96"/>
        <v>6760</v>
      </c>
    </row>
    <row r="4830" spans="1:6" ht="15.75" thickBot="1" x14ac:dyDescent="0.3">
      <c r="A4830" s="7">
        <v>22</v>
      </c>
      <c r="B4830" s="8" t="s">
        <v>2379</v>
      </c>
      <c r="C4830" s="324">
        <v>1090</v>
      </c>
      <c r="D4830" s="9" t="s">
        <v>9</v>
      </c>
      <c r="E4830" s="237">
        <v>190</v>
      </c>
      <c r="F4830" s="237">
        <f t="shared" si="96"/>
        <v>207100</v>
      </c>
    </row>
    <row r="4831" spans="1:6" ht="30.75" thickBot="1" x14ac:dyDescent="0.3">
      <c r="A4831" s="7">
        <v>23</v>
      </c>
      <c r="B4831" s="8" t="s">
        <v>2378</v>
      </c>
      <c r="C4831" s="324">
        <v>1090</v>
      </c>
      <c r="D4831" s="9" t="s">
        <v>9</v>
      </c>
      <c r="E4831" s="237">
        <v>28</v>
      </c>
      <c r="F4831" s="237">
        <f t="shared" si="96"/>
        <v>30520</v>
      </c>
    </row>
    <row r="4832" spans="1:6" ht="30.75" thickBot="1" x14ac:dyDescent="0.3">
      <c r="A4832" s="7">
        <v>24</v>
      </c>
      <c r="B4832" s="8" t="s">
        <v>2380</v>
      </c>
      <c r="C4832" s="324">
        <v>44</v>
      </c>
      <c r="D4832" s="9" t="s">
        <v>9</v>
      </c>
      <c r="E4832" s="237">
        <v>40</v>
      </c>
      <c r="F4832" s="237">
        <f t="shared" si="96"/>
        <v>1760</v>
      </c>
    </row>
    <row r="4833" spans="1:6" ht="30.75" thickBot="1" x14ac:dyDescent="0.3">
      <c r="A4833" s="7">
        <v>25</v>
      </c>
      <c r="B4833" s="8" t="s">
        <v>2381</v>
      </c>
      <c r="C4833" s="324">
        <v>107</v>
      </c>
      <c r="D4833" s="9" t="s">
        <v>33</v>
      </c>
      <c r="E4833" s="237">
        <v>400</v>
      </c>
      <c r="F4833" s="237">
        <f t="shared" si="96"/>
        <v>42800</v>
      </c>
    </row>
    <row r="4834" spans="1:6" ht="30.75" thickBot="1" x14ac:dyDescent="0.3">
      <c r="A4834" s="7">
        <v>26</v>
      </c>
      <c r="B4834" s="8" t="s">
        <v>1807</v>
      </c>
      <c r="C4834" s="324">
        <v>177</v>
      </c>
      <c r="D4834" s="9" t="s">
        <v>9</v>
      </c>
      <c r="E4834" s="237">
        <v>45</v>
      </c>
      <c r="F4834" s="237">
        <f t="shared" si="96"/>
        <v>7965</v>
      </c>
    </row>
    <row r="4835" spans="1:6" ht="15.75" thickBot="1" x14ac:dyDescent="0.3">
      <c r="A4835" s="7">
        <v>27</v>
      </c>
      <c r="B4835" s="8" t="s">
        <v>1808</v>
      </c>
      <c r="C4835" s="324">
        <v>80</v>
      </c>
      <c r="D4835" s="9" t="s">
        <v>33</v>
      </c>
      <c r="E4835" s="237">
        <v>140</v>
      </c>
      <c r="F4835" s="237">
        <f t="shared" si="96"/>
        <v>11200</v>
      </c>
    </row>
    <row r="4836" spans="1:6" ht="15.75" thickBot="1" x14ac:dyDescent="0.3">
      <c r="A4836" s="7">
        <v>28</v>
      </c>
      <c r="B4836" s="8" t="s">
        <v>1809</v>
      </c>
      <c r="C4836" s="324">
        <v>12</v>
      </c>
      <c r="D4836" s="9" t="s">
        <v>33</v>
      </c>
      <c r="E4836" s="237">
        <v>130</v>
      </c>
      <c r="F4836" s="237">
        <f t="shared" si="96"/>
        <v>1560</v>
      </c>
    </row>
    <row r="4837" spans="1:6" ht="15.75" thickBot="1" x14ac:dyDescent="0.3">
      <c r="A4837" s="7">
        <v>29</v>
      </c>
      <c r="B4837" s="8" t="s">
        <v>1810</v>
      </c>
      <c r="C4837" s="324">
        <v>40</v>
      </c>
      <c r="D4837" s="9" t="s">
        <v>33</v>
      </c>
      <c r="E4837" s="237">
        <v>130</v>
      </c>
      <c r="F4837" s="237">
        <f t="shared" si="96"/>
        <v>5200</v>
      </c>
    </row>
    <row r="4838" spans="1:6" ht="15.75" thickBot="1" x14ac:dyDescent="0.3">
      <c r="A4838" s="7">
        <v>30</v>
      </c>
      <c r="B4838" s="8" t="s">
        <v>1881</v>
      </c>
      <c r="C4838" s="324">
        <v>1044</v>
      </c>
      <c r="D4838" s="9" t="s">
        <v>9</v>
      </c>
      <c r="E4838" s="237">
        <v>24</v>
      </c>
      <c r="F4838" s="237">
        <f t="shared" si="96"/>
        <v>25056</v>
      </c>
    </row>
    <row r="4839" spans="1:6" ht="15.75" thickBot="1" x14ac:dyDescent="0.3">
      <c r="A4839" s="7">
        <v>31</v>
      </c>
      <c r="B4839" s="8" t="s">
        <v>1816</v>
      </c>
      <c r="C4839" s="324">
        <v>8</v>
      </c>
      <c r="D4839" s="9" t="s">
        <v>32</v>
      </c>
      <c r="E4839" s="237">
        <v>300</v>
      </c>
      <c r="F4839" s="237">
        <f t="shared" si="96"/>
        <v>2400</v>
      </c>
    </row>
    <row r="4840" spans="1:6" ht="15.75" thickBot="1" x14ac:dyDescent="0.3">
      <c r="A4840" s="7">
        <v>32</v>
      </c>
      <c r="B4840" s="8" t="s">
        <v>63</v>
      </c>
      <c r="C4840" s="324">
        <v>24</v>
      </c>
      <c r="D4840" s="9" t="s">
        <v>9</v>
      </c>
      <c r="E4840" s="237">
        <v>130</v>
      </c>
      <c r="F4840" s="237">
        <f t="shared" si="96"/>
        <v>3120</v>
      </c>
    </row>
    <row r="4841" spans="1:6" ht="15.75" thickBot="1" x14ac:dyDescent="0.3">
      <c r="A4841" s="7">
        <v>33</v>
      </c>
      <c r="B4841" s="8" t="s">
        <v>1790</v>
      </c>
      <c r="C4841" s="324">
        <v>21</v>
      </c>
      <c r="D4841" s="9" t="s">
        <v>62</v>
      </c>
      <c r="E4841" s="237">
        <v>100</v>
      </c>
      <c r="F4841" s="237">
        <f t="shared" si="96"/>
        <v>2100</v>
      </c>
    </row>
    <row r="4842" spans="1:6" ht="15.75" thickBot="1" x14ac:dyDescent="0.3">
      <c r="A4842" s="7">
        <v>34</v>
      </c>
      <c r="B4842" s="8" t="s">
        <v>1817</v>
      </c>
      <c r="C4842" s="324">
        <v>48</v>
      </c>
      <c r="D4842" s="9" t="s">
        <v>9</v>
      </c>
      <c r="E4842" s="237">
        <v>130</v>
      </c>
      <c r="F4842" s="237">
        <f t="shared" si="96"/>
        <v>6240</v>
      </c>
    </row>
    <row r="4843" spans="1:6" ht="15.75" thickBot="1" x14ac:dyDescent="0.3">
      <c r="A4843" s="7">
        <v>35</v>
      </c>
      <c r="B4843" s="8" t="s">
        <v>1819</v>
      </c>
      <c r="C4843" s="324">
        <v>168</v>
      </c>
      <c r="D4843" s="9" t="s">
        <v>9</v>
      </c>
      <c r="E4843" s="237">
        <v>130</v>
      </c>
      <c r="F4843" s="237">
        <f t="shared" si="96"/>
        <v>21840</v>
      </c>
    </row>
    <row r="4844" spans="1:6" ht="15.75" thickBot="1" x14ac:dyDescent="0.3">
      <c r="A4844" s="7">
        <v>36</v>
      </c>
      <c r="B4844" s="8" t="s">
        <v>526</v>
      </c>
      <c r="C4844" s="324">
        <v>54</v>
      </c>
      <c r="D4844" s="9" t="s">
        <v>9</v>
      </c>
      <c r="E4844" s="237">
        <v>120</v>
      </c>
      <c r="F4844" s="237">
        <f t="shared" si="96"/>
        <v>6480</v>
      </c>
    </row>
    <row r="4845" spans="1:6" ht="45.75" thickBot="1" x14ac:dyDescent="0.3">
      <c r="A4845" s="7">
        <v>37</v>
      </c>
      <c r="B4845" s="8" t="s">
        <v>1820</v>
      </c>
      <c r="C4845" s="324">
        <v>42</v>
      </c>
      <c r="D4845" s="9" t="s">
        <v>33</v>
      </c>
      <c r="E4845" s="237">
        <v>120</v>
      </c>
      <c r="F4845" s="237">
        <f t="shared" si="96"/>
        <v>5040</v>
      </c>
    </row>
    <row r="4846" spans="1:6" ht="15.75" thickBot="1" x14ac:dyDescent="0.3">
      <c r="A4846" s="7">
        <v>38</v>
      </c>
      <c r="B4846" s="8" t="s">
        <v>1882</v>
      </c>
      <c r="C4846" s="324">
        <v>32</v>
      </c>
      <c r="D4846" s="9" t="s">
        <v>33</v>
      </c>
      <c r="E4846" s="237">
        <v>120</v>
      </c>
      <c r="F4846" s="237">
        <f t="shared" si="96"/>
        <v>3840</v>
      </c>
    </row>
    <row r="4847" spans="1:6" ht="15.75" thickBot="1" x14ac:dyDescent="0.3">
      <c r="A4847" s="7">
        <v>39</v>
      </c>
      <c r="B4847" s="8" t="s">
        <v>1821</v>
      </c>
      <c r="C4847" s="324">
        <v>32</v>
      </c>
      <c r="D4847" s="9" t="s">
        <v>33</v>
      </c>
      <c r="E4847" s="237">
        <v>160</v>
      </c>
      <c r="F4847" s="237">
        <f t="shared" si="96"/>
        <v>5120</v>
      </c>
    </row>
    <row r="4848" spans="1:6" ht="30.75" thickBot="1" x14ac:dyDescent="0.3">
      <c r="A4848" s="7">
        <v>40</v>
      </c>
      <c r="B4848" s="8" t="s">
        <v>1884</v>
      </c>
      <c r="C4848" s="324">
        <v>1</v>
      </c>
      <c r="D4848" s="9" t="s">
        <v>180</v>
      </c>
      <c r="E4848" s="237">
        <v>1000</v>
      </c>
      <c r="F4848" s="237">
        <f t="shared" si="96"/>
        <v>1000</v>
      </c>
    </row>
    <row r="4849" spans="1:6" ht="15.75" thickBot="1" x14ac:dyDescent="0.3">
      <c r="A4849" s="7">
        <v>41</v>
      </c>
      <c r="B4849" s="8" t="s">
        <v>1822</v>
      </c>
      <c r="C4849" s="324">
        <v>1</v>
      </c>
      <c r="D4849" s="9" t="s">
        <v>180</v>
      </c>
      <c r="E4849" s="237">
        <v>250</v>
      </c>
      <c r="F4849" s="237">
        <f t="shared" si="96"/>
        <v>250</v>
      </c>
    </row>
    <row r="4850" spans="1:6" ht="30.75" thickBot="1" x14ac:dyDescent="0.3">
      <c r="A4850" s="7">
        <v>42</v>
      </c>
      <c r="B4850" s="8" t="s">
        <v>1823</v>
      </c>
      <c r="C4850" s="324">
        <v>1</v>
      </c>
      <c r="D4850" s="9" t="s">
        <v>180</v>
      </c>
      <c r="E4850" s="237">
        <v>400</v>
      </c>
      <c r="F4850" s="237">
        <f t="shared" si="96"/>
        <v>400</v>
      </c>
    </row>
    <row r="4851" spans="1:6" ht="15.75" thickBot="1" x14ac:dyDescent="0.3">
      <c r="A4851" s="7">
        <v>43</v>
      </c>
      <c r="B4851" s="8" t="s">
        <v>1824</v>
      </c>
      <c r="C4851" s="324">
        <v>1</v>
      </c>
      <c r="D4851" s="9" t="s">
        <v>180</v>
      </c>
      <c r="E4851" s="237">
        <v>1500</v>
      </c>
      <c r="F4851" s="237">
        <f t="shared" si="96"/>
        <v>1500</v>
      </c>
    </row>
    <row r="4852" spans="1:6" ht="15.75" thickBot="1" x14ac:dyDescent="0.3">
      <c r="A4852" s="7">
        <v>44</v>
      </c>
      <c r="B4852" s="8" t="s">
        <v>1825</v>
      </c>
      <c r="C4852" s="324">
        <v>1</v>
      </c>
      <c r="D4852" s="9" t="s">
        <v>180</v>
      </c>
      <c r="E4852" s="237">
        <v>1500</v>
      </c>
      <c r="F4852" s="237">
        <f t="shared" si="96"/>
        <v>1500</v>
      </c>
    </row>
    <row r="4853" spans="1:6" ht="15.75" thickBot="1" x14ac:dyDescent="0.3">
      <c r="A4853" s="7">
        <v>45</v>
      </c>
      <c r="B4853" s="8" t="s">
        <v>1861</v>
      </c>
      <c r="C4853" s="324">
        <v>80</v>
      </c>
      <c r="D4853" s="9" t="s">
        <v>9</v>
      </c>
      <c r="E4853" s="237">
        <v>60</v>
      </c>
      <c r="F4853" s="237">
        <f t="shared" si="96"/>
        <v>4800</v>
      </c>
    </row>
    <row r="4854" spans="1:6" ht="15.75" thickBot="1" x14ac:dyDescent="0.3">
      <c r="A4854" s="7">
        <v>46</v>
      </c>
      <c r="B4854" s="8" t="s">
        <v>1862</v>
      </c>
      <c r="C4854" s="324">
        <v>64</v>
      </c>
      <c r="D4854" s="9" t="s">
        <v>9</v>
      </c>
      <c r="E4854" s="237">
        <v>60</v>
      </c>
      <c r="F4854" s="237">
        <f t="shared" si="96"/>
        <v>3840</v>
      </c>
    </row>
    <row r="4855" spans="1:6" ht="15.75" thickBot="1" x14ac:dyDescent="0.3">
      <c r="A4855" s="7">
        <v>47</v>
      </c>
      <c r="B4855" s="8" t="s">
        <v>2383</v>
      </c>
      <c r="C4855" s="324">
        <v>320</v>
      </c>
      <c r="D4855" s="9" t="s">
        <v>9</v>
      </c>
      <c r="E4855" s="237">
        <v>28</v>
      </c>
      <c r="F4855" s="237">
        <f t="shared" si="96"/>
        <v>8960</v>
      </c>
    </row>
    <row r="4856" spans="1:6" ht="30.75" thickBot="1" x14ac:dyDescent="0.3">
      <c r="A4856" s="7">
        <v>48</v>
      </c>
      <c r="B4856" s="8" t="s">
        <v>2382</v>
      </c>
      <c r="C4856" s="324">
        <v>320</v>
      </c>
      <c r="D4856" s="9" t="s">
        <v>9</v>
      </c>
      <c r="E4856" s="237">
        <v>35</v>
      </c>
      <c r="F4856" s="237">
        <f t="shared" si="96"/>
        <v>11200</v>
      </c>
    </row>
    <row r="4857" spans="1:6" ht="30.75" thickBot="1" x14ac:dyDescent="0.3">
      <c r="A4857" s="7">
        <v>49</v>
      </c>
      <c r="B4857" s="8" t="s">
        <v>2384</v>
      </c>
      <c r="C4857" s="324">
        <v>1</v>
      </c>
      <c r="D4857" s="9" t="s">
        <v>407</v>
      </c>
      <c r="E4857" s="237">
        <v>6500</v>
      </c>
      <c r="F4857" s="237">
        <f t="shared" si="96"/>
        <v>6500</v>
      </c>
    </row>
    <row r="4858" spans="1:6" ht="45.75" thickBot="1" x14ac:dyDescent="0.3">
      <c r="A4858" s="7">
        <v>50</v>
      </c>
      <c r="B4858" s="8" t="s">
        <v>1879</v>
      </c>
      <c r="C4858" s="324">
        <v>1</v>
      </c>
      <c r="D4858" s="9" t="s">
        <v>772</v>
      </c>
      <c r="E4858" s="237">
        <v>28500</v>
      </c>
      <c r="F4858" s="237">
        <f t="shared" si="96"/>
        <v>28500</v>
      </c>
    </row>
    <row r="4859" spans="1:6" ht="30.75" thickBot="1" x14ac:dyDescent="0.3">
      <c r="A4859" s="7">
        <v>51</v>
      </c>
      <c r="B4859" s="8" t="s">
        <v>2329</v>
      </c>
      <c r="C4859" s="324">
        <v>1</v>
      </c>
      <c r="D4859" s="9" t="s">
        <v>407</v>
      </c>
      <c r="E4859" s="237">
        <v>18000</v>
      </c>
      <c r="F4859" s="237">
        <f t="shared" si="96"/>
        <v>18000</v>
      </c>
    </row>
    <row r="4860" spans="1:6" ht="15.75" thickBot="1" x14ac:dyDescent="0.3">
      <c r="A4860" s="7">
        <v>52</v>
      </c>
      <c r="B4860" s="8" t="s">
        <v>1863</v>
      </c>
      <c r="C4860" s="324">
        <v>1</v>
      </c>
      <c r="D4860" s="9" t="s">
        <v>407</v>
      </c>
      <c r="E4860" s="237">
        <v>25380</v>
      </c>
      <c r="F4860" s="237">
        <f t="shared" si="96"/>
        <v>25380</v>
      </c>
    </row>
    <row r="4861" spans="1:6" ht="15.75" thickBot="1" x14ac:dyDescent="0.3">
      <c r="A4861" s="7"/>
      <c r="B4861" s="8"/>
      <c r="C4861" s="324"/>
      <c r="D4861" s="9"/>
      <c r="E4861" s="237"/>
      <c r="F4861" s="237"/>
    </row>
    <row r="4862" spans="1:6" ht="15.75" thickBot="1" x14ac:dyDescent="0.3">
      <c r="A4862" s="7"/>
      <c r="B4862" s="11" t="s">
        <v>10</v>
      </c>
      <c r="C4862" s="325"/>
      <c r="D4862" s="12"/>
      <c r="E4862" s="238"/>
      <c r="F4862" s="238">
        <f>SUM(F4809:F4860)</f>
        <v>1116821.3999999999</v>
      </c>
    </row>
    <row r="4863" spans="1:6" ht="15.75" thickBot="1" x14ac:dyDescent="0.3">
      <c r="A4863" s="7"/>
      <c r="B4863" s="8"/>
      <c r="C4863" s="324"/>
      <c r="D4863" s="9"/>
      <c r="E4863" s="237"/>
      <c r="F4863" s="237"/>
    </row>
    <row r="4864" spans="1:6" ht="15.75" thickBot="1" x14ac:dyDescent="0.3">
      <c r="F4864" s="16">
        <f>E4864*C4864</f>
        <v>0</v>
      </c>
    </row>
    <row r="4865" spans="1:6" ht="15.75" thickBot="1" x14ac:dyDescent="0.3">
      <c r="A4865" s="5" t="s">
        <v>0</v>
      </c>
      <c r="B4865" s="6" t="s">
        <v>1</v>
      </c>
      <c r="C4865" s="332" t="s">
        <v>2</v>
      </c>
      <c r="D4865" s="6" t="s">
        <v>3</v>
      </c>
      <c r="E4865" s="264" t="s">
        <v>4</v>
      </c>
      <c r="F4865" s="264" t="s">
        <v>5</v>
      </c>
    </row>
    <row r="4866" spans="1:6" ht="15.75" thickBot="1" x14ac:dyDescent="0.3">
      <c r="A4866" s="7">
        <v>1</v>
      </c>
      <c r="B4866" s="8" t="s">
        <v>2385</v>
      </c>
      <c r="C4866" s="324">
        <v>644.16</v>
      </c>
      <c r="D4866" s="9" t="s">
        <v>9</v>
      </c>
      <c r="E4866" s="237">
        <v>30</v>
      </c>
      <c r="F4866" s="237">
        <f>E4866*C4866</f>
        <v>19324.8</v>
      </c>
    </row>
    <row r="4867" spans="1:6" ht="15.75" thickBot="1" x14ac:dyDescent="0.3">
      <c r="A4867" s="7">
        <v>2</v>
      </c>
      <c r="B4867" s="8" t="s">
        <v>1783</v>
      </c>
      <c r="C4867" s="324">
        <v>551.20000000000005</v>
      </c>
      <c r="D4867" s="9" t="s">
        <v>9</v>
      </c>
      <c r="E4867" s="237">
        <v>32</v>
      </c>
      <c r="F4867" s="237">
        <f t="shared" ref="F4867:F4925" si="97">E4867*C4867</f>
        <v>17638.400000000001</v>
      </c>
    </row>
    <row r="4868" spans="1:6" ht="15.75" thickBot="1" x14ac:dyDescent="0.3">
      <c r="A4868" s="7">
        <v>3</v>
      </c>
      <c r="B4868" s="8" t="s">
        <v>1865</v>
      </c>
      <c r="C4868" s="324">
        <v>1152</v>
      </c>
      <c r="D4868" s="9" t="s">
        <v>9</v>
      </c>
      <c r="E4868" s="237">
        <v>29</v>
      </c>
      <c r="F4868" s="237">
        <f t="shared" si="97"/>
        <v>33408</v>
      </c>
    </row>
    <row r="4869" spans="1:6" ht="15.75" thickBot="1" x14ac:dyDescent="0.3">
      <c r="A4869" s="7">
        <v>4</v>
      </c>
      <c r="B4869" s="8" t="s">
        <v>1802</v>
      </c>
      <c r="C4869" s="324">
        <v>650</v>
      </c>
      <c r="D4869" s="9" t="s">
        <v>9</v>
      </c>
      <c r="E4869" s="237">
        <v>20</v>
      </c>
      <c r="F4869" s="237">
        <f t="shared" si="97"/>
        <v>13000</v>
      </c>
    </row>
    <row r="4870" spans="1:6" ht="15.75" thickBot="1" x14ac:dyDescent="0.3">
      <c r="A4870" s="7">
        <v>5</v>
      </c>
      <c r="B4870" s="8" t="s">
        <v>1785</v>
      </c>
      <c r="C4870" s="324">
        <v>48</v>
      </c>
      <c r="D4870" s="9" t="s">
        <v>33</v>
      </c>
      <c r="E4870" s="237">
        <v>12.5</v>
      </c>
      <c r="F4870" s="237">
        <f t="shared" si="97"/>
        <v>600</v>
      </c>
    </row>
    <row r="4871" spans="1:6" ht="15.75" thickBot="1" x14ac:dyDescent="0.3">
      <c r="A4871" s="7">
        <v>6</v>
      </c>
      <c r="B4871" s="8" t="s">
        <v>1786</v>
      </c>
      <c r="C4871" s="324">
        <v>79.2</v>
      </c>
      <c r="D4871" s="9" t="s">
        <v>33</v>
      </c>
      <c r="E4871" s="237">
        <v>12.5</v>
      </c>
      <c r="F4871" s="237">
        <f t="shared" si="97"/>
        <v>990</v>
      </c>
    </row>
    <row r="4872" spans="1:6" ht="15.75" thickBot="1" x14ac:dyDescent="0.3">
      <c r="A4872" s="7">
        <v>7</v>
      </c>
      <c r="B4872" s="8" t="s">
        <v>2386</v>
      </c>
      <c r="C4872" s="324">
        <v>28</v>
      </c>
      <c r="D4872" s="9" t="s">
        <v>32</v>
      </c>
      <c r="E4872" s="237">
        <v>60</v>
      </c>
      <c r="F4872" s="237">
        <f t="shared" si="97"/>
        <v>1680</v>
      </c>
    </row>
    <row r="4873" spans="1:6" ht="30.75" thickBot="1" x14ac:dyDescent="0.3">
      <c r="A4873" s="7">
        <v>8</v>
      </c>
      <c r="B4873" s="8" t="s">
        <v>2316</v>
      </c>
      <c r="C4873" s="324">
        <v>32</v>
      </c>
      <c r="D4873" s="9" t="s">
        <v>32</v>
      </c>
      <c r="E4873" s="237">
        <v>60</v>
      </c>
      <c r="F4873" s="237">
        <f t="shared" si="97"/>
        <v>1920</v>
      </c>
    </row>
    <row r="4874" spans="1:6" ht="15.75" thickBot="1" x14ac:dyDescent="0.3">
      <c r="A4874" s="7">
        <v>9</v>
      </c>
      <c r="B4874" s="8" t="s">
        <v>1730</v>
      </c>
      <c r="C4874" s="324">
        <v>1298</v>
      </c>
      <c r="D4874" s="9" t="s">
        <v>32</v>
      </c>
      <c r="E4874" s="237">
        <v>55</v>
      </c>
      <c r="F4874" s="237">
        <f t="shared" si="97"/>
        <v>71390</v>
      </c>
    </row>
    <row r="4875" spans="1:6" ht="15.75" thickBot="1" x14ac:dyDescent="0.3">
      <c r="A4875" s="7">
        <v>10</v>
      </c>
      <c r="B4875" s="8" t="s">
        <v>1789</v>
      </c>
      <c r="C4875" s="324">
        <v>21.33</v>
      </c>
      <c r="D4875" s="9" t="s">
        <v>9</v>
      </c>
      <c r="E4875" s="237">
        <v>300</v>
      </c>
      <c r="F4875" s="237">
        <f t="shared" si="97"/>
        <v>6398.9999999999991</v>
      </c>
    </row>
    <row r="4876" spans="1:6" ht="15.75" thickBot="1" x14ac:dyDescent="0.3">
      <c r="A4876" s="7">
        <v>11</v>
      </c>
      <c r="B4876" s="8" t="s">
        <v>63</v>
      </c>
      <c r="C4876" s="324">
        <v>164</v>
      </c>
      <c r="D4876" s="9" t="s">
        <v>9</v>
      </c>
      <c r="E4876" s="237">
        <v>130</v>
      </c>
      <c r="F4876" s="237">
        <f t="shared" si="97"/>
        <v>21320</v>
      </c>
    </row>
    <row r="4877" spans="1:6" ht="15.75" thickBot="1" x14ac:dyDescent="0.3">
      <c r="A4877" s="7">
        <v>12</v>
      </c>
      <c r="B4877" s="8" t="s">
        <v>1790</v>
      </c>
      <c r="C4877" s="324">
        <v>22</v>
      </c>
      <c r="D4877" s="9" t="s">
        <v>62</v>
      </c>
      <c r="E4877" s="237">
        <v>100</v>
      </c>
      <c r="F4877" s="237">
        <f t="shared" si="97"/>
        <v>2200</v>
      </c>
    </row>
    <row r="4878" spans="1:6" ht="30.75" thickBot="1" x14ac:dyDescent="0.3">
      <c r="A4878" s="7">
        <v>13</v>
      </c>
      <c r="B4878" s="8" t="s">
        <v>2389</v>
      </c>
      <c r="C4878" s="324">
        <v>42</v>
      </c>
      <c r="D4878" s="9" t="s">
        <v>32</v>
      </c>
      <c r="E4878" s="237">
        <v>120</v>
      </c>
      <c r="F4878" s="237">
        <f t="shared" si="97"/>
        <v>5040</v>
      </c>
    </row>
    <row r="4879" spans="1:6" ht="15.75" thickBot="1" x14ac:dyDescent="0.3">
      <c r="A4879" s="7">
        <v>14</v>
      </c>
      <c r="B4879" s="8" t="s">
        <v>1793</v>
      </c>
      <c r="C4879" s="324">
        <v>161.04</v>
      </c>
      <c r="D4879" s="9" t="s">
        <v>32</v>
      </c>
      <c r="E4879" s="237">
        <v>300</v>
      </c>
      <c r="F4879" s="237">
        <f t="shared" si="97"/>
        <v>48312</v>
      </c>
    </row>
    <row r="4880" spans="1:6" ht="15.75" thickBot="1" x14ac:dyDescent="0.3">
      <c r="A4880" s="7">
        <v>15</v>
      </c>
      <c r="B4880" s="8" t="s">
        <v>1794</v>
      </c>
      <c r="C4880" s="324">
        <v>598.16</v>
      </c>
      <c r="D4880" s="9" t="s">
        <v>9</v>
      </c>
      <c r="E4880" s="237">
        <v>80</v>
      </c>
      <c r="F4880" s="237">
        <f t="shared" si="97"/>
        <v>47852.799999999996</v>
      </c>
    </row>
    <row r="4881" spans="1:6" ht="15.75" thickBot="1" x14ac:dyDescent="0.3">
      <c r="A4881" s="7">
        <v>16</v>
      </c>
      <c r="B4881" s="8" t="s">
        <v>1795</v>
      </c>
      <c r="C4881" s="324">
        <v>598.16</v>
      </c>
      <c r="D4881" s="9" t="s">
        <v>9</v>
      </c>
      <c r="E4881" s="237">
        <v>30</v>
      </c>
      <c r="F4881" s="237">
        <f t="shared" si="97"/>
        <v>17944.8</v>
      </c>
    </row>
    <row r="4882" spans="1:6" ht="15.75" thickBot="1" x14ac:dyDescent="0.3">
      <c r="A4882" s="7">
        <v>17</v>
      </c>
      <c r="B4882" s="8" t="s">
        <v>1796</v>
      </c>
      <c r="C4882" s="324">
        <v>716.9</v>
      </c>
      <c r="D4882" s="9" t="s">
        <v>9</v>
      </c>
      <c r="E4882" s="237">
        <v>105</v>
      </c>
      <c r="F4882" s="237">
        <f t="shared" si="97"/>
        <v>75274.5</v>
      </c>
    </row>
    <row r="4883" spans="1:6" ht="30.75" thickBot="1" x14ac:dyDescent="0.3">
      <c r="A4883" s="7">
        <v>18</v>
      </c>
      <c r="B4883" s="8" t="s">
        <v>1797</v>
      </c>
      <c r="C4883" s="324">
        <v>2725.4</v>
      </c>
      <c r="D4883" s="9" t="s">
        <v>9</v>
      </c>
      <c r="E4883" s="237">
        <v>95</v>
      </c>
      <c r="F4883" s="237">
        <f t="shared" si="97"/>
        <v>258913</v>
      </c>
    </row>
    <row r="4884" spans="1:6" ht="15.75" thickBot="1" x14ac:dyDescent="0.3">
      <c r="A4884" s="7">
        <v>19</v>
      </c>
      <c r="B4884" s="8" t="s">
        <v>2300</v>
      </c>
      <c r="C4884" s="324">
        <v>2725.4</v>
      </c>
      <c r="D4884" s="9" t="s">
        <v>9</v>
      </c>
      <c r="E4884" s="237">
        <v>35</v>
      </c>
      <c r="F4884" s="237">
        <f t="shared" si="97"/>
        <v>95389</v>
      </c>
    </row>
    <row r="4885" spans="1:6" ht="15.75" thickBot="1" x14ac:dyDescent="0.3">
      <c r="A4885" s="7">
        <v>20</v>
      </c>
      <c r="B4885" s="8" t="s">
        <v>1798</v>
      </c>
      <c r="C4885" s="324">
        <v>126</v>
      </c>
      <c r="D4885" s="9" t="s">
        <v>33</v>
      </c>
      <c r="E4885" s="237">
        <v>280</v>
      </c>
      <c r="F4885" s="237">
        <f t="shared" si="97"/>
        <v>35280</v>
      </c>
    </row>
    <row r="4886" spans="1:6" ht="15.75" thickBot="1" x14ac:dyDescent="0.3">
      <c r="A4886" s="7">
        <v>21</v>
      </c>
      <c r="B4886" s="8" t="s">
        <v>1799</v>
      </c>
      <c r="C4886" s="324">
        <v>76</v>
      </c>
      <c r="D4886" s="9" t="s">
        <v>33</v>
      </c>
      <c r="E4886" s="237">
        <v>205</v>
      </c>
      <c r="F4886" s="237">
        <f t="shared" si="97"/>
        <v>15580</v>
      </c>
    </row>
    <row r="4887" spans="1:6" ht="15.75" thickBot="1" x14ac:dyDescent="0.3">
      <c r="A4887" s="7">
        <v>22</v>
      </c>
      <c r="B4887" s="8" t="s">
        <v>1800</v>
      </c>
      <c r="C4887" s="324">
        <v>626.96</v>
      </c>
      <c r="D4887" s="9" t="s">
        <v>9</v>
      </c>
      <c r="E4887" s="237">
        <v>75</v>
      </c>
      <c r="F4887" s="237">
        <f t="shared" si="97"/>
        <v>47022</v>
      </c>
    </row>
    <row r="4888" spans="1:6" ht="15.75" thickBot="1" x14ac:dyDescent="0.3">
      <c r="A4888" s="7">
        <v>23</v>
      </c>
      <c r="B4888" s="8" t="s">
        <v>1801</v>
      </c>
      <c r="C4888" s="324">
        <v>626.96</v>
      </c>
      <c r="D4888" s="9" t="s">
        <v>9</v>
      </c>
      <c r="E4888" s="237">
        <v>35</v>
      </c>
      <c r="F4888" s="237">
        <f t="shared" si="97"/>
        <v>21943.600000000002</v>
      </c>
    </row>
    <row r="4889" spans="1:6" ht="15.75" thickBot="1" x14ac:dyDescent="0.3">
      <c r="A4889" s="7">
        <v>24</v>
      </c>
      <c r="B4889" s="8" t="s">
        <v>2387</v>
      </c>
      <c r="C4889" s="324">
        <v>1042</v>
      </c>
      <c r="D4889" s="9" t="s">
        <v>9</v>
      </c>
      <c r="E4889" s="237">
        <v>190</v>
      </c>
      <c r="F4889" s="237">
        <f t="shared" si="97"/>
        <v>197980</v>
      </c>
    </row>
    <row r="4890" spans="1:6" ht="15.75" thickBot="1" x14ac:dyDescent="0.3">
      <c r="A4890" s="7">
        <v>25</v>
      </c>
      <c r="B4890" s="8" t="s">
        <v>2391</v>
      </c>
      <c r="C4890" s="324">
        <v>1042</v>
      </c>
      <c r="D4890" s="9" t="s">
        <v>9</v>
      </c>
      <c r="E4890" s="237">
        <v>28</v>
      </c>
      <c r="F4890" s="237">
        <f t="shared" si="97"/>
        <v>29176</v>
      </c>
    </row>
    <row r="4891" spans="1:6" ht="15.75" thickBot="1" x14ac:dyDescent="0.3">
      <c r="A4891" s="7">
        <v>26</v>
      </c>
      <c r="B4891" s="8" t="s">
        <v>1805</v>
      </c>
      <c r="C4891" s="324">
        <v>44</v>
      </c>
      <c r="D4891" s="9" t="s">
        <v>9</v>
      </c>
      <c r="E4891" s="237">
        <v>40</v>
      </c>
      <c r="F4891" s="237">
        <f t="shared" si="97"/>
        <v>1760</v>
      </c>
    </row>
    <row r="4892" spans="1:6" ht="30.75" thickBot="1" x14ac:dyDescent="0.3">
      <c r="A4892" s="7">
        <v>27</v>
      </c>
      <c r="B4892" s="8" t="s">
        <v>2390</v>
      </c>
      <c r="C4892" s="324">
        <v>102</v>
      </c>
      <c r="D4892" s="9" t="s">
        <v>33</v>
      </c>
      <c r="E4892" s="237">
        <v>400</v>
      </c>
      <c r="F4892" s="237">
        <f t="shared" si="97"/>
        <v>40800</v>
      </c>
    </row>
    <row r="4893" spans="1:6" ht="30.75" thickBot="1" x14ac:dyDescent="0.3">
      <c r="A4893" s="7">
        <v>28</v>
      </c>
      <c r="B4893" s="8" t="s">
        <v>1807</v>
      </c>
      <c r="C4893" s="324">
        <v>169</v>
      </c>
      <c r="D4893" s="9" t="s">
        <v>9</v>
      </c>
      <c r="E4893" s="237">
        <v>45</v>
      </c>
      <c r="F4893" s="237">
        <f t="shared" si="97"/>
        <v>7605</v>
      </c>
    </row>
    <row r="4894" spans="1:6" ht="15.75" thickBot="1" x14ac:dyDescent="0.3">
      <c r="A4894" s="7">
        <v>29</v>
      </c>
      <c r="B4894" s="8" t="s">
        <v>1808</v>
      </c>
      <c r="C4894" s="324">
        <v>80</v>
      </c>
      <c r="D4894" s="9" t="s">
        <v>33</v>
      </c>
      <c r="E4894" s="237">
        <v>140</v>
      </c>
      <c r="F4894" s="237">
        <f t="shared" si="97"/>
        <v>11200</v>
      </c>
    </row>
    <row r="4895" spans="1:6" ht="15.75" thickBot="1" x14ac:dyDescent="0.3">
      <c r="A4895" s="7">
        <v>30</v>
      </c>
      <c r="B4895" s="8" t="s">
        <v>1809</v>
      </c>
      <c r="C4895" s="324">
        <v>28</v>
      </c>
      <c r="D4895" s="9" t="s">
        <v>33</v>
      </c>
      <c r="E4895" s="237">
        <v>130</v>
      </c>
      <c r="F4895" s="237">
        <f t="shared" si="97"/>
        <v>3640</v>
      </c>
    </row>
    <row r="4896" spans="1:6" ht="15.75" thickBot="1" x14ac:dyDescent="0.3">
      <c r="A4896" s="7">
        <v>31</v>
      </c>
      <c r="B4896" s="8" t="s">
        <v>1810</v>
      </c>
      <c r="C4896" s="324">
        <v>40</v>
      </c>
      <c r="D4896" s="9" t="s">
        <v>33</v>
      </c>
      <c r="E4896" s="237">
        <v>130</v>
      </c>
      <c r="F4896" s="237">
        <f t="shared" si="97"/>
        <v>5200</v>
      </c>
    </row>
    <row r="4897" spans="1:6" ht="15.75" thickBot="1" x14ac:dyDescent="0.3">
      <c r="A4897" s="7">
        <v>32</v>
      </c>
      <c r="B4897" s="8" t="s">
        <v>1811</v>
      </c>
      <c r="C4897" s="324">
        <v>1042</v>
      </c>
      <c r="D4897" s="9" t="s">
        <v>9</v>
      </c>
      <c r="E4897" s="237">
        <v>24</v>
      </c>
      <c r="F4897" s="237">
        <f t="shared" si="97"/>
        <v>25008</v>
      </c>
    </row>
    <row r="4898" spans="1:6" ht="15.75" thickBot="1" x14ac:dyDescent="0.3">
      <c r="A4898" s="7">
        <v>33</v>
      </c>
      <c r="B4898" s="8" t="s">
        <v>1812</v>
      </c>
      <c r="C4898" s="324">
        <v>78.75</v>
      </c>
      <c r="D4898" s="9" t="s">
        <v>32</v>
      </c>
      <c r="E4898" s="237">
        <v>300</v>
      </c>
      <c r="F4898" s="237">
        <f t="shared" si="97"/>
        <v>23625</v>
      </c>
    </row>
    <row r="4899" spans="1:6" ht="15.75" thickBot="1" x14ac:dyDescent="0.3">
      <c r="A4899" s="7">
        <v>34</v>
      </c>
      <c r="B4899" s="8" t="s">
        <v>2302</v>
      </c>
      <c r="C4899" s="324">
        <v>118</v>
      </c>
      <c r="D4899" s="9" t="s">
        <v>9</v>
      </c>
      <c r="E4899" s="237">
        <v>130</v>
      </c>
      <c r="F4899" s="237">
        <f t="shared" si="97"/>
        <v>15340</v>
      </c>
    </row>
    <row r="4900" spans="1:6" ht="15.75" thickBot="1" x14ac:dyDescent="0.3">
      <c r="A4900" s="7">
        <v>35</v>
      </c>
      <c r="B4900" s="8" t="s">
        <v>2301</v>
      </c>
      <c r="C4900" s="324">
        <v>426.72</v>
      </c>
      <c r="D4900" s="9" t="s">
        <v>9</v>
      </c>
      <c r="E4900" s="237">
        <v>80</v>
      </c>
      <c r="F4900" s="237">
        <f t="shared" si="97"/>
        <v>34137.600000000006</v>
      </c>
    </row>
    <row r="4901" spans="1:6" ht="15.75" thickBot="1" x14ac:dyDescent="0.3">
      <c r="A4901" s="7">
        <v>36</v>
      </c>
      <c r="B4901" s="8" t="s">
        <v>1795</v>
      </c>
      <c r="C4901" s="324">
        <v>426.72</v>
      </c>
      <c r="D4901" s="9" t="s">
        <v>9</v>
      </c>
      <c r="E4901" s="237">
        <v>30</v>
      </c>
      <c r="F4901" s="237">
        <f t="shared" si="97"/>
        <v>12801.6</v>
      </c>
    </row>
    <row r="4902" spans="1:6" ht="15.75" thickBot="1" x14ac:dyDescent="0.3">
      <c r="A4902" s="7">
        <v>37</v>
      </c>
      <c r="B4902" s="8" t="s">
        <v>1815</v>
      </c>
      <c r="C4902" s="324">
        <v>11.2</v>
      </c>
      <c r="D4902" s="9" t="s">
        <v>32</v>
      </c>
      <c r="E4902" s="237">
        <v>290</v>
      </c>
      <c r="F4902" s="237">
        <f t="shared" si="97"/>
        <v>3248</v>
      </c>
    </row>
    <row r="4903" spans="1:6" ht="15.75" thickBot="1" x14ac:dyDescent="0.3">
      <c r="A4903" s="7">
        <v>38</v>
      </c>
      <c r="B4903" s="8" t="s">
        <v>63</v>
      </c>
      <c r="C4903" s="324">
        <v>98</v>
      </c>
      <c r="D4903" s="9" t="s">
        <v>9</v>
      </c>
      <c r="E4903" s="237">
        <v>130</v>
      </c>
      <c r="F4903" s="237">
        <f t="shared" si="97"/>
        <v>12740</v>
      </c>
    </row>
    <row r="4904" spans="1:6" ht="15.75" thickBot="1" x14ac:dyDescent="0.3">
      <c r="A4904" s="7">
        <v>39</v>
      </c>
      <c r="B4904" s="8" t="s">
        <v>1790</v>
      </c>
      <c r="C4904" s="324">
        <v>16</v>
      </c>
      <c r="D4904" s="9" t="s">
        <v>62</v>
      </c>
      <c r="E4904" s="237">
        <v>100</v>
      </c>
      <c r="F4904" s="237">
        <f t="shared" si="97"/>
        <v>1600</v>
      </c>
    </row>
    <row r="4905" spans="1:6" ht="15.75" thickBot="1" x14ac:dyDescent="0.3">
      <c r="A4905" s="7">
        <v>40</v>
      </c>
      <c r="B4905" s="8" t="s">
        <v>2303</v>
      </c>
      <c r="C4905" s="324">
        <v>8</v>
      </c>
      <c r="D4905" s="9" t="s">
        <v>32</v>
      </c>
      <c r="E4905" s="237">
        <v>300</v>
      </c>
      <c r="F4905" s="237">
        <f t="shared" si="97"/>
        <v>2400</v>
      </c>
    </row>
    <row r="4906" spans="1:6" ht="15.75" thickBot="1" x14ac:dyDescent="0.3">
      <c r="A4906" s="7">
        <v>41</v>
      </c>
      <c r="B4906" s="8" t="s">
        <v>63</v>
      </c>
      <c r="C4906" s="324">
        <v>24</v>
      </c>
      <c r="D4906" s="9" t="s">
        <v>9</v>
      </c>
      <c r="E4906" s="237">
        <v>130</v>
      </c>
      <c r="F4906" s="237">
        <f t="shared" si="97"/>
        <v>3120</v>
      </c>
    </row>
    <row r="4907" spans="1:6" ht="15.75" thickBot="1" x14ac:dyDescent="0.3">
      <c r="A4907" s="7">
        <v>42</v>
      </c>
      <c r="B4907" s="8" t="s">
        <v>1790</v>
      </c>
      <c r="C4907" s="324">
        <v>21</v>
      </c>
      <c r="D4907" s="9" t="s">
        <v>62</v>
      </c>
      <c r="E4907" s="237">
        <v>100</v>
      </c>
      <c r="F4907" s="237">
        <f t="shared" si="97"/>
        <v>2100</v>
      </c>
    </row>
    <row r="4908" spans="1:6" ht="15.75" thickBot="1" x14ac:dyDescent="0.3">
      <c r="A4908" s="7">
        <v>43</v>
      </c>
      <c r="B4908" s="8" t="s">
        <v>2304</v>
      </c>
      <c r="C4908" s="324">
        <v>48</v>
      </c>
      <c r="D4908" s="9" t="s">
        <v>9</v>
      </c>
      <c r="E4908" s="237">
        <v>130</v>
      </c>
      <c r="F4908" s="237">
        <f t="shared" si="97"/>
        <v>6240</v>
      </c>
    </row>
    <row r="4909" spans="1:6" ht="15.75" thickBot="1" x14ac:dyDescent="0.3">
      <c r="A4909" s="7">
        <v>44</v>
      </c>
      <c r="B4909" s="8" t="s">
        <v>2305</v>
      </c>
      <c r="C4909" s="324">
        <v>168</v>
      </c>
      <c r="D4909" s="9" t="s">
        <v>9</v>
      </c>
      <c r="E4909" s="237">
        <v>130</v>
      </c>
      <c r="F4909" s="237">
        <f t="shared" si="97"/>
        <v>21840</v>
      </c>
    </row>
    <row r="4910" spans="1:6" ht="15.75" thickBot="1" x14ac:dyDescent="0.3">
      <c r="A4910" s="7">
        <v>45</v>
      </c>
      <c r="B4910" s="8" t="s">
        <v>1860</v>
      </c>
      <c r="C4910" s="324">
        <v>46.5</v>
      </c>
      <c r="D4910" s="9" t="s">
        <v>9</v>
      </c>
      <c r="E4910" s="237">
        <v>120</v>
      </c>
      <c r="F4910" s="237">
        <f t="shared" si="97"/>
        <v>5580</v>
      </c>
    </row>
    <row r="4911" spans="1:6" ht="45.75" thickBot="1" x14ac:dyDescent="0.3">
      <c r="A4911" s="7">
        <v>46</v>
      </c>
      <c r="B4911" s="8" t="s">
        <v>2306</v>
      </c>
      <c r="C4911" s="324">
        <v>42</v>
      </c>
      <c r="D4911" s="9" t="s">
        <v>33</v>
      </c>
      <c r="E4911" s="237">
        <v>120</v>
      </c>
      <c r="F4911" s="237">
        <f t="shared" si="97"/>
        <v>5040</v>
      </c>
    </row>
    <row r="4912" spans="1:6" ht="15.75" thickBot="1" x14ac:dyDescent="0.3">
      <c r="A4912" s="7">
        <v>47</v>
      </c>
      <c r="B4912" s="8" t="s">
        <v>1821</v>
      </c>
      <c r="C4912" s="324">
        <v>18</v>
      </c>
      <c r="D4912" s="9" t="s">
        <v>33</v>
      </c>
      <c r="E4912" s="237">
        <v>160</v>
      </c>
      <c r="F4912" s="237">
        <f t="shared" si="97"/>
        <v>2880</v>
      </c>
    </row>
    <row r="4913" spans="1:6" ht="30.75" thickBot="1" x14ac:dyDescent="0.3">
      <c r="A4913" s="7">
        <v>48</v>
      </c>
      <c r="B4913" s="8" t="s">
        <v>2307</v>
      </c>
      <c r="C4913" s="324">
        <v>1</v>
      </c>
      <c r="D4913" s="9" t="s">
        <v>180</v>
      </c>
      <c r="E4913" s="237">
        <v>1000</v>
      </c>
      <c r="F4913" s="237">
        <f t="shared" si="97"/>
        <v>1000</v>
      </c>
    </row>
    <row r="4914" spans="1:6" ht="15.75" thickBot="1" x14ac:dyDescent="0.3">
      <c r="A4914" s="7">
        <v>49</v>
      </c>
      <c r="B4914" s="8" t="s">
        <v>2308</v>
      </c>
      <c r="C4914" s="324">
        <v>1</v>
      </c>
      <c r="D4914" s="9" t="s">
        <v>180</v>
      </c>
      <c r="E4914" s="237">
        <v>250</v>
      </c>
      <c r="F4914" s="237">
        <f t="shared" si="97"/>
        <v>250</v>
      </c>
    </row>
    <row r="4915" spans="1:6" ht="30.75" thickBot="1" x14ac:dyDescent="0.3">
      <c r="A4915" s="7">
        <v>50</v>
      </c>
      <c r="B4915" s="8" t="s">
        <v>2309</v>
      </c>
      <c r="C4915" s="324">
        <v>1</v>
      </c>
      <c r="D4915" s="9" t="s">
        <v>180</v>
      </c>
      <c r="E4915" s="237">
        <v>400</v>
      </c>
      <c r="F4915" s="237">
        <f t="shared" si="97"/>
        <v>400</v>
      </c>
    </row>
    <row r="4916" spans="1:6" ht="15.75" thickBot="1" x14ac:dyDescent="0.3">
      <c r="A4916" s="7">
        <v>51</v>
      </c>
      <c r="B4916" s="8" t="s">
        <v>2310</v>
      </c>
      <c r="C4916" s="324">
        <v>1</v>
      </c>
      <c r="D4916" s="9" t="s">
        <v>180</v>
      </c>
      <c r="E4916" s="237">
        <v>1500</v>
      </c>
      <c r="F4916" s="237">
        <f t="shared" si="97"/>
        <v>1500</v>
      </c>
    </row>
    <row r="4917" spans="1:6" ht="15.75" thickBot="1" x14ac:dyDescent="0.3">
      <c r="A4917" s="7">
        <v>52</v>
      </c>
      <c r="B4917" s="8" t="s">
        <v>2311</v>
      </c>
      <c r="C4917" s="324">
        <v>1</v>
      </c>
      <c r="D4917" s="9" t="s">
        <v>180</v>
      </c>
      <c r="E4917" s="237">
        <v>1500</v>
      </c>
      <c r="F4917" s="237">
        <f t="shared" si="97"/>
        <v>1500</v>
      </c>
    </row>
    <row r="4918" spans="1:6" ht="15.75" thickBot="1" x14ac:dyDescent="0.3">
      <c r="A4918" s="7">
        <v>53</v>
      </c>
      <c r="B4918" s="8" t="s">
        <v>2312</v>
      </c>
      <c r="C4918" s="324">
        <v>54</v>
      </c>
      <c r="D4918" s="9" t="s">
        <v>9</v>
      </c>
      <c r="E4918" s="237">
        <v>130</v>
      </c>
      <c r="F4918" s="237">
        <f t="shared" si="97"/>
        <v>7020</v>
      </c>
    </row>
    <row r="4919" spans="1:6" ht="15.75" thickBot="1" x14ac:dyDescent="0.3">
      <c r="A4919" s="7">
        <v>54</v>
      </c>
      <c r="B4919" s="8" t="s">
        <v>1860</v>
      </c>
      <c r="C4919" s="324">
        <v>21.6</v>
      </c>
      <c r="D4919" s="9" t="s">
        <v>9</v>
      </c>
      <c r="E4919" s="237">
        <v>120</v>
      </c>
      <c r="F4919" s="237">
        <f t="shared" si="97"/>
        <v>2592</v>
      </c>
    </row>
    <row r="4920" spans="1:6" ht="15.75" thickBot="1" x14ac:dyDescent="0.3">
      <c r="A4920" s="7">
        <v>55</v>
      </c>
      <c r="B4920" s="8" t="s">
        <v>2313</v>
      </c>
      <c r="C4920" s="324">
        <v>80</v>
      </c>
      <c r="D4920" s="9" t="s">
        <v>33</v>
      </c>
      <c r="E4920" s="237">
        <v>60</v>
      </c>
      <c r="F4920" s="237">
        <f t="shared" si="97"/>
        <v>4800</v>
      </c>
    </row>
    <row r="4921" spans="1:6" ht="15.75" thickBot="1" x14ac:dyDescent="0.3">
      <c r="A4921" s="7">
        <v>56</v>
      </c>
      <c r="B4921" s="8" t="s">
        <v>2314</v>
      </c>
      <c r="C4921" s="324">
        <v>64</v>
      </c>
      <c r="D4921" s="9" t="s">
        <v>33</v>
      </c>
      <c r="E4921" s="237">
        <v>60</v>
      </c>
      <c r="F4921" s="237">
        <f t="shared" si="97"/>
        <v>3840</v>
      </c>
    </row>
    <row r="4922" spans="1:6" ht="15.75" thickBot="1" x14ac:dyDescent="0.3">
      <c r="A4922" s="7">
        <v>57</v>
      </c>
      <c r="B4922" s="8" t="s">
        <v>1863</v>
      </c>
      <c r="C4922" s="324">
        <v>1</v>
      </c>
      <c r="D4922" s="9" t="s">
        <v>407</v>
      </c>
      <c r="E4922" s="237">
        <v>25380</v>
      </c>
      <c r="F4922" s="237">
        <f t="shared" si="97"/>
        <v>25380</v>
      </c>
    </row>
    <row r="4923" spans="1:6" ht="15.75" thickBot="1" x14ac:dyDescent="0.3">
      <c r="A4923" s="7">
        <v>58</v>
      </c>
      <c r="B4923" s="8" t="s">
        <v>2388</v>
      </c>
      <c r="C4923" s="324">
        <v>1</v>
      </c>
      <c r="D4923" s="9" t="s">
        <v>407</v>
      </c>
      <c r="E4923" s="237">
        <v>12500</v>
      </c>
      <c r="F4923" s="237">
        <f t="shared" si="97"/>
        <v>12500</v>
      </c>
    </row>
    <row r="4924" spans="1:6" ht="30.75" thickBot="1" x14ac:dyDescent="0.3">
      <c r="A4924" s="7">
        <v>59</v>
      </c>
      <c r="B4924" s="8" t="s">
        <v>2328</v>
      </c>
      <c r="C4924" s="324">
        <v>1</v>
      </c>
      <c r="D4924" s="9" t="s">
        <v>407</v>
      </c>
      <c r="E4924" s="237">
        <v>18000</v>
      </c>
      <c r="F4924" s="237">
        <f t="shared" si="97"/>
        <v>18000</v>
      </c>
    </row>
    <row r="4925" spans="1:6" ht="45.75" thickBot="1" x14ac:dyDescent="0.3">
      <c r="A4925" s="7">
        <v>60</v>
      </c>
      <c r="B4925" s="8" t="s">
        <v>2315</v>
      </c>
      <c r="C4925" s="324">
        <v>1</v>
      </c>
      <c r="D4925" s="9" t="s">
        <v>772</v>
      </c>
      <c r="E4925" s="237">
        <v>6500</v>
      </c>
      <c r="F4925" s="237">
        <f t="shared" si="97"/>
        <v>6500</v>
      </c>
    </row>
    <row r="4926" spans="1:6" ht="15.75" thickBot="1" x14ac:dyDescent="0.3">
      <c r="A4926" s="7">
        <v>61</v>
      </c>
      <c r="B4926" s="8" t="s">
        <v>1784</v>
      </c>
      <c r="C4926" s="324">
        <v>1</v>
      </c>
      <c r="D4926" s="9" t="s">
        <v>772</v>
      </c>
      <c r="E4926" s="237">
        <v>4500</v>
      </c>
      <c r="F4926" s="237">
        <f>E4926*C4926</f>
        <v>4500</v>
      </c>
    </row>
    <row r="4927" spans="1:6" ht="15.75" thickBot="1" x14ac:dyDescent="0.3">
      <c r="A4927" s="7"/>
      <c r="B4927" s="8"/>
      <c r="C4927" s="324"/>
      <c r="D4927" s="9"/>
      <c r="E4927" s="237"/>
      <c r="F4927" s="237"/>
    </row>
    <row r="4928" spans="1:6" ht="16.5" thickBot="1" x14ac:dyDescent="0.3">
      <c r="A4928" s="7"/>
      <c r="B4928" s="307" t="s">
        <v>10</v>
      </c>
      <c r="C4928" s="351"/>
      <c r="D4928" s="308"/>
      <c r="E4928" s="309"/>
      <c r="F4928" s="309">
        <f>SUM(F4866:F4926)</f>
        <v>1423265.1</v>
      </c>
    </row>
    <row r="4929" spans="1:6" ht="15.75" thickBot="1" x14ac:dyDescent="0.3"/>
    <row r="4930" spans="1:6" ht="15.75" thickBot="1" x14ac:dyDescent="0.3">
      <c r="A4930" s="5" t="s">
        <v>0</v>
      </c>
      <c r="B4930" s="6" t="s">
        <v>1</v>
      </c>
      <c r="C4930" s="332" t="s">
        <v>2</v>
      </c>
      <c r="D4930" s="6" t="s">
        <v>3</v>
      </c>
      <c r="E4930" s="264" t="s">
        <v>4</v>
      </c>
      <c r="F4930" s="264" t="s">
        <v>5</v>
      </c>
    </row>
    <row r="4931" spans="1:6" ht="30" x14ac:dyDescent="0.25">
      <c r="A4931" s="13" t="s">
        <v>1618</v>
      </c>
      <c r="B4931" s="80" t="s">
        <v>2392</v>
      </c>
      <c r="C4931" s="316">
        <v>180</v>
      </c>
      <c r="D4931" s="15" t="s">
        <v>9</v>
      </c>
      <c r="E4931" s="16">
        <v>660</v>
      </c>
      <c r="F4931" s="16">
        <f t="shared" ref="F4931:F4936" si="98">E4931*C4931</f>
        <v>118800</v>
      </c>
    </row>
    <row r="4932" spans="1:6" x14ac:dyDescent="0.25">
      <c r="A4932" s="13" t="s">
        <v>1620</v>
      </c>
      <c r="B4932" s="33" t="s">
        <v>2393</v>
      </c>
      <c r="C4932" s="316">
        <v>29</v>
      </c>
      <c r="D4932" s="15" t="s">
        <v>33</v>
      </c>
      <c r="E4932" s="16">
        <v>1450</v>
      </c>
      <c r="F4932" s="16">
        <f t="shared" si="98"/>
        <v>42050</v>
      </c>
    </row>
    <row r="4933" spans="1:6" x14ac:dyDescent="0.25">
      <c r="A4933" s="13" t="s">
        <v>1621</v>
      </c>
      <c r="B4933" s="14" t="s">
        <v>2394</v>
      </c>
      <c r="C4933" s="316">
        <v>390</v>
      </c>
      <c r="D4933" s="15" t="s">
        <v>33</v>
      </c>
      <c r="E4933" s="16">
        <v>660</v>
      </c>
      <c r="F4933" s="16">
        <f t="shared" si="98"/>
        <v>257400</v>
      </c>
    </row>
    <row r="4934" spans="1:6" x14ac:dyDescent="0.25">
      <c r="A4934" s="13" t="s">
        <v>1623</v>
      </c>
      <c r="B4934" s="14" t="s">
        <v>2395</v>
      </c>
      <c r="C4934" s="316">
        <v>400</v>
      </c>
      <c r="D4934" s="15" t="s">
        <v>33</v>
      </c>
      <c r="E4934" s="16">
        <v>380</v>
      </c>
      <c r="F4934" s="16">
        <f t="shared" si="98"/>
        <v>152000</v>
      </c>
    </row>
    <row r="4935" spans="1:6" x14ac:dyDescent="0.25">
      <c r="A4935" s="13" t="s">
        <v>1631</v>
      </c>
      <c r="B4935" s="33" t="s">
        <v>2396</v>
      </c>
      <c r="C4935" s="316">
        <v>600</v>
      </c>
      <c r="D4935" s="15" t="s">
        <v>9</v>
      </c>
      <c r="E4935" s="16">
        <v>250</v>
      </c>
      <c r="F4935" s="16">
        <f t="shared" si="98"/>
        <v>150000</v>
      </c>
    </row>
    <row r="4936" spans="1:6" ht="30" x14ac:dyDescent="0.25">
      <c r="A4936" s="13" t="s">
        <v>1632</v>
      </c>
      <c r="B4936" s="14" t="s">
        <v>2397</v>
      </c>
      <c r="C4936" s="316">
        <v>30</v>
      </c>
      <c r="D4936" s="15" t="s">
        <v>33</v>
      </c>
      <c r="E4936" s="16">
        <v>400</v>
      </c>
      <c r="F4936" s="16">
        <f t="shared" si="98"/>
        <v>12000</v>
      </c>
    </row>
    <row r="4938" spans="1:6" x14ac:dyDescent="0.25">
      <c r="B4938" s="17" t="s">
        <v>10</v>
      </c>
      <c r="C4938" s="31"/>
      <c r="D4938" s="18"/>
      <c r="E4938" s="239"/>
      <c r="F4938" s="239">
        <f>SUM(F4931:F4936)</f>
        <v>732250</v>
      </c>
    </row>
    <row r="4940" spans="1:6" x14ac:dyDescent="0.25">
      <c r="B4940" s="14" t="s">
        <v>2398</v>
      </c>
    </row>
    <row r="4942" spans="1:6" ht="30" x14ac:dyDescent="0.25">
      <c r="B4942" s="14" t="s">
        <v>2399</v>
      </c>
    </row>
    <row r="4943" spans="1:6" ht="15.75" thickBot="1" x14ac:dyDescent="0.3">
      <c r="F4943" s="16">
        <f t="shared" ref="F4943:F4970" si="99">E4943*C4943</f>
        <v>0</v>
      </c>
    </row>
    <row r="4944" spans="1:6" ht="15.75" thickBot="1" x14ac:dyDescent="0.3">
      <c r="A4944" s="5" t="s">
        <v>0</v>
      </c>
      <c r="B4944" s="6" t="s">
        <v>1</v>
      </c>
      <c r="C4944" s="332" t="s">
        <v>2</v>
      </c>
      <c r="D4944" s="83" t="s">
        <v>3</v>
      </c>
      <c r="E4944" s="265" t="s">
        <v>4</v>
      </c>
      <c r="F4944" s="265" t="s">
        <v>5</v>
      </c>
    </row>
    <row r="4945" spans="1:6" x14ac:dyDescent="0.25">
      <c r="A4945" s="422" t="s">
        <v>2419</v>
      </c>
      <c r="B4945" s="422"/>
      <c r="C4945" s="422"/>
      <c r="D4945" s="429"/>
      <c r="E4945" s="430"/>
      <c r="F4945" s="431"/>
    </row>
    <row r="4946" spans="1:6" ht="45" x14ac:dyDescent="0.25">
      <c r="A4946" s="13" t="s">
        <v>1618</v>
      </c>
      <c r="B4946" s="14" t="s">
        <v>2400</v>
      </c>
      <c r="C4946" s="360">
        <v>2030</v>
      </c>
      <c r="D4946" s="15" t="s">
        <v>9</v>
      </c>
      <c r="E4946" s="16">
        <v>180</v>
      </c>
      <c r="F4946" s="16">
        <f t="shared" si="99"/>
        <v>365400</v>
      </c>
    </row>
    <row r="4947" spans="1:6" ht="60" x14ac:dyDescent="0.25">
      <c r="A4947" s="13" t="s">
        <v>1620</v>
      </c>
      <c r="B4947" s="14" t="s">
        <v>2401</v>
      </c>
      <c r="C4947" s="316">
        <v>2030</v>
      </c>
      <c r="D4947" s="15" t="s">
        <v>9</v>
      </c>
      <c r="E4947" s="16">
        <v>195</v>
      </c>
      <c r="F4947" s="16">
        <f t="shared" si="99"/>
        <v>395850</v>
      </c>
    </row>
    <row r="4948" spans="1:6" ht="60" x14ac:dyDescent="0.25">
      <c r="A4948" s="13" t="s">
        <v>1621</v>
      </c>
      <c r="B4948" s="14" t="s">
        <v>2402</v>
      </c>
      <c r="C4948" s="316">
        <v>90</v>
      </c>
      <c r="D4948" s="15" t="s">
        <v>9</v>
      </c>
      <c r="E4948" s="16">
        <v>440</v>
      </c>
      <c r="F4948" s="16">
        <f t="shared" si="99"/>
        <v>39600</v>
      </c>
    </row>
    <row r="4949" spans="1:6" ht="45" x14ac:dyDescent="0.25">
      <c r="A4949" s="13" t="s">
        <v>1623</v>
      </c>
      <c r="B4949" s="14" t="s">
        <v>2403</v>
      </c>
      <c r="C4949" s="316">
        <v>622</v>
      </c>
      <c r="D4949" s="15" t="s">
        <v>9</v>
      </c>
      <c r="E4949" s="16">
        <v>160</v>
      </c>
      <c r="F4949" s="16">
        <f t="shared" si="99"/>
        <v>99520</v>
      </c>
    </row>
    <row r="4950" spans="1:6" ht="45" x14ac:dyDescent="0.25">
      <c r="A4950" s="13" t="s">
        <v>1631</v>
      </c>
      <c r="B4950" s="14" t="s">
        <v>2420</v>
      </c>
      <c r="C4950" s="316">
        <v>878</v>
      </c>
      <c r="D4950" s="15" t="s">
        <v>9</v>
      </c>
      <c r="E4950" s="16">
        <v>80</v>
      </c>
      <c r="F4950" s="16">
        <f t="shared" si="99"/>
        <v>70240</v>
      </c>
    </row>
    <row r="4951" spans="1:6" ht="45" x14ac:dyDescent="0.25">
      <c r="A4951" s="13" t="s">
        <v>1632</v>
      </c>
      <c r="B4951" s="14" t="s">
        <v>2404</v>
      </c>
      <c r="C4951" s="316">
        <v>4</v>
      </c>
      <c r="D4951" s="15" t="s">
        <v>180</v>
      </c>
      <c r="E4951" s="16">
        <v>220000</v>
      </c>
      <c r="F4951" s="16">
        <f t="shared" si="99"/>
        <v>880000</v>
      </c>
    </row>
    <row r="4952" spans="1:6" x14ac:dyDescent="0.25">
      <c r="A4952" s="423" t="s">
        <v>2418</v>
      </c>
      <c r="B4952" s="424"/>
      <c r="C4952" s="425"/>
      <c r="D4952" s="426"/>
      <c r="E4952" s="427"/>
      <c r="F4952" s="428"/>
    </row>
    <row r="4953" spans="1:6" ht="60" x14ac:dyDescent="0.25">
      <c r="A4953" s="13" t="s">
        <v>1633</v>
      </c>
      <c r="B4953" s="14" t="s">
        <v>2406</v>
      </c>
      <c r="C4953" s="316">
        <v>136</v>
      </c>
      <c r="D4953" s="15" t="s">
        <v>9</v>
      </c>
      <c r="E4953" s="16">
        <v>380</v>
      </c>
      <c r="F4953" s="16">
        <f t="shared" si="99"/>
        <v>51680</v>
      </c>
    </row>
    <row r="4954" spans="1:6" ht="45" x14ac:dyDescent="0.25">
      <c r="A4954" s="13" t="s">
        <v>1634</v>
      </c>
      <c r="B4954" s="14" t="s">
        <v>2407</v>
      </c>
      <c r="C4954" s="316">
        <v>288</v>
      </c>
      <c r="D4954" s="15" t="s">
        <v>9</v>
      </c>
      <c r="E4954" s="16">
        <v>180</v>
      </c>
      <c r="F4954" s="16">
        <f t="shared" si="99"/>
        <v>51840</v>
      </c>
    </row>
    <row r="4955" spans="1:6" ht="60" x14ac:dyDescent="0.25">
      <c r="A4955" s="13" t="s">
        <v>1635</v>
      </c>
      <c r="B4955" s="14" t="s">
        <v>2361</v>
      </c>
      <c r="C4955" s="316">
        <v>288</v>
      </c>
      <c r="D4955" s="15" t="s">
        <v>9</v>
      </c>
      <c r="E4955" s="16">
        <v>195</v>
      </c>
      <c r="F4955" s="16">
        <f t="shared" si="99"/>
        <v>56160</v>
      </c>
    </row>
    <row r="4956" spans="1:6" ht="30" x14ac:dyDescent="0.25">
      <c r="A4956" s="13" t="s">
        <v>1385</v>
      </c>
      <c r="B4956" s="14" t="s">
        <v>2408</v>
      </c>
      <c r="C4956" s="316">
        <v>930</v>
      </c>
      <c r="D4956" s="15" t="s">
        <v>9</v>
      </c>
      <c r="E4956" s="16">
        <v>120</v>
      </c>
      <c r="F4956" s="16">
        <f t="shared" si="99"/>
        <v>111600</v>
      </c>
    </row>
    <row r="4957" spans="1:6" ht="30" x14ac:dyDescent="0.25">
      <c r="A4957" s="13" t="s">
        <v>1398</v>
      </c>
      <c r="B4957" s="14" t="s">
        <v>2409</v>
      </c>
      <c r="C4957" s="316">
        <v>1133</v>
      </c>
      <c r="D4957" s="15" t="s">
        <v>9</v>
      </c>
      <c r="E4957" s="16">
        <v>110</v>
      </c>
      <c r="F4957" s="16">
        <f t="shared" si="99"/>
        <v>124630</v>
      </c>
    </row>
    <row r="4958" spans="1:6" ht="30" x14ac:dyDescent="0.25">
      <c r="A4958" s="13" t="s">
        <v>1637</v>
      </c>
      <c r="B4958" s="14" t="s">
        <v>2415</v>
      </c>
      <c r="C4958" s="316">
        <v>1353.6</v>
      </c>
      <c r="D4958" s="15" t="s">
        <v>9</v>
      </c>
      <c r="E4958" s="16">
        <v>95</v>
      </c>
      <c r="F4958" s="16">
        <f t="shared" si="99"/>
        <v>128591.99999999999</v>
      </c>
    </row>
    <row r="4959" spans="1:6" ht="30" x14ac:dyDescent="0.25">
      <c r="A4959" s="13" t="s">
        <v>1660</v>
      </c>
      <c r="B4959" s="14" t="s">
        <v>2410</v>
      </c>
      <c r="C4959" s="316">
        <v>420</v>
      </c>
      <c r="D4959" s="15" t="s">
        <v>9</v>
      </c>
      <c r="E4959" s="16">
        <v>95</v>
      </c>
      <c r="F4959" s="16">
        <f t="shared" si="99"/>
        <v>39900</v>
      </c>
    </row>
    <row r="4960" spans="1:6" ht="45" x14ac:dyDescent="0.25">
      <c r="A4960" s="13" t="s">
        <v>1661</v>
      </c>
      <c r="B4960" s="14" t="s">
        <v>2411</v>
      </c>
      <c r="C4960" s="316">
        <v>2</v>
      </c>
      <c r="D4960" s="15" t="s">
        <v>180</v>
      </c>
      <c r="E4960" s="16">
        <v>120000</v>
      </c>
      <c r="F4960" s="16">
        <f t="shared" si="99"/>
        <v>240000</v>
      </c>
    </row>
    <row r="4961" spans="1:12" ht="60" x14ac:dyDescent="0.25">
      <c r="A4961" s="13" t="s">
        <v>1662</v>
      </c>
      <c r="B4961" s="14" t="s">
        <v>2405</v>
      </c>
      <c r="C4961" s="316">
        <v>2</v>
      </c>
      <c r="D4961" s="15" t="s">
        <v>180</v>
      </c>
      <c r="E4961" s="16">
        <v>230000</v>
      </c>
      <c r="F4961" s="16">
        <f t="shared" si="99"/>
        <v>460000</v>
      </c>
    </row>
    <row r="4962" spans="1:12" ht="60" x14ac:dyDescent="0.25">
      <c r="A4962" s="13" t="s">
        <v>1663</v>
      </c>
      <c r="B4962" s="14" t="s">
        <v>2421</v>
      </c>
      <c r="C4962" s="316">
        <v>20</v>
      </c>
      <c r="D4962" s="15" t="s">
        <v>33</v>
      </c>
      <c r="E4962" s="16">
        <v>3500</v>
      </c>
      <c r="F4962" s="16">
        <f t="shared" si="99"/>
        <v>70000</v>
      </c>
    </row>
    <row r="4963" spans="1:12" x14ac:dyDescent="0.25">
      <c r="A4963" s="423" t="s">
        <v>2417</v>
      </c>
      <c r="B4963" s="424"/>
      <c r="C4963" s="425"/>
      <c r="D4963" s="426"/>
      <c r="E4963" s="427"/>
      <c r="F4963" s="428"/>
    </row>
    <row r="4964" spans="1:12" ht="60" x14ac:dyDescent="0.25">
      <c r="A4964" s="13" t="s">
        <v>1664</v>
      </c>
      <c r="B4964" s="14" t="s">
        <v>2412</v>
      </c>
      <c r="C4964" s="316">
        <v>270</v>
      </c>
      <c r="D4964" s="15" t="s">
        <v>9</v>
      </c>
      <c r="E4964" s="16">
        <v>380</v>
      </c>
      <c r="F4964" s="16">
        <f t="shared" si="99"/>
        <v>102600</v>
      </c>
    </row>
    <row r="4965" spans="1:12" ht="45" x14ac:dyDescent="0.25">
      <c r="A4965" s="13" t="s">
        <v>1665</v>
      </c>
      <c r="B4965" s="14" t="s">
        <v>2413</v>
      </c>
      <c r="C4965" s="316">
        <v>340</v>
      </c>
      <c r="D4965" s="15" t="s">
        <v>9</v>
      </c>
      <c r="E4965" s="16">
        <v>180</v>
      </c>
      <c r="F4965" s="16">
        <f t="shared" si="99"/>
        <v>61200</v>
      </c>
    </row>
    <row r="4966" spans="1:12" ht="30" x14ac:dyDescent="0.25">
      <c r="A4966" s="13" t="s">
        <v>1666</v>
      </c>
      <c r="B4966" s="14" t="s">
        <v>2414</v>
      </c>
      <c r="C4966" s="316">
        <v>2655</v>
      </c>
      <c r="D4966" s="15" t="s">
        <v>9</v>
      </c>
      <c r="E4966" s="16">
        <v>80</v>
      </c>
      <c r="F4966" s="16">
        <f t="shared" si="99"/>
        <v>212400</v>
      </c>
    </row>
    <row r="4967" spans="1:12" ht="30" x14ac:dyDescent="0.25">
      <c r="A4967" s="13" t="s">
        <v>1667</v>
      </c>
      <c r="B4967" s="14" t="s">
        <v>2416</v>
      </c>
      <c r="C4967" s="316">
        <v>6150</v>
      </c>
      <c r="D4967" s="15" t="s">
        <v>9</v>
      </c>
      <c r="E4967" s="16">
        <v>80</v>
      </c>
      <c r="F4967" s="16">
        <f t="shared" si="99"/>
        <v>492000</v>
      </c>
    </row>
    <row r="4968" spans="1:12" ht="30" x14ac:dyDescent="0.25">
      <c r="A4968" s="13" t="s">
        <v>1668</v>
      </c>
      <c r="B4968" s="14" t="s">
        <v>2422</v>
      </c>
      <c r="C4968" s="316">
        <v>1344</v>
      </c>
      <c r="D4968" s="15" t="s">
        <v>9</v>
      </c>
      <c r="E4968" s="16">
        <v>160</v>
      </c>
      <c r="F4968" s="16">
        <f t="shared" si="99"/>
        <v>215040</v>
      </c>
    </row>
    <row r="4969" spans="1:12" ht="60" x14ac:dyDescent="0.25">
      <c r="A4969" s="13" t="s">
        <v>1669</v>
      </c>
      <c r="B4969" s="14" t="s">
        <v>2425</v>
      </c>
      <c r="C4969" s="316">
        <v>6</v>
      </c>
      <c r="D4969" s="15" t="s">
        <v>180</v>
      </c>
      <c r="E4969" s="16">
        <v>38000</v>
      </c>
      <c r="F4969" s="16">
        <f t="shared" si="99"/>
        <v>228000</v>
      </c>
    </row>
    <row r="4970" spans="1:12" ht="75" x14ac:dyDescent="0.25">
      <c r="A4970" s="13" t="s">
        <v>1670</v>
      </c>
      <c r="B4970" s="14" t="s">
        <v>2427</v>
      </c>
      <c r="C4970" s="316">
        <v>15</v>
      </c>
      <c r="D4970" s="15" t="s">
        <v>33</v>
      </c>
      <c r="E4970" s="16">
        <v>3500</v>
      </c>
      <c r="F4970" s="16">
        <f t="shared" si="99"/>
        <v>52500</v>
      </c>
    </row>
    <row r="4971" spans="1:12" ht="45" x14ac:dyDescent="0.25">
      <c r="A4971" s="13" t="s">
        <v>1671</v>
      </c>
      <c r="B4971" s="14" t="s">
        <v>2426</v>
      </c>
      <c r="C4971" s="316">
        <v>4</v>
      </c>
      <c r="D4971" s="15" t="s">
        <v>180</v>
      </c>
      <c r="E4971" s="16">
        <v>280000</v>
      </c>
      <c r="F4971" s="16">
        <f>E4971*C4971</f>
        <v>1120000</v>
      </c>
      <c r="L4971" s="33" t="s">
        <v>2423</v>
      </c>
    </row>
    <row r="4972" spans="1:12" x14ac:dyDescent="0.25">
      <c r="L4972" s="33" t="s">
        <v>2424</v>
      </c>
    </row>
    <row r="4973" spans="1:12" x14ac:dyDescent="0.25">
      <c r="B4973" s="17" t="s">
        <v>10</v>
      </c>
      <c r="C4973" s="31"/>
      <c r="D4973" s="18"/>
      <c r="E4973" s="239"/>
      <c r="F4973" s="239">
        <f>SUM(F4946:F4971)</f>
        <v>5668752</v>
      </c>
    </row>
    <row r="4974" spans="1:12" ht="15.75" thickBot="1" x14ac:dyDescent="0.3"/>
    <row r="4975" spans="1:12" ht="15.75" thickBot="1" x14ac:dyDescent="0.3">
      <c r="A4975" s="5" t="s">
        <v>0</v>
      </c>
      <c r="B4975" s="6" t="s">
        <v>1</v>
      </c>
      <c r="C4975" s="332" t="s">
        <v>2</v>
      </c>
      <c r="D4975" s="83" t="s">
        <v>3</v>
      </c>
      <c r="E4975" s="265" t="s">
        <v>4</v>
      </c>
      <c r="F4975" s="265" t="s">
        <v>5</v>
      </c>
    </row>
    <row r="4976" spans="1:12" ht="135" x14ac:dyDescent="0.25">
      <c r="A4976" s="13" t="s">
        <v>1618</v>
      </c>
      <c r="B4976" s="363" t="s">
        <v>2428</v>
      </c>
      <c r="C4976" s="316">
        <v>586</v>
      </c>
      <c r="D4976" s="15" t="s">
        <v>9</v>
      </c>
      <c r="E4976" s="16">
        <v>365</v>
      </c>
      <c r="F4976" s="16">
        <f>E4976*C4976</f>
        <v>213890</v>
      </c>
    </row>
    <row r="4978" spans="1:6" x14ac:dyDescent="0.25">
      <c r="B4978" s="14" t="s">
        <v>10</v>
      </c>
      <c r="F4978" s="16">
        <f>F4976</f>
        <v>213890</v>
      </c>
    </row>
    <row r="4979" spans="1:6" ht="15.75" thickBot="1" x14ac:dyDescent="0.3"/>
    <row r="4980" spans="1:6" ht="15.75" thickBot="1" x14ac:dyDescent="0.3">
      <c r="A4980" s="5" t="s">
        <v>0</v>
      </c>
      <c r="B4980" s="6" t="s">
        <v>1</v>
      </c>
      <c r="C4980" s="6" t="s">
        <v>2</v>
      </c>
      <c r="D4980" s="6" t="s">
        <v>3</v>
      </c>
      <c r="E4980" s="264" t="s">
        <v>4</v>
      </c>
      <c r="F4980" s="264" t="s">
        <v>5</v>
      </c>
    </row>
    <row r="4981" spans="1:6" ht="15.75" thickBot="1" x14ac:dyDescent="0.3">
      <c r="A4981" s="7">
        <v>1</v>
      </c>
      <c r="B4981" s="8" t="s">
        <v>1040</v>
      </c>
      <c r="C4981" s="9">
        <v>1</v>
      </c>
      <c r="D4981" s="9" t="s">
        <v>407</v>
      </c>
      <c r="E4981" s="237">
        <v>14000</v>
      </c>
      <c r="F4981" s="237">
        <f>E4981*C4981</f>
        <v>14000</v>
      </c>
    </row>
    <row r="4982" spans="1:6" ht="30.75" thickBot="1" x14ac:dyDescent="0.3">
      <c r="A4982" s="7">
        <v>2</v>
      </c>
      <c r="B4982" s="8" t="s">
        <v>1658</v>
      </c>
      <c r="C4982" s="9">
        <v>216</v>
      </c>
      <c r="D4982" s="9" t="s">
        <v>32</v>
      </c>
      <c r="E4982" s="237">
        <v>100</v>
      </c>
      <c r="F4982" s="237">
        <f t="shared" ref="F4982:F4996" si="100">E4982*C4982</f>
        <v>21600</v>
      </c>
    </row>
    <row r="4983" spans="1:6" ht="15.75" thickBot="1" x14ac:dyDescent="0.3">
      <c r="A4983" s="7">
        <v>3</v>
      </c>
      <c r="B4983" s="8" t="s">
        <v>1674</v>
      </c>
      <c r="C4983" s="9">
        <v>450</v>
      </c>
      <c r="D4983" s="9" t="s">
        <v>32</v>
      </c>
      <c r="E4983" s="237">
        <v>75</v>
      </c>
      <c r="F4983" s="237">
        <f t="shared" si="100"/>
        <v>33750</v>
      </c>
    </row>
    <row r="4984" spans="1:6" ht="45.75" thickBot="1" x14ac:dyDescent="0.3">
      <c r="A4984" s="7">
        <v>4</v>
      </c>
      <c r="B4984" s="8" t="s">
        <v>1768</v>
      </c>
      <c r="C4984" s="9">
        <v>130</v>
      </c>
      <c r="D4984" s="9" t="s">
        <v>33</v>
      </c>
      <c r="E4984" s="237">
        <v>1550</v>
      </c>
      <c r="F4984" s="237">
        <f t="shared" si="100"/>
        <v>201500</v>
      </c>
    </row>
    <row r="4985" spans="1:6" ht="45.75" thickBot="1" x14ac:dyDescent="0.3">
      <c r="A4985" s="7">
        <v>5</v>
      </c>
      <c r="B4985" s="8" t="s">
        <v>1771</v>
      </c>
      <c r="C4985" s="9">
        <v>320</v>
      </c>
      <c r="D4985" s="9" t="s">
        <v>33</v>
      </c>
      <c r="E4985" s="237">
        <v>1550</v>
      </c>
      <c r="F4985" s="237">
        <f t="shared" si="100"/>
        <v>496000</v>
      </c>
    </row>
    <row r="4986" spans="1:6" ht="60.75" thickBot="1" x14ac:dyDescent="0.3">
      <c r="A4986" s="7">
        <v>6</v>
      </c>
      <c r="B4986" s="8" t="s">
        <v>2429</v>
      </c>
      <c r="C4986" s="9">
        <v>871</v>
      </c>
      <c r="D4986" s="9" t="s">
        <v>9</v>
      </c>
      <c r="E4986" s="237">
        <v>1500</v>
      </c>
      <c r="F4986" s="237">
        <f t="shared" si="100"/>
        <v>1306500</v>
      </c>
    </row>
    <row r="4987" spans="1:6" ht="30.75" thickBot="1" x14ac:dyDescent="0.3">
      <c r="A4987" s="7">
        <v>7</v>
      </c>
      <c r="B4987" s="8" t="s">
        <v>688</v>
      </c>
      <c r="C4987" s="9">
        <v>871</v>
      </c>
      <c r="D4987" s="9" t="s">
        <v>9</v>
      </c>
      <c r="E4987" s="237">
        <v>160</v>
      </c>
      <c r="F4987" s="237">
        <f t="shared" si="100"/>
        <v>139360</v>
      </c>
    </row>
    <row r="4988" spans="1:6" ht="45.75" thickBot="1" x14ac:dyDescent="0.3">
      <c r="A4988" s="7">
        <v>8</v>
      </c>
      <c r="B4988" s="8" t="s">
        <v>692</v>
      </c>
      <c r="C4988" s="9">
        <v>871</v>
      </c>
      <c r="D4988" s="9" t="s">
        <v>9</v>
      </c>
      <c r="E4988" s="237">
        <v>450</v>
      </c>
      <c r="F4988" s="237">
        <f t="shared" si="100"/>
        <v>391950</v>
      </c>
    </row>
    <row r="4989" spans="1:6" ht="45.75" thickBot="1" x14ac:dyDescent="0.3">
      <c r="A4989" s="7">
        <v>9</v>
      </c>
      <c r="B4989" s="8" t="s">
        <v>2430</v>
      </c>
      <c r="C4989" s="9">
        <v>1811</v>
      </c>
      <c r="D4989" s="9" t="s">
        <v>9</v>
      </c>
      <c r="E4989" s="237">
        <v>430</v>
      </c>
      <c r="F4989" s="237">
        <f t="shared" si="100"/>
        <v>778730</v>
      </c>
    </row>
    <row r="4990" spans="1:6" ht="60.75" thickBot="1" x14ac:dyDescent="0.3">
      <c r="A4990" s="7">
        <v>10</v>
      </c>
      <c r="B4990" s="8" t="s">
        <v>77</v>
      </c>
      <c r="C4990" s="9">
        <v>1811</v>
      </c>
      <c r="D4990" s="9" t="s">
        <v>9</v>
      </c>
      <c r="E4990" s="237">
        <v>270</v>
      </c>
      <c r="F4990" s="237">
        <f t="shared" si="100"/>
        <v>488970</v>
      </c>
    </row>
    <row r="4991" spans="1:6" ht="45.75" thickBot="1" x14ac:dyDescent="0.3">
      <c r="A4991" s="7">
        <v>11</v>
      </c>
      <c r="B4991" s="8" t="s">
        <v>78</v>
      </c>
      <c r="C4991" s="9">
        <v>1811</v>
      </c>
      <c r="D4991" s="9" t="s">
        <v>9</v>
      </c>
      <c r="E4991" s="237">
        <v>240</v>
      </c>
      <c r="F4991" s="237">
        <f t="shared" si="100"/>
        <v>434640</v>
      </c>
    </row>
    <row r="4992" spans="1:6" ht="45.75" thickBot="1" x14ac:dyDescent="0.3">
      <c r="A4992" s="7">
        <v>12</v>
      </c>
      <c r="B4992" s="8" t="s">
        <v>1772</v>
      </c>
      <c r="C4992" s="9">
        <v>871</v>
      </c>
      <c r="D4992" s="9" t="s">
        <v>9</v>
      </c>
      <c r="E4992" s="237">
        <v>175</v>
      </c>
      <c r="F4992" s="237">
        <f t="shared" si="100"/>
        <v>152425</v>
      </c>
    </row>
    <row r="4993" spans="1:6" ht="45.75" thickBot="1" x14ac:dyDescent="0.3">
      <c r="A4993" s="7">
        <v>13</v>
      </c>
      <c r="B4993" s="8" t="s">
        <v>1773</v>
      </c>
      <c r="C4993" s="9">
        <v>1811</v>
      </c>
      <c r="D4993" s="9" t="s">
        <v>9</v>
      </c>
      <c r="E4993" s="237">
        <v>195</v>
      </c>
      <c r="F4993" s="237">
        <f t="shared" si="100"/>
        <v>353145</v>
      </c>
    </row>
    <row r="4994" spans="1:6" ht="45.75" thickBot="1" x14ac:dyDescent="0.3">
      <c r="A4994" s="7">
        <v>14</v>
      </c>
      <c r="B4994" s="8" t="s">
        <v>2431</v>
      </c>
      <c r="C4994" s="9">
        <v>2682</v>
      </c>
      <c r="D4994" s="9" t="s">
        <v>9</v>
      </c>
      <c r="E4994" s="237">
        <v>190</v>
      </c>
      <c r="F4994" s="237">
        <f t="shared" si="100"/>
        <v>509580</v>
      </c>
    </row>
    <row r="4995" spans="1:6" ht="45.75" thickBot="1" x14ac:dyDescent="0.3">
      <c r="A4995" s="7">
        <v>15</v>
      </c>
      <c r="B4995" s="8" t="s">
        <v>1770</v>
      </c>
      <c r="C4995" s="9">
        <v>1811</v>
      </c>
      <c r="D4995" s="9" t="s">
        <v>9</v>
      </c>
      <c r="E4995" s="237">
        <v>240</v>
      </c>
      <c r="F4995" s="237">
        <f t="shared" si="100"/>
        <v>434640</v>
      </c>
    </row>
    <row r="4996" spans="1:6" ht="45.75" thickBot="1" x14ac:dyDescent="0.3">
      <c r="A4996" s="7">
        <v>16</v>
      </c>
      <c r="B4996" s="8" t="s">
        <v>955</v>
      </c>
      <c r="C4996" s="9">
        <v>182</v>
      </c>
      <c r="D4996" s="9" t="s">
        <v>9</v>
      </c>
      <c r="E4996" s="237">
        <v>580</v>
      </c>
      <c r="F4996" s="237">
        <f t="shared" si="100"/>
        <v>105560</v>
      </c>
    </row>
    <row r="4997" spans="1:6" ht="75.75" thickBot="1" x14ac:dyDescent="0.3">
      <c r="A4997" s="7">
        <v>17</v>
      </c>
      <c r="B4997" s="8" t="s">
        <v>2432</v>
      </c>
      <c r="C4997" s="9">
        <v>1</v>
      </c>
      <c r="D4997" s="9" t="s">
        <v>407</v>
      </c>
      <c r="E4997" s="237">
        <v>165000</v>
      </c>
      <c r="F4997" s="237">
        <f>E4997*C4997</f>
        <v>165000</v>
      </c>
    </row>
    <row r="4998" spans="1:6" ht="15.75" thickBot="1" x14ac:dyDescent="0.3">
      <c r="A4998" s="7"/>
      <c r="B4998" s="8"/>
      <c r="C4998" s="9"/>
      <c r="D4998" s="9"/>
      <c r="E4998" s="237"/>
      <c r="F4998" s="237"/>
    </row>
    <row r="4999" spans="1:6" ht="15.75" thickBot="1" x14ac:dyDescent="0.3">
      <c r="A4999" s="7"/>
      <c r="B4999" s="11" t="s">
        <v>10</v>
      </c>
      <c r="C4999" s="12"/>
      <c r="D4999" s="12"/>
      <c r="E4999" s="238"/>
      <c r="F4999" s="238">
        <f>SUM(F4981:F4997)</f>
        <v>6027350</v>
      </c>
    </row>
    <row r="5000" spans="1:6" ht="15.75" thickBot="1" x14ac:dyDescent="0.3">
      <c r="A5000" s="7"/>
      <c r="B5000" s="8"/>
      <c r="C5000" s="8"/>
      <c r="D5000" s="8"/>
      <c r="E5000" s="401"/>
      <c r="F5000" s="237"/>
    </row>
    <row r="5001" spans="1:6" ht="15.75" thickBot="1" x14ac:dyDescent="0.3">
      <c r="A5001" s="5" t="s">
        <v>0</v>
      </c>
      <c r="B5001" s="6" t="s">
        <v>1</v>
      </c>
      <c r="C5001" s="6" t="s">
        <v>2</v>
      </c>
      <c r="D5001" s="6" t="s">
        <v>3</v>
      </c>
      <c r="E5001" s="264" t="s">
        <v>4</v>
      </c>
      <c r="F5001" s="264" t="s">
        <v>5</v>
      </c>
    </row>
    <row r="5002" spans="1:6" ht="45" x14ac:dyDescent="0.25">
      <c r="A5002" s="13" t="s">
        <v>1618</v>
      </c>
      <c r="B5002" s="14" t="s">
        <v>2433</v>
      </c>
      <c r="C5002" s="316">
        <v>1</v>
      </c>
      <c r="D5002" s="15" t="s">
        <v>772</v>
      </c>
      <c r="E5002" s="16">
        <v>85000</v>
      </c>
      <c r="F5002" s="16">
        <f>E5002*C5002</f>
        <v>85000</v>
      </c>
    </row>
    <row r="5003" spans="1:6" ht="90" x14ac:dyDescent="0.25">
      <c r="A5003" s="13" t="s">
        <v>1620</v>
      </c>
      <c r="B5003" s="14" t="s">
        <v>2434</v>
      </c>
      <c r="C5003" s="316">
        <v>1</v>
      </c>
      <c r="D5003" s="15" t="s">
        <v>772</v>
      </c>
      <c r="E5003" s="16">
        <v>8000</v>
      </c>
      <c r="F5003" s="16">
        <f t="shared" ref="F5003:F5008" si="101">E5003*C5003</f>
        <v>8000</v>
      </c>
    </row>
    <row r="5004" spans="1:6" ht="75" x14ac:dyDescent="0.25">
      <c r="A5004" s="13" t="s">
        <v>1621</v>
      </c>
      <c r="B5004" s="14" t="s">
        <v>2435</v>
      </c>
      <c r="C5004" s="316">
        <v>1</v>
      </c>
      <c r="D5004" s="15" t="s">
        <v>772</v>
      </c>
      <c r="E5004" s="16">
        <v>120000</v>
      </c>
      <c r="F5004" s="16">
        <f t="shared" si="101"/>
        <v>120000</v>
      </c>
    </row>
    <row r="5005" spans="1:6" ht="75" x14ac:dyDescent="0.25">
      <c r="A5005" s="13" t="s">
        <v>1623</v>
      </c>
      <c r="B5005" s="14" t="s">
        <v>2436</v>
      </c>
      <c r="C5005" s="316">
        <v>24</v>
      </c>
      <c r="D5005" s="15" t="s">
        <v>1890</v>
      </c>
      <c r="E5005" s="16">
        <v>850</v>
      </c>
      <c r="F5005" s="16">
        <f t="shared" si="101"/>
        <v>20400</v>
      </c>
    </row>
    <row r="5006" spans="1:6" ht="75" x14ac:dyDescent="0.25">
      <c r="A5006" s="13" t="s">
        <v>1631</v>
      </c>
      <c r="B5006" s="14" t="s">
        <v>2437</v>
      </c>
      <c r="C5006" s="316">
        <v>6500</v>
      </c>
      <c r="D5006" s="15" t="s">
        <v>1890</v>
      </c>
      <c r="E5006" s="16">
        <v>140</v>
      </c>
      <c r="F5006" s="16">
        <f t="shared" si="101"/>
        <v>910000</v>
      </c>
    </row>
    <row r="5007" spans="1:6" ht="45" x14ac:dyDescent="0.25">
      <c r="A5007" s="13" t="s">
        <v>1632</v>
      </c>
      <c r="B5007" s="14" t="s">
        <v>2438</v>
      </c>
      <c r="C5007" s="316">
        <v>2600</v>
      </c>
      <c r="D5007" s="15" t="s">
        <v>1890</v>
      </c>
      <c r="E5007" s="16">
        <v>160</v>
      </c>
      <c r="F5007" s="16">
        <f t="shared" si="101"/>
        <v>416000</v>
      </c>
    </row>
    <row r="5008" spans="1:6" ht="45" x14ac:dyDescent="0.25">
      <c r="B5008" s="14" t="s">
        <v>2439</v>
      </c>
      <c r="C5008" s="316">
        <v>1800</v>
      </c>
      <c r="D5008" s="15" t="s">
        <v>1890</v>
      </c>
      <c r="E5008" s="16">
        <v>150</v>
      </c>
      <c r="F5008" s="16">
        <f t="shared" si="101"/>
        <v>270000</v>
      </c>
    </row>
    <row r="5009" spans="1:12" ht="90" x14ac:dyDescent="0.25">
      <c r="A5009" s="13" t="s">
        <v>1633</v>
      </c>
      <c r="B5009" s="14" t="s">
        <v>2440</v>
      </c>
      <c r="C5009" s="316">
        <v>1</v>
      </c>
      <c r="D5009" s="15" t="s">
        <v>772</v>
      </c>
      <c r="E5009" s="16">
        <v>22000</v>
      </c>
      <c r="F5009" s="16">
        <f>E5009*C5009</f>
        <v>22000</v>
      </c>
      <c r="L5009" s="33" t="s">
        <v>2441</v>
      </c>
    </row>
    <row r="5010" spans="1:12" x14ac:dyDescent="0.25">
      <c r="L5010" s="33" t="s">
        <v>2442</v>
      </c>
    </row>
    <row r="5011" spans="1:12" x14ac:dyDescent="0.25">
      <c r="B5011" s="457" t="s">
        <v>10</v>
      </c>
      <c r="C5011" s="458"/>
      <c r="D5011" s="458"/>
      <c r="E5011" s="459"/>
      <c r="F5011" s="239">
        <f>SUM(F5002:F5009)</f>
        <v>1851400</v>
      </c>
    </row>
    <row r="5013" spans="1:12" x14ac:dyDescent="0.25">
      <c r="B5013" s="14" t="s">
        <v>2443</v>
      </c>
      <c r="F5013" s="16">
        <f>E5013*C5013</f>
        <v>0</v>
      </c>
    </row>
    <row r="5014" spans="1:12" ht="15.75" thickBot="1" x14ac:dyDescent="0.3">
      <c r="F5014" s="16">
        <f>E5014*C5014</f>
        <v>0</v>
      </c>
    </row>
    <row r="5015" spans="1:12" ht="15.75" thickBot="1" x14ac:dyDescent="0.3">
      <c r="A5015" s="5" t="s">
        <v>0</v>
      </c>
      <c r="B5015" s="6" t="s">
        <v>1</v>
      </c>
      <c r="C5015" s="419"/>
      <c r="D5015" s="419"/>
      <c r="E5015" s="419"/>
      <c r="F5015" s="264" t="s">
        <v>5</v>
      </c>
    </row>
    <row r="5016" spans="1:12" x14ac:dyDescent="0.25">
      <c r="A5016" s="13" t="s">
        <v>1618</v>
      </c>
      <c r="B5016" s="14" t="s">
        <v>2444</v>
      </c>
      <c r="C5016" s="420"/>
      <c r="D5016" s="420"/>
      <c r="E5016" s="420"/>
      <c r="F5016" s="16">
        <v>21170081</v>
      </c>
    </row>
    <row r="5017" spans="1:12" ht="30" x14ac:dyDescent="0.25">
      <c r="A5017" s="13" t="s">
        <v>1620</v>
      </c>
      <c r="B5017" s="14" t="s">
        <v>2446</v>
      </c>
      <c r="C5017" s="420"/>
      <c r="D5017" s="420"/>
      <c r="E5017" s="420"/>
      <c r="F5017" s="16">
        <v>18950000</v>
      </c>
      <c r="H5017" s="99"/>
    </row>
    <row r="5018" spans="1:12" ht="30" x14ac:dyDescent="0.25">
      <c r="A5018" s="13" t="s">
        <v>1621</v>
      </c>
      <c r="B5018" s="14" t="s">
        <v>2445</v>
      </c>
      <c r="C5018" s="420"/>
      <c r="D5018" s="420"/>
      <c r="E5018" s="420"/>
      <c r="F5018" s="16">
        <v>601000</v>
      </c>
      <c r="H5018" s="99"/>
    </row>
    <row r="5019" spans="1:12" x14ac:dyDescent="0.25">
      <c r="A5019" s="13" t="s">
        <v>1623</v>
      </c>
      <c r="B5019" s="14" t="s">
        <v>2447</v>
      </c>
      <c r="C5019" s="420"/>
      <c r="D5019" s="420"/>
      <c r="E5019" s="420"/>
      <c r="F5019" s="16">
        <v>250000</v>
      </c>
    </row>
    <row r="5020" spans="1:12" x14ac:dyDescent="0.25">
      <c r="C5020" s="420"/>
      <c r="D5020" s="420"/>
      <c r="E5020" s="420"/>
      <c r="H5020" s="99"/>
    </row>
    <row r="5021" spans="1:12" x14ac:dyDescent="0.25">
      <c r="B5021" s="17" t="s">
        <v>2449</v>
      </c>
      <c r="C5021" s="421"/>
      <c r="D5021" s="421"/>
      <c r="E5021" s="421"/>
      <c r="F5021" s="239">
        <f>F5016-(F5017+F5018+F5019)</f>
        <v>1369081</v>
      </c>
    </row>
    <row r="5022" spans="1:12" ht="409.5" x14ac:dyDescent="0.25">
      <c r="L5022" s="80" t="s">
        <v>2448</v>
      </c>
    </row>
    <row r="5023" spans="1:12" ht="15.75" thickBot="1" x14ac:dyDescent="0.3">
      <c r="F5023" s="16">
        <f>E5023*C5023</f>
        <v>0</v>
      </c>
    </row>
    <row r="5024" spans="1:12" x14ac:dyDescent="0.25">
      <c r="A5024" s="375" t="s">
        <v>0</v>
      </c>
      <c r="B5024" s="83" t="s">
        <v>1</v>
      </c>
      <c r="C5024" s="83" t="s">
        <v>2</v>
      </c>
      <c r="D5024" s="83" t="s">
        <v>3</v>
      </c>
      <c r="E5024" s="265" t="s">
        <v>4</v>
      </c>
      <c r="F5024" s="265" t="s">
        <v>5</v>
      </c>
    </row>
    <row r="5025" spans="1:38" x14ac:dyDescent="0.25">
      <c r="A5025" s="13" t="s">
        <v>1618</v>
      </c>
      <c r="B5025" s="14" t="s">
        <v>2452</v>
      </c>
      <c r="C5025" s="316">
        <v>1653.8</v>
      </c>
      <c r="D5025" s="15" t="s">
        <v>9</v>
      </c>
      <c r="E5025" s="16">
        <v>15</v>
      </c>
      <c r="F5025" s="16">
        <f>E5025*C5025</f>
        <v>24807</v>
      </c>
    </row>
    <row r="5026" spans="1:38" x14ac:dyDescent="0.25">
      <c r="A5026" s="13" t="s">
        <v>1620</v>
      </c>
      <c r="B5026" s="14" t="s">
        <v>2454</v>
      </c>
      <c r="C5026" s="316">
        <v>344.4</v>
      </c>
      <c r="D5026" s="15" t="s">
        <v>9</v>
      </c>
      <c r="E5026" s="16">
        <v>48</v>
      </c>
      <c r="F5026" s="16">
        <f t="shared" ref="F5026:F5064" si="102">E5026*C5026</f>
        <v>16531.199999999997</v>
      </c>
      <c r="L5026" s="364">
        <v>74.36</v>
      </c>
      <c r="M5026" s="365"/>
      <c r="N5026" s="364"/>
      <c r="O5026" s="364"/>
      <c r="P5026" s="364"/>
      <c r="Q5026" s="364"/>
      <c r="R5026" s="364"/>
      <c r="S5026" s="364"/>
      <c r="T5026" s="364"/>
    </row>
    <row r="5027" spans="1:38" x14ac:dyDescent="0.25">
      <c r="A5027" s="13" t="s">
        <v>1621</v>
      </c>
      <c r="B5027" s="14" t="s">
        <v>2456</v>
      </c>
      <c r="C5027" s="316">
        <v>427.3</v>
      </c>
      <c r="D5027" s="15" t="s">
        <v>9</v>
      </c>
      <c r="E5027" s="16">
        <v>140</v>
      </c>
      <c r="F5027" s="16">
        <f t="shared" si="102"/>
        <v>59822</v>
      </c>
      <c r="L5027" s="364"/>
      <c r="M5027" s="365"/>
      <c r="N5027" s="364"/>
      <c r="O5027" s="364"/>
      <c r="P5027" s="364"/>
      <c r="Q5027" s="364"/>
      <c r="R5027" s="364"/>
      <c r="S5027" s="364"/>
      <c r="T5027" s="364"/>
    </row>
    <row r="5028" spans="1:38" x14ac:dyDescent="0.25">
      <c r="A5028" s="13" t="s">
        <v>1623</v>
      </c>
      <c r="B5028" s="14" t="s">
        <v>2457</v>
      </c>
      <c r="C5028" s="377"/>
      <c r="D5028" s="377"/>
      <c r="E5028" s="378"/>
      <c r="L5028" s="364"/>
      <c r="M5028" s="365"/>
      <c r="N5028" s="364"/>
      <c r="O5028" s="364"/>
      <c r="P5028" s="364"/>
      <c r="Q5028" s="364"/>
      <c r="R5028" s="364"/>
      <c r="S5028" s="364"/>
      <c r="T5028" s="364"/>
    </row>
    <row r="5029" spans="1:38" x14ac:dyDescent="0.25">
      <c r="A5029" s="13" t="s">
        <v>1405</v>
      </c>
      <c r="B5029" s="14" t="s">
        <v>1761</v>
      </c>
      <c r="C5029" s="316">
        <v>52.56</v>
      </c>
      <c r="D5029" s="15" t="s">
        <v>9</v>
      </c>
      <c r="E5029" s="16">
        <v>130</v>
      </c>
      <c r="F5029" s="16">
        <f t="shared" si="102"/>
        <v>6832.8</v>
      </c>
      <c r="L5029" s="364"/>
      <c r="M5029" s="365"/>
      <c r="N5029" s="364"/>
      <c r="O5029" s="364"/>
      <c r="P5029" s="364"/>
      <c r="Q5029" s="364"/>
      <c r="R5029" s="364"/>
      <c r="S5029" s="364"/>
      <c r="T5029" s="364"/>
    </row>
    <row r="5030" spans="1:38" x14ac:dyDescent="0.25">
      <c r="A5030" s="13" t="s">
        <v>1406</v>
      </c>
      <c r="B5030" s="14" t="s">
        <v>2458</v>
      </c>
      <c r="C5030" s="316">
        <v>9</v>
      </c>
      <c r="D5030" s="15" t="s">
        <v>32</v>
      </c>
      <c r="E5030" s="16">
        <v>300</v>
      </c>
      <c r="F5030" s="16">
        <f t="shared" si="102"/>
        <v>2700</v>
      </c>
      <c r="L5030" s="364"/>
      <c r="M5030" s="365"/>
      <c r="N5030" s="364"/>
      <c r="O5030" s="364"/>
      <c r="P5030" s="364"/>
      <c r="Q5030" s="364"/>
      <c r="R5030" s="364"/>
      <c r="S5030" s="364"/>
      <c r="T5030" s="364"/>
    </row>
    <row r="5031" spans="1:38" x14ac:dyDescent="0.25">
      <c r="A5031" s="13" t="s">
        <v>1407</v>
      </c>
      <c r="B5031" s="14" t="s">
        <v>2459</v>
      </c>
      <c r="C5031" s="316">
        <v>13.14</v>
      </c>
      <c r="D5031" s="15" t="s">
        <v>32</v>
      </c>
      <c r="E5031" s="16">
        <v>300</v>
      </c>
      <c r="F5031" s="16">
        <f t="shared" si="102"/>
        <v>3942</v>
      </c>
      <c r="M5031" s="227"/>
      <c r="N5031" s="125"/>
      <c r="O5031" s="125"/>
      <c r="P5031" s="72"/>
      <c r="Q5031" s="72"/>
      <c r="R5031" s="72"/>
      <c r="S5031" s="72"/>
      <c r="T5031" s="125"/>
      <c r="U5031" s="125"/>
      <c r="V5031" s="125"/>
      <c r="W5031" s="125"/>
      <c r="X5031" s="125"/>
      <c r="Y5031" s="125"/>
      <c r="Z5031" s="125"/>
      <c r="AA5031" s="125"/>
      <c r="AB5031" s="125"/>
      <c r="AC5031" s="72"/>
      <c r="AD5031" s="72"/>
      <c r="AE5031" s="72"/>
      <c r="AF5031" s="72"/>
      <c r="AG5031" s="72"/>
      <c r="AH5031" s="72"/>
      <c r="AI5031" s="72"/>
      <c r="AJ5031" s="72"/>
      <c r="AK5031" s="72"/>
      <c r="AL5031" s="32"/>
    </row>
    <row r="5032" spans="1:38" x14ac:dyDescent="0.25">
      <c r="A5032" s="13" t="s">
        <v>2477</v>
      </c>
      <c r="B5032" s="14" t="s">
        <v>1790</v>
      </c>
      <c r="C5032" s="316">
        <v>49.6</v>
      </c>
      <c r="D5032" s="15" t="s">
        <v>1763</v>
      </c>
      <c r="E5032" s="16">
        <v>100</v>
      </c>
      <c r="F5032" s="16">
        <f t="shared" si="102"/>
        <v>4960</v>
      </c>
      <c r="M5032" s="227"/>
      <c r="N5032" s="366"/>
      <c r="O5032" s="366"/>
      <c r="P5032" s="367"/>
      <c r="Q5032" s="367"/>
      <c r="R5032" s="367"/>
      <c r="S5032" s="72"/>
      <c r="T5032" s="125"/>
      <c r="U5032" s="32"/>
      <c r="V5032" s="366"/>
      <c r="W5032" s="366"/>
      <c r="X5032" s="366"/>
      <c r="Y5032" s="366"/>
      <c r="Z5032" s="366"/>
      <c r="AA5032" s="366"/>
      <c r="AB5032" s="366"/>
      <c r="AC5032" s="367"/>
      <c r="AD5032" s="367"/>
      <c r="AE5032" s="367"/>
      <c r="AF5032" s="367"/>
      <c r="AG5032" s="367"/>
      <c r="AH5032" s="367"/>
      <c r="AI5032" s="367"/>
      <c r="AJ5032" s="367"/>
      <c r="AK5032" s="367"/>
      <c r="AL5032" s="72"/>
    </row>
    <row r="5033" spans="1:38" x14ac:dyDescent="0.25">
      <c r="A5033" s="13" t="s">
        <v>1631</v>
      </c>
      <c r="B5033" s="14" t="s">
        <v>2460</v>
      </c>
      <c r="C5033" s="378"/>
      <c r="D5033" s="378"/>
      <c r="E5033" s="378"/>
      <c r="L5033" s="33">
        <f>SUM(L5026:T5030)</f>
        <v>74.36</v>
      </c>
      <c r="M5033" s="369" t="s">
        <v>2451</v>
      </c>
      <c r="N5033" s="366"/>
      <c r="O5033" s="125"/>
      <c r="P5033" s="72"/>
      <c r="Q5033" s="72"/>
      <c r="R5033" s="367"/>
      <c r="S5033" s="72"/>
      <c r="T5033" s="125"/>
      <c r="U5033" s="366"/>
      <c r="V5033" s="125"/>
      <c r="W5033" s="125"/>
      <c r="X5033" s="125"/>
      <c r="Y5033" s="125"/>
      <c r="Z5033" s="125"/>
      <c r="AA5033" s="125"/>
      <c r="AB5033" s="125"/>
      <c r="AC5033" s="72"/>
      <c r="AD5033" s="72"/>
      <c r="AE5033" s="72"/>
      <c r="AF5033" s="72"/>
      <c r="AG5033" s="72"/>
      <c r="AH5033" s="72"/>
      <c r="AI5033" s="72"/>
      <c r="AJ5033" s="32"/>
      <c r="AK5033" s="367"/>
      <c r="AL5033" s="72"/>
    </row>
    <row r="5034" spans="1:38" x14ac:dyDescent="0.25">
      <c r="A5034" s="13" t="s">
        <v>1316</v>
      </c>
      <c r="B5034" s="14" t="s">
        <v>1761</v>
      </c>
      <c r="C5034" s="316">
        <v>61.89</v>
      </c>
      <c r="D5034" s="15" t="s">
        <v>9</v>
      </c>
      <c r="E5034" s="16">
        <v>130</v>
      </c>
      <c r="F5034" s="16">
        <f t="shared" si="102"/>
        <v>8045.7</v>
      </c>
      <c r="M5034" s="227"/>
      <c r="N5034" s="366"/>
      <c r="O5034" s="125"/>
      <c r="P5034" s="32"/>
      <c r="Q5034" s="366"/>
      <c r="R5034" s="125"/>
      <c r="S5034" s="366"/>
      <c r="T5034" s="125"/>
      <c r="U5034" s="366"/>
      <c r="V5034" s="125"/>
      <c r="W5034" s="32"/>
      <c r="X5034" s="366"/>
      <c r="Y5034" s="366"/>
      <c r="Z5034" s="366"/>
      <c r="AA5034" s="366"/>
      <c r="AB5034" s="366"/>
      <c r="AC5034" s="367"/>
      <c r="AD5034" s="367"/>
      <c r="AE5034" s="367"/>
      <c r="AF5034" s="367"/>
      <c r="AG5034" s="367"/>
      <c r="AH5034" s="367"/>
      <c r="AI5034" s="367"/>
      <c r="AJ5034" s="72"/>
      <c r="AK5034" s="367"/>
      <c r="AL5034" s="72"/>
    </row>
    <row r="5035" spans="1:38" x14ac:dyDescent="0.25">
      <c r="A5035" s="13" t="s">
        <v>1317</v>
      </c>
      <c r="B5035" s="14" t="s">
        <v>2461</v>
      </c>
      <c r="C5035" s="316">
        <v>18.63</v>
      </c>
      <c r="D5035" s="15" t="s">
        <v>32</v>
      </c>
      <c r="E5035" s="16">
        <v>300</v>
      </c>
      <c r="F5035" s="16">
        <f t="shared" si="102"/>
        <v>5589</v>
      </c>
      <c r="M5035" s="368"/>
      <c r="N5035" s="72"/>
      <c r="O5035" s="367"/>
      <c r="P5035" s="367"/>
      <c r="Q5035" s="366"/>
      <c r="R5035" s="125"/>
      <c r="S5035" s="366"/>
      <c r="T5035" s="125"/>
      <c r="U5035" s="366"/>
      <c r="V5035" s="125"/>
      <c r="W5035" s="366"/>
      <c r="X5035" s="125"/>
      <c r="Y5035" s="125"/>
      <c r="Z5035" s="125"/>
      <c r="AA5035" s="125"/>
      <c r="AB5035" s="125"/>
      <c r="AC5035" s="72"/>
      <c r="AD5035" s="72"/>
      <c r="AE5035" s="72"/>
      <c r="AF5035" s="72"/>
      <c r="AG5035" s="72"/>
      <c r="AH5035" s="32"/>
      <c r="AI5035" s="367"/>
      <c r="AJ5035" s="72"/>
      <c r="AK5035" s="367"/>
      <c r="AL5035" s="72"/>
    </row>
    <row r="5036" spans="1:38" x14ac:dyDescent="0.25">
      <c r="A5036" s="13" t="s">
        <v>1318</v>
      </c>
      <c r="B5036" s="14" t="s">
        <v>1790</v>
      </c>
      <c r="C5036" s="316">
        <v>53.4</v>
      </c>
      <c r="D5036" s="15" t="s">
        <v>1763</v>
      </c>
      <c r="E5036" s="16">
        <v>100</v>
      </c>
      <c r="F5036" s="16">
        <f t="shared" si="102"/>
        <v>5340</v>
      </c>
      <c r="M5036" s="368"/>
      <c r="N5036" s="72"/>
      <c r="O5036" s="72"/>
      <c r="P5036" s="72"/>
      <c r="Q5036" s="125"/>
      <c r="R5036" s="125"/>
      <c r="S5036" s="366"/>
      <c r="T5036" s="125"/>
      <c r="U5036" s="366"/>
      <c r="V5036" s="125"/>
      <c r="W5036" s="366"/>
      <c r="X5036" s="125"/>
      <c r="Y5036" s="32"/>
      <c r="Z5036" s="366"/>
      <c r="AA5036" s="366"/>
      <c r="AB5036" s="366"/>
      <c r="AC5036" s="367"/>
      <c r="AD5036" s="367"/>
      <c r="AE5036" s="367"/>
      <c r="AF5036" s="367"/>
      <c r="AG5036" s="367"/>
      <c r="AH5036" s="72"/>
      <c r="AI5036" s="367"/>
      <c r="AJ5036" s="72"/>
      <c r="AK5036" s="367"/>
      <c r="AL5036" s="72"/>
    </row>
    <row r="5037" spans="1:38" x14ac:dyDescent="0.25">
      <c r="A5037" s="13" t="s">
        <v>1632</v>
      </c>
      <c r="B5037" s="14" t="s">
        <v>2462</v>
      </c>
      <c r="C5037" s="378"/>
      <c r="D5037" s="378"/>
      <c r="E5037" s="378"/>
      <c r="M5037" s="368"/>
      <c r="N5037" s="367"/>
      <c r="O5037" s="367"/>
      <c r="P5037" s="367"/>
      <c r="Q5037" s="366"/>
      <c r="R5037" s="366"/>
      <c r="S5037" s="366"/>
      <c r="T5037" s="125"/>
      <c r="U5037" s="366"/>
      <c r="V5037" s="125"/>
      <c r="W5037" s="366"/>
      <c r="X5037" s="125"/>
      <c r="Y5037" s="366"/>
      <c r="Z5037" s="125"/>
      <c r="AA5037" s="125"/>
      <c r="AB5037" s="125"/>
      <c r="AC5037" s="72"/>
      <c r="AD5037" s="72"/>
      <c r="AE5037" s="72"/>
      <c r="AF5037" s="32"/>
      <c r="AG5037" s="367"/>
      <c r="AH5037" s="72"/>
      <c r="AI5037" s="367"/>
      <c r="AJ5037" s="72"/>
      <c r="AK5037" s="367"/>
      <c r="AL5037" s="72"/>
    </row>
    <row r="5038" spans="1:38" x14ac:dyDescent="0.25">
      <c r="A5038" s="13" t="s">
        <v>1321</v>
      </c>
      <c r="B5038" s="14" t="s">
        <v>1761</v>
      </c>
      <c r="C5038" s="316">
        <v>18.2</v>
      </c>
      <c r="D5038" s="15" t="s">
        <v>9</v>
      </c>
      <c r="E5038" s="16">
        <v>130</v>
      </c>
      <c r="F5038" s="16">
        <f t="shared" si="102"/>
        <v>2366</v>
      </c>
      <c r="T5038" s="125"/>
      <c r="U5038" s="366"/>
      <c r="V5038" s="125"/>
      <c r="W5038" s="366"/>
      <c r="X5038" s="125"/>
      <c r="Y5038" s="366"/>
      <c r="Z5038" s="125"/>
      <c r="AA5038" s="32"/>
      <c r="AB5038" s="366"/>
      <c r="AC5038" s="367"/>
      <c r="AD5038" s="367"/>
      <c r="AE5038" s="367"/>
      <c r="AF5038" s="72"/>
      <c r="AG5038" s="367"/>
      <c r="AH5038" s="72"/>
      <c r="AI5038" s="367"/>
      <c r="AJ5038" s="72"/>
      <c r="AK5038" s="367"/>
      <c r="AL5038" s="72"/>
    </row>
    <row r="5039" spans="1:38" x14ac:dyDescent="0.25">
      <c r="A5039" s="13" t="s">
        <v>1325</v>
      </c>
      <c r="B5039" s="14" t="s">
        <v>2461</v>
      </c>
      <c r="C5039" s="316">
        <v>5.4</v>
      </c>
      <c r="D5039" s="15" t="s">
        <v>32</v>
      </c>
      <c r="E5039" s="16">
        <v>300</v>
      </c>
      <c r="F5039" s="16">
        <f t="shared" si="102"/>
        <v>1620</v>
      </c>
      <c r="T5039" s="125"/>
      <c r="U5039" s="366"/>
      <c r="V5039" s="125"/>
      <c r="W5039" s="366"/>
      <c r="X5039" s="125"/>
      <c r="Y5039" s="366"/>
      <c r="Z5039" s="125"/>
      <c r="AA5039" s="366"/>
      <c r="AB5039" s="125"/>
      <c r="AC5039" s="72"/>
      <c r="AD5039" s="32"/>
      <c r="AE5039" s="367"/>
      <c r="AF5039" s="72"/>
      <c r="AG5039" s="367"/>
      <c r="AH5039" s="72"/>
      <c r="AI5039" s="367"/>
      <c r="AJ5039" s="72"/>
      <c r="AK5039" s="367"/>
      <c r="AL5039" s="72"/>
    </row>
    <row r="5040" spans="1:38" x14ac:dyDescent="0.25">
      <c r="A5040" s="13" t="s">
        <v>1343</v>
      </c>
      <c r="B5040" s="14" t="s">
        <v>1790</v>
      </c>
      <c r="C5040" s="316">
        <v>18</v>
      </c>
      <c r="D5040" s="15" t="s">
        <v>1763</v>
      </c>
      <c r="E5040" s="16">
        <v>100</v>
      </c>
      <c r="F5040" s="16">
        <f t="shared" si="102"/>
        <v>1800</v>
      </c>
      <c r="T5040" s="125"/>
      <c r="U5040" s="366"/>
      <c r="V5040" s="125"/>
      <c r="W5040" s="366"/>
      <c r="X5040" s="125"/>
      <c r="Y5040" s="366"/>
      <c r="Z5040" s="125"/>
      <c r="AA5040" s="366"/>
      <c r="AB5040" s="125"/>
      <c r="AC5040" s="32"/>
      <c r="AD5040" s="370"/>
      <c r="AE5040" s="125"/>
      <c r="AF5040" s="370"/>
      <c r="AG5040" s="125"/>
      <c r="AH5040" s="370"/>
      <c r="AI5040" s="125"/>
      <c r="AJ5040" s="370"/>
      <c r="AK5040" s="125"/>
      <c r="AL5040" s="370"/>
    </row>
    <row r="5041" spans="1:38" x14ac:dyDescent="0.25">
      <c r="A5041" s="13" t="s">
        <v>1633</v>
      </c>
      <c r="B5041" s="14" t="s">
        <v>2463</v>
      </c>
      <c r="C5041" s="377"/>
      <c r="D5041" s="377"/>
      <c r="E5041" s="378"/>
      <c r="T5041" s="367"/>
      <c r="U5041" s="72"/>
      <c r="V5041" s="367"/>
      <c r="W5041" s="72"/>
      <c r="X5041" s="367"/>
      <c r="Y5041" s="72"/>
      <c r="Z5041" s="367"/>
      <c r="AA5041" s="72"/>
      <c r="AB5041" s="32"/>
      <c r="AC5041" s="367"/>
      <c r="AD5041" s="370"/>
      <c r="AE5041" s="125"/>
      <c r="AF5041" s="370"/>
      <c r="AG5041" s="125"/>
      <c r="AH5041" s="370"/>
      <c r="AI5041" s="125"/>
      <c r="AJ5041" s="370"/>
      <c r="AK5041" s="125"/>
      <c r="AL5041" s="370"/>
    </row>
    <row r="5042" spans="1:38" x14ac:dyDescent="0.25">
      <c r="A5042" s="13" t="s">
        <v>1355</v>
      </c>
      <c r="B5042" s="14" t="s">
        <v>1761</v>
      </c>
      <c r="C5042" s="316">
        <v>14.6</v>
      </c>
      <c r="D5042" s="15" t="s">
        <v>9</v>
      </c>
      <c r="E5042" s="16">
        <v>130</v>
      </c>
      <c r="F5042" s="16">
        <f t="shared" si="102"/>
        <v>1898</v>
      </c>
      <c r="M5042" s="227"/>
      <c r="T5042" s="367"/>
      <c r="U5042" s="72"/>
      <c r="V5042" s="367"/>
      <c r="W5042" s="72"/>
      <c r="X5042" s="367"/>
      <c r="Y5042" s="72"/>
      <c r="Z5042" s="367"/>
      <c r="AA5042" s="72"/>
      <c r="AB5042" s="72"/>
      <c r="AC5042" s="72"/>
      <c r="AD5042" s="125"/>
      <c r="AE5042" s="32"/>
      <c r="AF5042" s="370"/>
      <c r="AG5042" s="125"/>
      <c r="AH5042" s="370"/>
      <c r="AI5042" s="125"/>
      <c r="AJ5042" s="370"/>
      <c r="AK5042" s="125"/>
      <c r="AL5042" s="370"/>
    </row>
    <row r="5043" spans="1:38" x14ac:dyDescent="0.25">
      <c r="A5043" s="13" t="s">
        <v>1359</v>
      </c>
      <c r="B5043" s="14" t="s">
        <v>2461</v>
      </c>
      <c r="C5043" s="316">
        <v>4.2</v>
      </c>
      <c r="D5043" s="15" t="s">
        <v>32</v>
      </c>
      <c r="E5043" s="16">
        <v>300</v>
      </c>
      <c r="F5043" s="16">
        <f t="shared" si="102"/>
        <v>1260</v>
      </c>
      <c r="T5043" s="367"/>
      <c r="U5043" s="72"/>
      <c r="V5043" s="367"/>
      <c r="W5043" s="72"/>
      <c r="X5043" s="367"/>
      <c r="Y5043" s="72"/>
      <c r="Z5043" s="32"/>
      <c r="AA5043" s="367"/>
      <c r="AB5043" s="367"/>
      <c r="AC5043" s="367"/>
      <c r="AD5043" s="370"/>
      <c r="AE5043" s="370"/>
      <c r="AF5043" s="370"/>
      <c r="AG5043" s="125"/>
      <c r="AH5043" s="370"/>
      <c r="AI5043" s="125"/>
      <c r="AJ5043" s="370"/>
      <c r="AK5043" s="125"/>
      <c r="AL5043" s="370"/>
    </row>
    <row r="5044" spans="1:38" x14ac:dyDescent="0.25">
      <c r="A5044" s="13" t="s">
        <v>1363</v>
      </c>
      <c r="B5044" s="14" t="s">
        <v>1790</v>
      </c>
      <c r="C5044" s="316">
        <v>14</v>
      </c>
      <c r="D5044" s="15" t="s">
        <v>1763</v>
      </c>
      <c r="E5044" s="16">
        <v>100</v>
      </c>
      <c r="F5044" s="16">
        <f t="shared" si="102"/>
        <v>1400</v>
      </c>
      <c r="T5044" s="367"/>
      <c r="U5044" s="72"/>
      <c r="V5044" s="367"/>
      <c r="W5044" s="72"/>
      <c r="X5044" s="367"/>
      <c r="Y5044" s="72"/>
      <c r="Z5044" s="72"/>
      <c r="AA5044" s="72"/>
      <c r="AB5044" s="72"/>
      <c r="AC5044" s="72"/>
      <c r="AD5044" s="125"/>
      <c r="AE5044" s="125"/>
      <c r="AF5044" s="125"/>
      <c r="AG5044" s="32"/>
      <c r="AH5044" s="370"/>
      <c r="AI5044" s="125"/>
      <c r="AJ5044" s="370"/>
      <c r="AK5044" s="125"/>
      <c r="AL5044" s="370"/>
    </row>
    <row r="5045" spans="1:38" x14ac:dyDescent="0.25">
      <c r="A5045" s="13" t="s">
        <v>1634</v>
      </c>
      <c r="B5045" s="14" t="s">
        <v>1034</v>
      </c>
      <c r="C5045" s="316">
        <v>62.16</v>
      </c>
      <c r="D5045" s="15" t="s">
        <v>32</v>
      </c>
      <c r="E5045" s="16">
        <v>300</v>
      </c>
      <c r="F5045" s="16">
        <f t="shared" si="102"/>
        <v>18648</v>
      </c>
      <c r="T5045" s="367"/>
      <c r="U5045" s="72"/>
      <c r="V5045" s="367"/>
      <c r="W5045" s="72"/>
      <c r="X5045" s="72"/>
      <c r="Y5045" s="72"/>
      <c r="Z5045" s="72"/>
      <c r="AA5045" s="72"/>
      <c r="AB5045" s="72"/>
      <c r="AC5045" s="72"/>
      <c r="AD5045" s="125"/>
      <c r="AE5045" s="125"/>
      <c r="AF5045" s="125"/>
      <c r="AG5045" s="125"/>
      <c r="AH5045" s="125"/>
      <c r="AI5045" s="32"/>
      <c r="AJ5045" s="370"/>
      <c r="AK5045" s="125"/>
      <c r="AL5045" s="370"/>
    </row>
    <row r="5046" spans="1:38" x14ac:dyDescent="0.25">
      <c r="A5046" s="13" t="s">
        <v>1635</v>
      </c>
      <c r="B5046" s="14" t="s">
        <v>2465</v>
      </c>
      <c r="C5046" s="316">
        <v>20</v>
      </c>
      <c r="D5046" s="15" t="s">
        <v>32</v>
      </c>
      <c r="E5046" s="16">
        <v>300</v>
      </c>
      <c r="F5046" s="16">
        <f t="shared" si="102"/>
        <v>6000</v>
      </c>
      <c r="L5046" s="371">
        <v>144.30000000000001</v>
      </c>
      <c r="M5046" s="372">
        <v>118.8</v>
      </c>
      <c r="N5046" s="371"/>
      <c r="O5046" s="371"/>
      <c r="P5046" s="371"/>
      <c r="Q5046" s="371"/>
      <c r="R5046" s="371"/>
      <c r="S5046" s="371"/>
      <c r="T5046" s="367"/>
      <c r="U5046" s="72"/>
      <c r="V5046" s="32"/>
      <c r="W5046" s="367"/>
      <c r="X5046" s="367"/>
      <c r="Y5046" s="367"/>
      <c r="Z5046" s="367"/>
      <c r="AA5046" s="367"/>
      <c r="AB5046" s="367"/>
      <c r="AC5046" s="367"/>
      <c r="AD5046" s="370"/>
      <c r="AE5046" s="370"/>
      <c r="AF5046" s="370"/>
      <c r="AG5046" s="370"/>
      <c r="AH5046" s="370"/>
      <c r="AI5046" s="370"/>
      <c r="AJ5046" s="370"/>
      <c r="AK5046" s="125"/>
      <c r="AL5046" s="370"/>
    </row>
    <row r="5047" spans="1:38" x14ac:dyDescent="0.25">
      <c r="A5047" s="13" t="s">
        <v>1385</v>
      </c>
      <c r="B5047" s="14" t="s">
        <v>2466</v>
      </c>
      <c r="C5047" s="316">
        <v>80</v>
      </c>
      <c r="D5047" s="15" t="s">
        <v>9</v>
      </c>
      <c r="E5047" s="16">
        <v>75</v>
      </c>
      <c r="F5047" s="16">
        <f t="shared" si="102"/>
        <v>6000</v>
      </c>
      <c r="L5047" s="371">
        <v>76</v>
      </c>
      <c r="M5047" s="372">
        <v>43.2</v>
      </c>
      <c r="N5047" s="371"/>
      <c r="O5047" s="371"/>
      <c r="P5047" s="371"/>
      <c r="Q5047" s="371"/>
      <c r="R5047" s="371"/>
      <c r="S5047" s="371"/>
      <c r="T5047" s="367"/>
      <c r="U5047" s="72"/>
      <c r="V5047" s="72"/>
      <c r="W5047" s="72"/>
      <c r="X5047" s="72"/>
      <c r="Y5047" s="72"/>
      <c r="Z5047" s="72"/>
      <c r="AA5047" s="72"/>
      <c r="AB5047" s="72"/>
      <c r="AC5047" s="72"/>
      <c r="AD5047" s="125"/>
      <c r="AE5047" s="125"/>
      <c r="AF5047" s="125"/>
      <c r="AG5047" s="125"/>
      <c r="AH5047" s="125"/>
      <c r="AI5047" s="125"/>
      <c r="AJ5047" s="125"/>
      <c r="AK5047" s="32"/>
      <c r="AL5047" s="370"/>
    </row>
    <row r="5048" spans="1:38" x14ac:dyDescent="0.25">
      <c r="A5048" s="13" t="s">
        <v>1398</v>
      </c>
      <c r="B5048" s="14" t="s">
        <v>2467</v>
      </c>
      <c r="C5048" s="316">
        <v>57.2</v>
      </c>
      <c r="D5048" s="15" t="s">
        <v>32</v>
      </c>
      <c r="E5048" s="16">
        <v>300</v>
      </c>
      <c r="F5048" s="16">
        <f t="shared" si="102"/>
        <v>17160</v>
      </c>
      <c r="L5048" s="371">
        <v>73.599999999999994</v>
      </c>
      <c r="M5048" s="372"/>
      <c r="N5048" s="371"/>
      <c r="O5048" s="371"/>
      <c r="P5048" s="371"/>
      <c r="Q5048" s="371"/>
      <c r="R5048" s="371"/>
      <c r="S5048" s="371"/>
      <c r="T5048" s="32"/>
      <c r="U5048" s="367"/>
      <c r="V5048" s="367"/>
      <c r="W5048" s="367"/>
      <c r="X5048" s="367"/>
      <c r="Y5048" s="367"/>
      <c r="Z5048" s="367"/>
      <c r="AA5048" s="367"/>
      <c r="AB5048" s="367"/>
      <c r="AC5048" s="367"/>
      <c r="AD5048" s="370"/>
      <c r="AE5048" s="370"/>
      <c r="AF5048" s="370"/>
      <c r="AG5048" s="370"/>
      <c r="AH5048" s="370"/>
      <c r="AI5048" s="370"/>
      <c r="AJ5048" s="370"/>
      <c r="AK5048" s="370"/>
      <c r="AL5048" s="370"/>
    </row>
    <row r="5049" spans="1:38" ht="30" x14ac:dyDescent="0.25">
      <c r="A5049" s="13" t="s">
        <v>1637</v>
      </c>
      <c r="B5049" s="14" t="s">
        <v>1876</v>
      </c>
      <c r="C5049" s="316">
        <v>941.06</v>
      </c>
      <c r="D5049" s="15" t="s">
        <v>9</v>
      </c>
      <c r="E5049" s="16">
        <v>80</v>
      </c>
      <c r="F5049" s="16">
        <f t="shared" si="102"/>
        <v>75284.799999999988</v>
      </c>
      <c r="L5049" s="371">
        <v>110.4</v>
      </c>
      <c r="M5049" s="372"/>
      <c r="N5049" s="371"/>
      <c r="O5049" s="371"/>
      <c r="P5049" s="371"/>
      <c r="Q5049" s="371"/>
      <c r="R5049" s="371"/>
      <c r="S5049" s="371"/>
    </row>
    <row r="5050" spans="1:38" x14ac:dyDescent="0.25">
      <c r="A5050" s="13" t="s">
        <v>1660</v>
      </c>
      <c r="B5050" s="14" t="s">
        <v>2474</v>
      </c>
      <c r="C5050" s="316">
        <v>1389.39</v>
      </c>
      <c r="D5050" s="15" t="s">
        <v>9</v>
      </c>
      <c r="E5050" s="16">
        <v>150</v>
      </c>
      <c r="F5050" s="16">
        <f t="shared" si="102"/>
        <v>208408.50000000003</v>
      </c>
      <c r="L5050" s="371">
        <v>43.2</v>
      </c>
      <c r="M5050" s="372"/>
      <c r="N5050" s="371"/>
      <c r="O5050" s="371"/>
      <c r="P5050" s="371"/>
      <c r="Q5050" s="371"/>
      <c r="R5050" s="371"/>
      <c r="S5050" s="371"/>
    </row>
    <row r="5051" spans="1:38" x14ac:dyDescent="0.25">
      <c r="A5051" s="13" t="s">
        <v>1661</v>
      </c>
      <c r="B5051" s="14" t="s">
        <v>2475</v>
      </c>
      <c r="C5051" s="316">
        <v>705.38</v>
      </c>
      <c r="D5051" s="15" t="s">
        <v>9</v>
      </c>
      <c r="E5051" s="16">
        <v>75</v>
      </c>
      <c r="F5051" s="16">
        <f t="shared" si="102"/>
        <v>52903.5</v>
      </c>
      <c r="L5051" s="371">
        <v>50.6</v>
      </c>
      <c r="M5051" s="372"/>
      <c r="N5051" s="371"/>
      <c r="O5051" s="371"/>
      <c r="P5051" s="371"/>
      <c r="Q5051" s="371"/>
      <c r="R5051" s="371"/>
      <c r="S5051" s="371"/>
    </row>
    <row r="5052" spans="1:38" x14ac:dyDescent="0.25">
      <c r="A5052" s="13" t="s">
        <v>1662</v>
      </c>
      <c r="B5052" s="14" t="s">
        <v>2476</v>
      </c>
      <c r="C5052" s="316">
        <v>538</v>
      </c>
      <c r="D5052" s="15" t="s">
        <v>9</v>
      </c>
      <c r="E5052" s="16">
        <v>75</v>
      </c>
      <c r="F5052" s="16">
        <f t="shared" si="102"/>
        <v>40350</v>
      </c>
      <c r="L5052" s="371"/>
      <c r="M5052" s="372"/>
      <c r="N5052" s="371"/>
      <c r="O5052" s="371"/>
      <c r="P5052" s="371"/>
      <c r="Q5052" s="371"/>
      <c r="R5052" s="371"/>
      <c r="S5052" s="371"/>
    </row>
    <row r="5053" spans="1:38" x14ac:dyDescent="0.25">
      <c r="A5053" s="13" t="s">
        <v>1663</v>
      </c>
      <c r="B5053" s="14" t="s">
        <v>2468</v>
      </c>
      <c r="C5053" s="316">
        <v>123.6</v>
      </c>
      <c r="D5053" s="15" t="s">
        <v>33</v>
      </c>
      <c r="E5053" s="16">
        <v>60</v>
      </c>
      <c r="F5053" s="16">
        <f t="shared" si="102"/>
        <v>7416</v>
      </c>
      <c r="L5053" s="371">
        <v>22.8</v>
      </c>
      <c r="M5053" s="372"/>
      <c r="N5053" s="371"/>
      <c r="O5053" s="371"/>
      <c r="P5053" s="371"/>
      <c r="Q5053" s="371"/>
      <c r="R5053" s="371"/>
      <c r="S5053" s="371"/>
    </row>
    <row r="5054" spans="1:38" x14ac:dyDescent="0.25">
      <c r="A5054" s="13" t="s">
        <v>1664</v>
      </c>
      <c r="B5054" s="14" t="s">
        <v>2469</v>
      </c>
      <c r="C5054" s="316">
        <v>84.6</v>
      </c>
      <c r="D5054" s="15" t="s">
        <v>33</v>
      </c>
      <c r="E5054" s="16">
        <v>60</v>
      </c>
      <c r="F5054" s="16">
        <f t="shared" si="102"/>
        <v>5076</v>
      </c>
    </row>
    <row r="5055" spans="1:38" x14ac:dyDescent="0.25">
      <c r="A5055" s="13" t="s">
        <v>1665</v>
      </c>
      <c r="B5055" s="14" t="s">
        <v>2472</v>
      </c>
      <c r="C5055" s="316">
        <v>126.25</v>
      </c>
      <c r="D5055" s="15" t="s">
        <v>32</v>
      </c>
      <c r="E5055" s="16">
        <v>300</v>
      </c>
      <c r="F5055" s="16">
        <f t="shared" si="102"/>
        <v>37875</v>
      </c>
      <c r="L5055" s="373">
        <f>SUM(L5046:S5053)</f>
        <v>682.9</v>
      </c>
      <c r="M5055" s="374" t="s">
        <v>772</v>
      </c>
    </row>
    <row r="5056" spans="1:38" ht="30" x14ac:dyDescent="0.25">
      <c r="A5056" s="13" t="s">
        <v>1666</v>
      </c>
      <c r="B5056" s="14" t="s">
        <v>2473</v>
      </c>
      <c r="C5056" s="316">
        <v>682.9</v>
      </c>
      <c r="D5056" s="15" t="s">
        <v>9</v>
      </c>
      <c r="E5056" s="16">
        <v>80</v>
      </c>
      <c r="F5056" s="16">
        <f t="shared" si="102"/>
        <v>54632</v>
      </c>
      <c r="H5056" s="99" t="e">
        <f>#REF!</f>
        <v>#REF!</v>
      </c>
    </row>
    <row r="5057" spans="1:6" x14ac:dyDescent="0.25">
      <c r="A5057" s="13" t="s">
        <v>1667</v>
      </c>
      <c r="B5057" s="376" t="s">
        <v>1798</v>
      </c>
      <c r="C5057" s="316">
        <v>233</v>
      </c>
      <c r="D5057" s="15" t="s">
        <v>33</v>
      </c>
      <c r="E5057" s="16">
        <v>280</v>
      </c>
      <c r="F5057" s="16">
        <f t="shared" si="102"/>
        <v>65240</v>
      </c>
    </row>
    <row r="5058" spans="1:6" x14ac:dyDescent="0.25">
      <c r="A5058" s="13" t="s">
        <v>1668</v>
      </c>
      <c r="B5058" s="376" t="s">
        <v>1799</v>
      </c>
      <c r="C5058" s="316">
        <v>233</v>
      </c>
      <c r="D5058" s="15" t="s">
        <v>33</v>
      </c>
      <c r="E5058" s="16">
        <v>280</v>
      </c>
      <c r="F5058" s="16">
        <f t="shared" si="102"/>
        <v>65240</v>
      </c>
    </row>
    <row r="5059" spans="1:6" x14ac:dyDescent="0.25">
      <c r="A5059" s="13" t="s">
        <v>1669</v>
      </c>
      <c r="B5059" s="27" t="s">
        <v>2470</v>
      </c>
      <c r="C5059" s="25">
        <v>1</v>
      </c>
      <c r="D5059" s="25" t="s">
        <v>407</v>
      </c>
      <c r="E5059" s="259">
        <v>35000</v>
      </c>
      <c r="F5059" s="16">
        <f t="shared" si="102"/>
        <v>35000</v>
      </c>
    </row>
    <row r="5060" spans="1:6" x14ac:dyDescent="0.25">
      <c r="A5060" s="13" t="s">
        <v>1670</v>
      </c>
      <c r="B5060" s="27" t="s">
        <v>2471</v>
      </c>
      <c r="C5060" s="25">
        <v>1</v>
      </c>
      <c r="D5060" s="25" t="s">
        <v>407</v>
      </c>
      <c r="E5060" s="259">
        <v>32000</v>
      </c>
      <c r="F5060" s="16">
        <f t="shared" si="102"/>
        <v>32000</v>
      </c>
    </row>
    <row r="5061" spans="1:6" x14ac:dyDescent="0.25">
      <c r="A5061" s="13" t="s">
        <v>1671</v>
      </c>
      <c r="B5061" s="14" t="s">
        <v>2450</v>
      </c>
      <c r="C5061" s="316">
        <v>1</v>
      </c>
      <c r="D5061" s="15" t="s">
        <v>407</v>
      </c>
      <c r="E5061" s="16">
        <v>77500</v>
      </c>
      <c r="F5061" s="16">
        <f t="shared" si="102"/>
        <v>77500</v>
      </c>
    </row>
    <row r="5062" spans="1:6" x14ac:dyDescent="0.25">
      <c r="A5062" s="13" t="s">
        <v>1672</v>
      </c>
      <c r="B5062" s="14" t="s">
        <v>2453</v>
      </c>
      <c r="C5062" s="316">
        <v>1</v>
      </c>
      <c r="D5062" s="15" t="s">
        <v>11</v>
      </c>
      <c r="E5062" s="16">
        <v>26000</v>
      </c>
      <c r="F5062" s="16">
        <f t="shared" si="102"/>
        <v>26000</v>
      </c>
    </row>
    <row r="5063" spans="1:6" x14ac:dyDescent="0.25">
      <c r="A5063" s="13" t="s">
        <v>1673</v>
      </c>
      <c r="B5063" s="14" t="s">
        <v>2455</v>
      </c>
      <c r="C5063" s="316">
        <v>1</v>
      </c>
      <c r="D5063" s="15" t="s">
        <v>407</v>
      </c>
      <c r="E5063" s="16">
        <v>24500</v>
      </c>
      <c r="F5063" s="16">
        <f t="shared" si="102"/>
        <v>24500</v>
      </c>
    </row>
    <row r="5064" spans="1:6" x14ac:dyDescent="0.25">
      <c r="A5064" s="13" t="s">
        <v>1692</v>
      </c>
      <c r="B5064" s="14" t="s">
        <v>2464</v>
      </c>
      <c r="C5064" s="316">
        <v>1</v>
      </c>
      <c r="D5064" s="15" t="s">
        <v>407</v>
      </c>
      <c r="E5064" s="16">
        <v>13000</v>
      </c>
      <c r="F5064" s="16">
        <f t="shared" si="102"/>
        <v>13000</v>
      </c>
    </row>
    <row r="5065" spans="1:6" x14ac:dyDescent="0.25">
      <c r="A5065" s="13" t="s">
        <v>1826</v>
      </c>
      <c r="B5065" s="14" t="s">
        <v>2455</v>
      </c>
      <c r="C5065" s="316">
        <v>1</v>
      </c>
      <c r="D5065" s="15" t="s">
        <v>407</v>
      </c>
      <c r="E5065" s="16">
        <v>24500</v>
      </c>
      <c r="F5065" s="16">
        <f>E5065*C5065</f>
        <v>24500</v>
      </c>
    </row>
    <row r="5067" spans="1:6" x14ac:dyDescent="0.25">
      <c r="B5067" s="17" t="s">
        <v>224</v>
      </c>
      <c r="C5067" s="31"/>
      <c r="D5067" s="18"/>
      <c r="E5067" s="239"/>
      <c r="F5067" s="239">
        <f>SUM(F5025:F5065)</f>
        <v>1041647.5</v>
      </c>
    </row>
    <row r="5069" spans="1:6" x14ac:dyDescent="0.25">
      <c r="F5069" s="16">
        <f>E5069*C5069</f>
        <v>0</v>
      </c>
    </row>
    <row r="5070" spans="1:6" x14ac:dyDescent="0.25">
      <c r="F5070" s="16">
        <f>E5070*C5070</f>
        <v>0</v>
      </c>
    </row>
    <row r="5074" spans="1:21" ht="15.75" thickBot="1" x14ac:dyDescent="0.3"/>
    <row r="5075" spans="1:21" x14ac:dyDescent="0.25">
      <c r="A5075" s="375" t="s">
        <v>0</v>
      </c>
      <c r="B5075" s="83" t="s">
        <v>1</v>
      </c>
      <c r="C5075" s="83" t="s">
        <v>2</v>
      </c>
      <c r="D5075" s="83" t="s">
        <v>3</v>
      </c>
      <c r="E5075" s="265" t="s">
        <v>4</v>
      </c>
      <c r="F5075" s="265" t="s">
        <v>5</v>
      </c>
    </row>
    <row r="5076" spans="1:21" ht="75" x14ac:dyDescent="0.25">
      <c r="A5076" s="13" t="s">
        <v>1618</v>
      </c>
      <c r="B5076" s="14" t="s">
        <v>2479</v>
      </c>
      <c r="C5076" s="316">
        <v>1</v>
      </c>
      <c r="D5076" s="15" t="s">
        <v>407</v>
      </c>
      <c r="E5076" s="16">
        <v>442000</v>
      </c>
      <c r="F5076" s="16">
        <f>E5076*C5076</f>
        <v>442000</v>
      </c>
      <c r="M5076" s="215" t="s">
        <v>2478</v>
      </c>
    </row>
    <row r="5078" spans="1:21" x14ac:dyDescent="0.25">
      <c r="B5078" s="17" t="s">
        <v>10</v>
      </c>
      <c r="C5078" s="31"/>
      <c r="D5078" s="18"/>
      <c r="E5078" s="239"/>
      <c r="F5078" s="239">
        <f>F5076</f>
        <v>442000</v>
      </c>
    </row>
    <row r="5079" spans="1:21" x14ac:dyDescent="0.25">
      <c r="A5079" s="19"/>
      <c r="B5079" s="20"/>
      <c r="C5079" s="320"/>
      <c r="D5079" s="21"/>
      <c r="E5079" s="243"/>
      <c r="F5079" s="243"/>
    </row>
    <row r="5080" spans="1:21" x14ac:dyDescent="0.25">
      <c r="A5080" s="28" t="s">
        <v>0</v>
      </c>
      <c r="B5080" s="28" t="s">
        <v>1</v>
      </c>
      <c r="C5080" s="28" t="s">
        <v>2</v>
      </c>
      <c r="D5080" s="28" t="s">
        <v>3</v>
      </c>
      <c r="E5080" s="262" t="s">
        <v>4</v>
      </c>
      <c r="F5080" s="262" t="s">
        <v>5</v>
      </c>
    </row>
    <row r="5081" spans="1:21" ht="90" x14ac:dyDescent="0.25">
      <c r="A5081" s="13" t="s">
        <v>1618</v>
      </c>
      <c r="B5081" s="14" t="s">
        <v>2495</v>
      </c>
      <c r="C5081" s="316">
        <v>1</v>
      </c>
      <c r="D5081" s="15" t="s">
        <v>11</v>
      </c>
      <c r="E5081" s="16">
        <v>35000</v>
      </c>
      <c r="F5081" s="16">
        <f>E5081*C5081</f>
        <v>35000</v>
      </c>
    </row>
    <row r="5082" spans="1:21" ht="60" x14ac:dyDescent="0.25">
      <c r="A5082" s="13" t="s">
        <v>1620</v>
      </c>
      <c r="B5082" s="14" t="s">
        <v>2496</v>
      </c>
      <c r="C5082" s="316">
        <v>4</v>
      </c>
      <c r="D5082" s="15" t="s">
        <v>33</v>
      </c>
      <c r="E5082" s="16">
        <v>2600</v>
      </c>
      <c r="F5082" s="16">
        <f>E5082*C5082</f>
        <v>10400</v>
      </c>
    </row>
    <row r="5083" spans="1:21" x14ac:dyDescent="0.25">
      <c r="A5083" s="13" t="s">
        <v>1621</v>
      </c>
      <c r="B5083" s="14" t="s">
        <v>2493</v>
      </c>
      <c r="C5083" s="316">
        <v>1</v>
      </c>
      <c r="D5083" s="15" t="s">
        <v>11</v>
      </c>
      <c r="E5083" s="16">
        <v>22000</v>
      </c>
      <c r="F5083" s="16">
        <f>E5083*C5083</f>
        <v>22000</v>
      </c>
    </row>
    <row r="5084" spans="1:21" ht="75" x14ac:dyDescent="0.25">
      <c r="A5084" s="13" t="s">
        <v>1623</v>
      </c>
      <c r="B5084" s="381" t="s">
        <v>2494</v>
      </c>
      <c r="C5084" s="316">
        <v>45</v>
      </c>
      <c r="D5084" s="15" t="s">
        <v>33</v>
      </c>
      <c r="E5084" s="16">
        <v>8324</v>
      </c>
      <c r="F5084" s="16">
        <f>E5084*C5084</f>
        <v>374580</v>
      </c>
    </row>
    <row r="5086" spans="1:21" x14ac:dyDescent="0.25">
      <c r="F5086" s="16">
        <f>SUM(F5081:F5084)</f>
        <v>441980</v>
      </c>
    </row>
    <row r="5087" spans="1:21" ht="15.75" thickBot="1" x14ac:dyDescent="0.3"/>
    <row r="5088" spans="1:21" ht="15.75" thickBot="1" x14ac:dyDescent="0.3">
      <c r="A5088" s="380" t="s">
        <v>0</v>
      </c>
      <c r="B5088" s="12" t="s">
        <v>1</v>
      </c>
      <c r="C5088" s="12" t="s">
        <v>2</v>
      </c>
      <c r="D5088" s="12" t="s">
        <v>3</v>
      </c>
      <c r="E5088" s="238" t="s">
        <v>4</v>
      </c>
      <c r="F5088" s="238" t="s">
        <v>5</v>
      </c>
      <c r="O5088" s="5" t="s">
        <v>0</v>
      </c>
      <c r="P5088" s="6" t="s">
        <v>1</v>
      </c>
      <c r="Q5088" s="6" t="s">
        <v>2</v>
      </c>
      <c r="R5088" s="6" t="s">
        <v>3</v>
      </c>
      <c r="S5088" s="6" t="s">
        <v>2488</v>
      </c>
      <c r="T5088" s="6" t="s">
        <v>2489</v>
      </c>
      <c r="U5088" s="6" t="s">
        <v>2490</v>
      </c>
    </row>
    <row r="5089" spans="1:24" ht="15.75" thickBot="1" x14ac:dyDescent="0.3">
      <c r="A5089" s="7">
        <v>1</v>
      </c>
      <c r="B5089" s="8" t="s">
        <v>2480</v>
      </c>
      <c r="C5089" s="9">
        <v>1</v>
      </c>
      <c r="D5089" s="9" t="s">
        <v>668</v>
      </c>
      <c r="E5089" s="237">
        <v>765000</v>
      </c>
      <c r="F5089" s="237">
        <f>F5096</f>
        <v>0</v>
      </c>
      <c r="O5089" s="7">
        <v>1</v>
      </c>
      <c r="P5089" s="8" t="s">
        <v>2480</v>
      </c>
      <c r="Q5089" s="9">
        <v>1</v>
      </c>
      <c r="R5089" s="9" t="s">
        <v>668</v>
      </c>
      <c r="S5089" s="237">
        <v>220000</v>
      </c>
      <c r="T5089" s="237">
        <v>765000</v>
      </c>
      <c r="U5089" s="237">
        <v>765000</v>
      </c>
    </row>
    <row r="5090" spans="1:24" ht="15.75" thickBot="1" x14ac:dyDescent="0.3">
      <c r="A5090" s="7">
        <v>2</v>
      </c>
      <c r="B5090" s="8" t="s">
        <v>2481</v>
      </c>
      <c r="C5090" s="9">
        <v>1</v>
      </c>
      <c r="D5090" s="9" t="s">
        <v>668</v>
      </c>
      <c r="E5090" s="237">
        <v>205000</v>
      </c>
      <c r="F5090" s="237"/>
      <c r="O5090" s="7">
        <v>2</v>
      </c>
      <c r="P5090" s="8" t="s">
        <v>2481</v>
      </c>
      <c r="Q5090" s="9">
        <v>1</v>
      </c>
      <c r="R5090" s="9" t="s">
        <v>668</v>
      </c>
      <c r="S5090" s="237">
        <v>137000</v>
      </c>
      <c r="T5090" s="237">
        <v>205000</v>
      </c>
      <c r="U5090" s="237">
        <v>205000</v>
      </c>
      <c r="X5090" s="99"/>
    </row>
    <row r="5091" spans="1:24" ht="15.75" thickBot="1" x14ac:dyDescent="0.3">
      <c r="A5091" s="7">
        <v>3</v>
      </c>
      <c r="B5091" s="8" t="s">
        <v>2482</v>
      </c>
      <c r="C5091" s="9">
        <v>1</v>
      </c>
      <c r="D5091" s="9" t="s">
        <v>668</v>
      </c>
      <c r="E5091" s="237">
        <v>195000</v>
      </c>
      <c r="F5091" s="237"/>
      <c r="O5091" s="7">
        <v>3</v>
      </c>
      <c r="P5091" s="8" t="s">
        <v>2482</v>
      </c>
      <c r="Q5091" s="9">
        <v>1</v>
      </c>
      <c r="R5091" s="9" t="s">
        <v>668</v>
      </c>
      <c r="S5091" s="237">
        <v>63500</v>
      </c>
      <c r="T5091" s="237">
        <v>195000</v>
      </c>
      <c r="U5091" s="237">
        <v>195000</v>
      </c>
    </row>
    <row r="5092" spans="1:24" ht="15.75" thickBot="1" x14ac:dyDescent="0.3">
      <c r="A5092" s="7">
        <v>4</v>
      </c>
      <c r="B5092" s="8" t="s">
        <v>2483</v>
      </c>
      <c r="C5092" s="9">
        <v>1</v>
      </c>
      <c r="D5092" s="9" t="s">
        <v>668</v>
      </c>
      <c r="E5092" s="237">
        <v>445000</v>
      </c>
      <c r="F5092" s="237"/>
      <c r="O5092" s="7">
        <v>4</v>
      </c>
      <c r="P5092" s="8" t="s">
        <v>2483</v>
      </c>
      <c r="Q5092" s="9">
        <v>1</v>
      </c>
      <c r="R5092" s="9" t="s">
        <v>668</v>
      </c>
      <c r="S5092" s="237">
        <v>220000</v>
      </c>
      <c r="T5092" s="237">
        <v>445000</v>
      </c>
      <c r="U5092" s="237">
        <v>445000</v>
      </c>
    </row>
    <row r="5093" spans="1:24" ht="15.75" thickBot="1" x14ac:dyDescent="0.3">
      <c r="A5093" s="7">
        <v>5</v>
      </c>
      <c r="B5093" s="8" t="s">
        <v>2484</v>
      </c>
      <c r="C5093" s="9">
        <v>1</v>
      </c>
      <c r="D5093" s="9" t="s">
        <v>668</v>
      </c>
      <c r="E5093" s="237">
        <v>205000</v>
      </c>
      <c r="F5093" s="237"/>
      <c r="O5093" s="7">
        <v>5</v>
      </c>
      <c r="P5093" s="8" t="s">
        <v>2484</v>
      </c>
      <c r="Q5093" s="9">
        <v>1</v>
      </c>
      <c r="R5093" s="9" t="s">
        <v>668</v>
      </c>
      <c r="S5093" s="237">
        <v>137000</v>
      </c>
      <c r="T5093" s="237">
        <v>205000</v>
      </c>
      <c r="U5093" s="237">
        <v>205000</v>
      </c>
    </row>
    <row r="5094" spans="1:24" ht="15.75" thickBot="1" x14ac:dyDescent="0.3">
      <c r="A5094" s="7">
        <v>6</v>
      </c>
      <c r="B5094" s="8" t="s">
        <v>2485</v>
      </c>
      <c r="C5094" s="9">
        <v>1</v>
      </c>
      <c r="D5094" s="9" t="s">
        <v>668</v>
      </c>
      <c r="E5094" s="237">
        <v>195000</v>
      </c>
      <c r="F5094" s="237"/>
      <c r="O5094" s="7">
        <v>6</v>
      </c>
      <c r="P5094" s="8" t="s">
        <v>2485</v>
      </c>
      <c r="Q5094" s="9">
        <v>1</v>
      </c>
      <c r="R5094" s="9" t="s">
        <v>668</v>
      </c>
      <c r="S5094" s="237">
        <v>63500</v>
      </c>
      <c r="T5094" s="237">
        <v>195000</v>
      </c>
      <c r="U5094" s="237">
        <v>195000</v>
      </c>
    </row>
    <row r="5095" spans="1:24" ht="45.75" thickBot="1" x14ac:dyDescent="0.3">
      <c r="A5095" s="7">
        <v>7</v>
      </c>
      <c r="B5095" s="8" t="s">
        <v>2486</v>
      </c>
      <c r="C5095" s="9">
        <v>1</v>
      </c>
      <c r="D5095" s="9" t="s">
        <v>668</v>
      </c>
      <c r="E5095" s="237">
        <v>175000</v>
      </c>
      <c r="F5095" s="237"/>
      <c r="O5095" s="7">
        <v>7</v>
      </c>
      <c r="P5095" s="8" t="s">
        <v>2491</v>
      </c>
      <c r="Q5095" s="9">
        <v>1</v>
      </c>
      <c r="R5095" s="9" t="s">
        <v>668</v>
      </c>
      <c r="S5095" s="237">
        <v>148000</v>
      </c>
      <c r="T5095" s="237">
        <v>175000</v>
      </c>
      <c r="U5095" s="237">
        <v>175000</v>
      </c>
    </row>
    <row r="5096" spans="1:24" ht="45.75" thickBot="1" x14ac:dyDescent="0.3">
      <c r="A5096" s="7">
        <v>8</v>
      </c>
      <c r="B5096" s="8" t="s">
        <v>2487</v>
      </c>
      <c r="C5096" s="9">
        <v>1</v>
      </c>
      <c r="D5096" s="9" t="s">
        <v>668</v>
      </c>
      <c r="E5096" s="237">
        <v>195000</v>
      </c>
      <c r="F5096" s="237"/>
      <c r="O5096" s="7">
        <v>8</v>
      </c>
      <c r="P5096" s="8" t="s">
        <v>2492</v>
      </c>
      <c r="Q5096" s="9">
        <v>1</v>
      </c>
      <c r="R5096" s="9" t="s">
        <v>668</v>
      </c>
      <c r="S5096" s="237">
        <v>190000</v>
      </c>
      <c r="T5096" s="237">
        <v>195000</v>
      </c>
      <c r="U5096" s="237">
        <v>195000</v>
      </c>
    </row>
    <row r="5097" spans="1:24" ht="15.75" thickBot="1" x14ac:dyDescent="0.3">
      <c r="A5097" s="7"/>
      <c r="B5097" s="8"/>
      <c r="C5097" s="9"/>
      <c r="D5097" s="9"/>
      <c r="E5097" s="237"/>
      <c r="F5097" s="237"/>
      <c r="O5097" s="7"/>
      <c r="P5097" s="8"/>
      <c r="Q5097" s="9"/>
      <c r="R5097" s="9"/>
      <c r="S5097" s="9"/>
      <c r="T5097" s="9"/>
      <c r="U5097" s="9"/>
    </row>
    <row r="5098" spans="1:24" ht="15.75" thickBot="1" x14ac:dyDescent="0.3">
      <c r="A5098" s="7"/>
      <c r="B5098" s="11" t="s">
        <v>10</v>
      </c>
      <c r="C5098" s="12"/>
      <c r="D5098" s="12"/>
      <c r="E5098" s="238"/>
      <c r="F5098" s="238">
        <f>SUM(F5088:F5096)</f>
        <v>0</v>
      </c>
      <c r="O5098" s="7"/>
      <c r="P5098" s="11" t="s">
        <v>10</v>
      </c>
      <c r="Q5098" s="12"/>
      <c r="R5098" s="12"/>
      <c r="S5098" s="238">
        <f>SUM(S5089:S5096)</f>
        <v>1179000</v>
      </c>
      <c r="T5098" s="238"/>
      <c r="U5098" s="379">
        <f>SUM(U5089:U5096)</f>
        <v>2380000</v>
      </c>
    </row>
    <row r="5099" spans="1:24" ht="15.75" thickBot="1" x14ac:dyDescent="0.3">
      <c r="A5099" s="7"/>
      <c r="B5099" s="8"/>
      <c r="C5099" s="9"/>
      <c r="D5099" s="9"/>
      <c r="E5099" s="237"/>
      <c r="F5099" s="237"/>
      <c r="O5099" s="7"/>
      <c r="P5099" s="8"/>
      <c r="Q5099" s="9"/>
      <c r="R5099" s="9"/>
      <c r="S5099" s="9"/>
      <c r="T5099" s="9"/>
      <c r="U5099" s="9"/>
    </row>
    <row r="5100" spans="1:24" x14ac:dyDescent="0.25">
      <c r="F5100" s="16">
        <f>E5100*C5100</f>
        <v>0</v>
      </c>
    </row>
    <row r="5101" spans="1:24" ht="15.75" thickBot="1" x14ac:dyDescent="0.3">
      <c r="A5101" s="380" t="s">
        <v>0</v>
      </c>
      <c r="B5101" s="12" t="s">
        <v>1</v>
      </c>
      <c r="C5101" s="12" t="s">
        <v>2</v>
      </c>
      <c r="D5101" s="12" t="s">
        <v>3</v>
      </c>
      <c r="E5101" s="238" t="s">
        <v>4</v>
      </c>
      <c r="F5101" s="238" t="s">
        <v>5</v>
      </c>
    </row>
    <row r="5102" spans="1:24" x14ac:dyDescent="0.25">
      <c r="A5102" s="13" t="s">
        <v>1618</v>
      </c>
      <c r="B5102" s="14" t="s">
        <v>2499</v>
      </c>
      <c r="C5102" s="316">
        <v>1</v>
      </c>
      <c r="D5102" s="15" t="s">
        <v>407</v>
      </c>
      <c r="E5102" s="16">
        <v>38000</v>
      </c>
      <c r="F5102" s="16">
        <f>E5102*C5102</f>
        <v>38000</v>
      </c>
    </row>
    <row r="5103" spans="1:24" x14ac:dyDescent="0.25">
      <c r="A5103" s="13" t="s">
        <v>1620</v>
      </c>
      <c r="B5103" s="14" t="s">
        <v>2497</v>
      </c>
      <c r="C5103" s="316">
        <v>7</v>
      </c>
      <c r="D5103" s="15" t="s">
        <v>2498</v>
      </c>
      <c r="E5103" s="16">
        <v>8500</v>
      </c>
      <c r="F5103" s="16">
        <f>E5103*C5103</f>
        <v>59500</v>
      </c>
    </row>
    <row r="5105" spans="1:16" x14ac:dyDescent="0.25">
      <c r="B5105" s="17" t="s">
        <v>10</v>
      </c>
      <c r="C5105" s="31"/>
      <c r="D5105" s="18"/>
      <c r="E5105" s="239"/>
      <c r="F5105" s="239">
        <f>SUM(F5102,F5103)</f>
        <v>97500</v>
      </c>
    </row>
    <row r="5107" spans="1:16" ht="15.75" thickBot="1" x14ac:dyDescent="0.3">
      <c r="A5107" s="380" t="s">
        <v>0</v>
      </c>
      <c r="B5107" s="12" t="s">
        <v>1</v>
      </c>
      <c r="C5107" s="12" t="s">
        <v>2</v>
      </c>
      <c r="D5107" s="12" t="s">
        <v>3</v>
      </c>
      <c r="E5107" s="238" t="s">
        <v>4</v>
      </c>
      <c r="F5107" s="238" t="s">
        <v>5</v>
      </c>
    </row>
    <row r="5108" spans="1:16" ht="60" x14ac:dyDescent="0.25">
      <c r="A5108" s="13" t="s">
        <v>1618</v>
      </c>
      <c r="B5108" s="14" t="s">
        <v>2500</v>
      </c>
      <c r="C5108" s="316">
        <v>210</v>
      </c>
      <c r="D5108" s="15" t="s">
        <v>32</v>
      </c>
      <c r="E5108" s="16">
        <v>260</v>
      </c>
      <c r="F5108" s="16">
        <f t="shared" ref="F5108:F5113" si="103">E5108*C5108</f>
        <v>54600</v>
      </c>
    </row>
    <row r="5109" spans="1:16" ht="45" x14ac:dyDescent="0.25">
      <c r="A5109" s="13" t="s">
        <v>1620</v>
      </c>
      <c r="B5109" s="14" t="s">
        <v>2501</v>
      </c>
      <c r="C5109" s="316">
        <v>140</v>
      </c>
      <c r="D5109" s="15" t="s">
        <v>9</v>
      </c>
      <c r="E5109" s="16">
        <v>240</v>
      </c>
      <c r="F5109" s="16">
        <f t="shared" si="103"/>
        <v>33600</v>
      </c>
    </row>
    <row r="5110" spans="1:16" ht="60" x14ac:dyDescent="0.25">
      <c r="A5110" s="13" t="s">
        <v>1621</v>
      </c>
      <c r="B5110" s="14" t="s">
        <v>2502</v>
      </c>
      <c r="C5110" s="316">
        <v>20</v>
      </c>
      <c r="D5110" s="15" t="s">
        <v>33</v>
      </c>
      <c r="E5110" s="16">
        <v>2600</v>
      </c>
      <c r="F5110" s="16">
        <f t="shared" si="103"/>
        <v>52000</v>
      </c>
      <c r="L5110" s="33" t="s">
        <v>2504</v>
      </c>
    </row>
    <row r="5111" spans="1:16" ht="30" x14ac:dyDescent="0.25">
      <c r="A5111" s="13" t="s">
        <v>1623</v>
      </c>
      <c r="B5111" s="14" t="s">
        <v>2503</v>
      </c>
      <c r="C5111" s="316">
        <v>180</v>
      </c>
      <c r="D5111" s="15" t="s">
        <v>9</v>
      </c>
      <c r="E5111" s="16">
        <v>750</v>
      </c>
      <c r="F5111" s="16">
        <f t="shared" si="103"/>
        <v>135000</v>
      </c>
    </row>
    <row r="5112" spans="1:16" ht="60" x14ac:dyDescent="0.25">
      <c r="A5112" s="13" t="s">
        <v>1631</v>
      </c>
      <c r="B5112" s="14" t="s">
        <v>2505</v>
      </c>
      <c r="C5112" s="316">
        <v>370</v>
      </c>
      <c r="D5112" s="15" t="s">
        <v>9</v>
      </c>
      <c r="E5112" s="16">
        <v>220</v>
      </c>
      <c r="F5112" s="16">
        <f t="shared" si="103"/>
        <v>81400</v>
      </c>
      <c r="P5112" s="382"/>
    </row>
    <row r="5113" spans="1:16" ht="120" x14ac:dyDescent="0.25">
      <c r="A5113" s="13" t="s">
        <v>1632</v>
      </c>
      <c r="B5113" s="14" t="s">
        <v>2506</v>
      </c>
      <c r="C5113" s="316">
        <v>370</v>
      </c>
      <c r="D5113" s="15" t="s">
        <v>9</v>
      </c>
      <c r="E5113" s="16">
        <v>260</v>
      </c>
      <c r="F5113" s="16">
        <f t="shared" si="103"/>
        <v>96200</v>
      </c>
    </row>
    <row r="5115" spans="1:16" x14ac:dyDescent="0.25">
      <c r="B5115" s="17" t="s">
        <v>10</v>
      </c>
      <c r="C5115" s="31"/>
      <c r="D5115" s="18"/>
      <c r="E5115" s="239"/>
      <c r="F5115" s="239">
        <f>SUM(F5108:F5113)</f>
        <v>452800</v>
      </c>
    </row>
    <row r="5116" spans="1:16" ht="15.75" thickBot="1" x14ac:dyDescent="0.3">
      <c r="A5116" s="380" t="s">
        <v>0</v>
      </c>
      <c r="B5116" s="12" t="s">
        <v>1</v>
      </c>
      <c r="C5116" s="12" t="s">
        <v>2</v>
      </c>
      <c r="D5116" s="12" t="s">
        <v>3</v>
      </c>
      <c r="E5116" s="238" t="s">
        <v>4</v>
      </c>
      <c r="F5116" s="238" t="s">
        <v>5</v>
      </c>
    </row>
    <row r="5117" spans="1:16" ht="45" x14ac:dyDescent="0.25">
      <c r="A5117" s="13" t="s">
        <v>1618</v>
      </c>
      <c r="B5117" s="14" t="s">
        <v>2507</v>
      </c>
      <c r="C5117" s="316">
        <v>99</v>
      </c>
      <c r="D5117" s="15" t="s">
        <v>9</v>
      </c>
      <c r="E5117" s="16">
        <v>1450</v>
      </c>
      <c r="F5117" s="16">
        <f>E5117*C5117</f>
        <v>143550</v>
      </c>
    </row>
    <row r="5119" spans="1:16" x14ac:dyDescent="0.25">
      <c r="B5119" s="17" t="s">
        <v>10</v>
      </c>
      <c r="C5119" s="31"/>
      <c r="D5119" s="18"/>
      <c r="E5119" s="239"/>
      <c r="F5119" s="239">
        <f>F5117</f>
        <v>143550</v>
      </c>
    </row>
    <row r="5121" spans="1:14" ht="15.75" thickBot="1" x14ac:dyDescent="0.3">
      <c r="F5121" s="16">
        <f>E5121*C5121</f>
        <v>0</v>
      </c>
    </row>
    <row r="5122" spans="1:14" ht="15.75" thickBot="1" x14ac:dyDescent="0.3">
      <c r="A5122" s="383" t="s">
        <v>0</v>
      </c>
      <c r="B5122" s="384" t="s">
        <v>1</v>
      </c>
      <c r="C5122" s="385" t="s">
        <v>2</v>
      </c>
      <c r="D5122" s="385" t="s">
        <v>3</v>
      </c>
      <c r="E5122" s="402" t="s">
        <v>4</v>
      </c>
      <c r="F5122" s="402" t="s">
        <v>5</v>
      </c>
    </row>
    <row r="5123" spans="1:14" ht="75.75" thickBot="1" x14ac:dyDescent="0.3">
      <c r="A5123" s="386">
        <v>1</v>
      </c>
      <c r="B5123" s="388" t="s">
        <v>2516</v>
      </c>
      <c r="C5123" s="389">
        <v>9811</v>
      </c>
      <c r="D5123" s="389" t="s">
        <v>9</v>
      </c>
      <c r="E5123" s="390">
        <v>145</v>
      </c>
      <c r="F5123" s="390">
        <f>E5123*C5123</f>
        <v>1422595</v>
      </c>
      <c r="N5123" s="33">
        <v>1913</v>
      </c>
    </row>
    <row r="5124" spans="1:14" ht="90.75" thickBot="1" x14ac:dyDescent="0.3">
      <c r="A5124" s="386">
        <v>2</v>
      </c>
      <c r="B5124" s="388" t="s">
        <v>2517</v>
      </c>
      <c r="C5124" s="389">
        <v>4410</v>
      </c>
      <c r="D5124" s="389" t="s">
        <v>9</v>
      </c>
      <c r="E5124" s="390">
        <v>145</v>
      </c>
      <c r="F5124" s="390">
        <f t="shared" ref="F5124:F5133" si="104">E5124*C5124</f>
        <v>639450</v>
      </c>
      <c r="N5124" s="33">
        <v>1422</v>
      </c>
    </row>
    <row r="5125" spans="1:14" ht="60.75" thickBot="1" x14ac:dyDescent="0.3">
      <c r="A5125" s="386">
        <v>3</v>
      </c>
      <c r="B5125" s="388" t="s">
        <v>479</v>
      </c>
      <c r="C5125" s="387"/>
      <c r="D5125" s="389" t="s">
        <v>9</v>
      </c>
      <c r="E5125" s="390" t="s">
        <v>2508</v>
      </c>
      <c r="F5125" s="390"/>
      <c r="N5125" s="33">
        <f>N5123-N5124</f>
        <v>491</v>
      </c>
    </row>
    <row r="5126" spans="1:14" ht="60.75" thickBot="1" x14ac:dyDescent="0.3">
      <c r="A5126" s="386">
        <v>4</v>
      </c>
      <c r="B5126" s="388" t="s">
        <v>2510</v>
      </c>
      <c r="C5126" s="389">
        <v>4600</v>
      </c>
      <c r="D5126" s="389" t="s">
        <v>9</v>
      </c>
      <c r="E5126" s="390">
        <v>220</v>
      </c>
      <c r="F5126" s="390">
        <f t="shared" si="104"/>
        <v>1012000</v>
      </c>
      <c r="M5126" s="215">
        <v>3992</v>
      </c>
    </row>
    <row r="5127" spans="1:14" ht="75.75" thickBot="1" x14ac:dyDescent="0.3">
      <c r="A5127" s="386">
        <v>5</v>
      </c>
      <c r="B5127" s="388" t="s">
        <v>2509</v>
      </c>
      <c r="C5127" s="389">
        <v>4600</v>
      </c>
      <c r="D5127" s="389" t="s">
        <v>9</v>
      </c>
      <c r="E5127" s="390">
        <v>145</v>
      </c>
      <c r="F5127" s="390">
        <f t="shared" si="104"/>
        <v>667000</v>
      </c>
    </row>
    <row r="5128" spans="1:14" ht="75.75" thickBot="1" x14ac:dyDescent="0.3">
      <c r="A5128" s="386">
        <v>6</v>
      </c>
      <c r="B5128" s="388" t="s">
        <v>485</v>
      </c>
      <c r="C5128" s="389">
        <v>1</v>
      </c>
      <c r="D5128" s="389" t="s">
        <v>11</v>
      </c>
      <c r="E5128" s="390">
        <v>115000</v>
      </c>
      <c r="F5128" s="390">
        <f t="shared" si="104"/>
        <v>115000</v>
      </c>
    </row>
    <row r="5129" spans="1:14" ht="90.75" thickBot="1" x14ac:dyDescent="0.3">
      <c r="A5129" s="386">
        <v>7</v>
      </c>
      <c r="B5129" s="388" t="s">
        <v>2512</v>
      </c>
      <c r="C5129" s="389">
        <v>1</v>
      </c>
      <c r="D5129" s="389" t="s">
        <v>11</v>
      </c>
      <c r="E5129" s="390">
        <v>165000</v>
      </c>
      <c r="F5129" s="390">
        <f t="shared" si="104"/>
        <v>165000</v>
      </c>
    </row>
    <row r="5130" spans="1:14" ht="45.75" thickBot="1" x14ac:dyDescent="0.3">
      <c r="A5130" s="386">
        <v>8</v>
      </c>
      <c r="B5130" s="388" t="s">
        <v>2511</v>
      </c>
      <c r="C5130" s="389">
        <v>195</v>
      </c>
      <c r="D5130" s="389" t="s">
        <v>33</v>
      </c>
      <c r="E5130" s="390">
        <v>550</v>
      </c>
      <c r="F5130" s="390">
        <f t="shared" si="104"/>
        <v>107250</v>
      </c>
    </row>
    <row r="5131" spans="1:14" ht="45.75" thickBot="1" x14ac:dyDescent="0.3">
      <c r="A5131" s="386">
        <v>9</v>
      </c>
      <c r="B5131" s="388" t="s">
        <v>2513</v>
      </c>
      <c r="C5131" s="389">
        <v>1</v>
      </c>
      <c r="D5131" s="389" t="s">
        <v>11</v>
      </c>
      <c r="E5131" s="390">
        <v>28000</v>
      </c>
      <c r="F5131" s="390">
        <f t="shared" si="104"/>
        <v>28000</v>
      </c>
    </row>
    <row r="5132" spans="1:14" ht="30.75" thickBot="1" x14ac:dyDescent="0.3">
      <c r="A5132" s="386">
        <v>10</v>
      </c>
      <c r="B5132" s="388" t="s">
        <v>2514</v>
      </c>
      <c r="C5132" s="389">
        <v>45</v>
      </c>
      <c r="D5132" s="389" t="s">
        <v>9</v>
      </c>
      <c r="E5132" s="390">
        <v>550</v>
      </c>
      <c r="F5132" s="390">
        <f t="shared" si="104"/>
        <v>24750</v>
      </c>
    </row>
    <row r="5133" spans="1:14" ht="45.75" thickBot="1" x14ac:dyDescent="0.3">
      <c r="A5133" s="386">
        <v>11</v>
      </c>
      <c r="B5133" s="388" t="s">
        <v>2515</v>
      </c>
      <c r="C5133" s="389">
        <v>210</v>
      </c>
      <c r="D5133" s="389" t="s">
        <v>9</v>
      </c>
      <c r="E5133" s="390">
        <v>165</v>
      </c>
      <c r="F5133" s="390">
        <f t="shared" si="104"/>
        <v>34650</v>
      </c>
    </row>
    <row r="5134" spans="1:14" ht="15.75" thickBot="1" x14ac:dyDescent="0.3">
      <c r="A5134" s="386"/>
      <c r="B5134" s="388"/>
      <c r="C5134" s="389"/>
      <c r="D5134" s="389"/>
      <c r="E5134" s="390"/>
      <c r="F5134" s="390"/>
    </row>
    <row r="5135" spans="1:14" ht="15.75" thickBot="1" x14ac:dyDescent="0.3">
      <c r="A5135" s="386"/>
      <c r="B5135" s="391" t="s">
        <v>224</v>
      </c>
      <c r="C5135" s="392"/>
      <c r="D5135" s="392"/>
      <c r="E5135" s="393"/>
      <c r="F5135" s="393">
        <f>SUM(F5123:F5133)</f>
        <v>4215695</v>
      </c>
    </row>
    <row r="5136" spans="1:14" ht="15.75" thickBot="1" x14ac:dyDescent="0.3">
      <c r="A5136" s="386"/>
      <c r="B5136" s="388"/>
      <c r="C5136" s="389"/>
      <c r="D5136" s="389"/>
      <c r="E5136" s="390"/>
      <c r="F5136" s="390"/>
    </row>
    <row r="5137" spans="1:6" ht="90" x14ac:dyDescent="0.25">
      <c r="B5137" s="14" t="s">
        <v>2518</v>
      </c>
    </row>
    <row r="5138" spans="1:6" x14ac:dyDescent="0.25">
      <c r="A5138" s="19"/>
      <c r="B5138" s="20"/>
      <c r="C5138" s="320"/>
      <c r="D5138" s="21"/>
      <c r="E5138" s="243"/>
      <c r="F5138" s="243">
        <f>E5138*C5138</f>
        <v>0</v>
      </c>
    </row>
    <row r="5139" spans="1:6" x14ac:dyDescent="0.25">
      <c r="A5139" s="28" t="s">
        <v>0</v>
      </c>
      <c r="B5139" s="28" t="s">
        <v>1</v>
      </c>
      <c r="C5139" s="28" t="s">
        <v>2</v>
      </c>
      <c r="D5139" s="28" t="s">
        <v>3</v>
      </c>
      <c r="E5139" s="262" t="s">
        <v>4</v>
      </c>
      <c r="F5139" s="262" t="s">
        <v>5</v>
      </c>
    </row>
    <row r="5140" spans="1:6" ht="30" x14ac:dyDescent="0.25">
      <c r="A5140" s="25">
        <v>1</v>
      </c>
      <c r="B5140" s="24" t="s">
        <v>114</v>
      </c>
      <c r="C5140" s="25">
        <v>1</v>
      </c>
      <c r="D5140" s="25" t="s">
        <v>11</v>
      </c>
      <c r="E5140" s="259">
        <v>65000</v>
      </c>
      <c r="F5140" s="259">
        <f>E5140*C5140</f>
        <v>65000</v>
      </c>
    </row>
    <row r="5141" spans="1:6" ht="45" x14ac:dyDescent="0.25">
      <c r="A5141" s="25">
        <v>2</v>
      </c>
      <c r="B5141" s="24" t="s">
        <v>2519</v>
      </c>
      <c r="C5141" s="25">
        <v>14</v>
      </c>
      <c r="D5141" s="25" t="s">
        <v>30</v>
      </c>
      <c r="E5141" s="259">
        <v>15000</v>
      </c>
      <c r="F5141" s="259">
        <f t="shared" ref="F5141:F5157" si="105">E5141*C5141</f>
        <v>210000</v>
      </c>
    </row>
    <row r="5142" spans="1:6" ht="45" x14ac:dyDescent="0.25">
      <c r="A5142" s="25">
        <v>3</v>
      </c>
      <c r="B5142" s="24" t="s">
        <v>2528</v>
      </c>
      <c r="C5142" s="25">
        <v>1</v>
      </c>
      <c r="D5142" s="25" t="s">
        <v>11</v>
      </c>
      <c r="E5142" s="259">
        <v>45000</v>
      </c>
      <c r="F5142" s="259">
        <f t="shared" si="105"/>
        <v>45000</v>
      </c>
    </row>
    <row r="5143" spans="1:6" ht="30" x14ac:dyDescent="0.25">
      <c r="A5143" s="25">
        <v>4</v>
      </c>
      <c r="B5143" s="24" t="s">
        <v>116</v>
      </c>
      <c r="C5143" s="25">
        <v>258</v>
      </c>
      <c r="D5143" s="25" t="s">
        <v>9</v>
      </c>
      <c r="E5143" s="259">
        <v>220</v>
      </c>
      <c r="F5143" s="259">
        <f t="shared" si="105"/>
        <v>56760</v>
      </c>
    </row>
    <row r="5144" spans="1:6" ht="45" x14ac:dyDescent="0.25">
      <c r="A5144" s="25">
        <v>5</v>
      </c>
      <c r="B5144" s="24" t="s">
        <v>2520</v>
      </c>
      <c r="C5144" s="25">
        <v>16</v>
      </c>
      <c r="D5144" s="25" t="s">
        <v>127</v>
      </c>
      <c r="E5144" s="259">
        <v>23000</v>
      </c>
      <c r="F5144" s="259">
        <f t="shared" si="105"/>
        <v>368000</v>
      </c>
    </row>
    <row r="5145" spans="1:6" ht="45" x14ac:dyDescent="0.25">
      <c r="A5145" s="25">
        <v>6</v>
      </c>
      <c r="B5145" s="24" t="s">
        <v>118</v>
      </c>
      <c r="C5145" s="25">
        <v>290</v>
      </c>
      <c r="D5145" s="25" t="s">
        <v>33</v>
      </c>
      <c r="E5145" s="259">
        <v>1650</v>
      </c>
      <c r="F5145" s="259">
        <f t="shared" si="105"/>
        <v>478500</v>
      </c>
    </row>
    <row r="5146" spans="1:6" ht="45" x14ac:dyDescent="0.25">
      <c r="A5146" s="25">
        <v>7</v>
      </c>
      <c r="B5146" s="24" t="s">
        <v>2521</v>
      </c>
      <c r="C5146" s="25">
        <v>210</v>
      </c>
      <c r="D5146" s="25" t="s">
        <v>33</v>
      </c>
      <c r="E5146" s="259">
        <v>1650</v>
      </c>
      <c r="F5146" s="259">
        <f t="shared" si="105"/>
        <v>346500</v>
      </c>
    </row>
    <row r="5147" spans="1:6" ht="30" x14ac:dyDescent="0.25">
      <c r="A5147" s="25">
        <v>8</v>
      </c>
      <c r="B5147" s="24" t="s">
        <v>120</v>
      </c>
      <c r="C5147" s="25">
        <v>320</v>
      </c>
      <c r="D5147" s="25" t="s">
        <v>9</v>
      </c>
      <c r="E5147" s="259">
        <v>480</v>
      </c>
      <c r="F5147" s="259">
        <f t="shared" si="105"/>
        <v>153600</v>
      </c>
    </row>
    <row r="5148" spans="1:6" ht="45" x14ac:dyDescent="0.25">
      <c r="A5148" s="25">
        <v>9</v>
      </c>
      <c r="B5148" s="24" t="s">
        <v>2526</v>
      </c>
      <c r="C5148" s="25">
        <v>96</v>
      </c>
      <c r="D5148" s="25" t="s">
        <v>33</v>
      </c>
      <c r="E5148" s="259">
        <v>650</v>
      </c>
      <c r="F5148" s="259">
        <f t="shared" si="105"/>
        <v>62400</v>
      </c>
    </row>
    <row r="5149" spans="1:6" ht="45" x14ac:dyDescent="0.25">
      <c r="A5149" s="25">
        <v>10</v>
      </c>
      <c r="B5149" s="24" t="s">
        <v>121</v>
      </c>
      <c r="C5149" s="25">
        <v>310</v>
      </c>
      <c r="D5149" s="25" t="s">
        <v>33</v>
      </c>
      <c r="E5149" s="259">
        <v>1750</v>
      </c>
      <c r="F5149" s="259">
        <f t="shared" si="105"/>
        <v>542500</v>
      </c>
    </row>
    <row r="5150" spans="1:6" ht="60" x14ac:dyDescent="0.25">
      <c r="A5150" s="25">
        <v>11</v>
      </c>
      <c r="B5150" s="24" t="s">
        <v>2527</v>
      </c>
      <c r="C5150" s="25">
        <v>58</v>
      </c>
      <c r="D5150" s="25" t="s">
        <v>9</v>
      </c>
      <c r="E5150" s="259">
        <v>1450</v>
      </c>
      <c r="F5150" s="259">
        <f t="shared" si="105"/>
        <v>84100</v>
      </c>
    </row>
    <row r="5151" spans="1:6" ht="60" x14ac:dyDescent="0.25">
      <c r="A5151" s="25">
        <v>12</v>
      </c>
      <c r="B5151" s="24" t="s">
        <v>122</v>
      </c>
      <c r="C5151" s="25">
        <v>1470</v>
      </c>
      <c r="D5151" s="25" t="s">
        <v>9</v>
      </c>
      <c r="E5151" s="259">
        <v>1400</v>
      </c>
      <c r="F5151" s="259">
        <f t="shared" si="105"/>
        <v>2058000</v>
      </c>
    </row>
    <row r="5152" spans="1:6" ht="45" x14ac:dyDescent="0.25">
      <c r="A5152" s="25">
        <v>13</v>
      </c>
      <c r="B5152" s="24" t="s">
        <v>2522</v>
      </c>
      <c r="C5152" s="25">
        <v>1</v>
      </c>
      <c r="D5152" s="25" t="s">
        <v>11</v>
      </c>
      <c r="E5152" s="259">
        <v>345000</v>
      </c>
      <c r="F5152" s="259">
        <f t="shared" si="105"/>
        <v>345000</v>
      </c>
    </row>
    <row r="5153" spans="1:6" ht="45" x14ac:dyDescent="0.25">
      <c r="A5153" s="25">
        <v>14</v>
      </c>
      <c r="B5153" s="24" t="s">
        <v>124</v>
      </c>
      <c r="C5153" s="25">
        <v>1150</v>
      </c>
      <c r="D5153" s="25" t="s">
        <v>9</v>
      </c>
      <c r="E5153" s="259">
        <v>485</v>
      </c>
      <c r="F5153" s="259">
        <f t="shared" si="105"/>
        <v>557750</v>
      </c>
    </row>
    <row r="5154" spans="1:6" ht="45" x14ac:dyDescent="0.25">
      <c r="A5154" s="25">
        <v>15</v>
      </c>
      <c r="B5154" s="24" t="s">
        <v>125</v>
      </c>
      <c r="C5154" s="25">
        <v>1326</v>
      </c>
      <c r="D5154" s="25" t="s">
        <v>9</v>
      </c>
      <c r="E5154" s="259">
        <v>450</v>
      </c>
      <c r="F5154" s="259">
        <f t="shared" si="105"/>
        <v>596700</v>
      </c>
    </row>
    <row r="5155" spans="1:6" ht="30" x14ac:dyDescent="0.25">
      <c r="A5155" s="25">
        <v>16</v>
      </c>
      <c r="B5155" s="24" t="s">
        <v>2525</v>
      </c>
      <c r="C5155" s="25">
        <v>1260</v>
      </c>
      <c r="D5155" s="25" t="s">
        <v>9</v>
      </c>
      <c r="E5155" s="259">
        <v>145</v>
      </c>
      <c r="F5155" s="259">
        <f t="shared" si="105"/>
        <v>182700</v>
      </c>
    </row>
    <row r="5156" spans="1:6" x14ac:dyDescent="0.25">
      <c r="A5156" s="25">
        <v>17</v>
      </c>
      <c r="B5156" s="24" t="s">
        <v>2524</v>
      </c>
      <c r="C5156" s="25">
        <v>1620</v>
      </c>
      <c r="D5156" s="25" t="s">
        <v>9</v>
      </c>
      <c r="E5156" s="259">
        <v>165</v>
      </c>
      <c r="F5156" s="259">
        <f t="shared" si="105"/>
        <v>267300</v>
      </c>
    </row>
    <row r="5157" spans="1:6" ht="45" x14ac:dyDescent="0.25">
      <c r="A5157" s="25">
        <v>18</v>
      </c>
      <c r="B5157" s="24" t="s">
        <v>2523</v>
      </c>
      <c r="C5157" s="25">
        <v>85</v>
      </c>
      <c r="D5157" s="25" t="s">
        <v>33</v>
      </c>
      <c r="E5157" s="259">
        <v>550</v>
      </c>
      <c r="F5157" s="259">
        <f t="shared" si="105"/>
        <v>46750</v>
      </c>
    </row>
    <row r="5158" spans="1:6" x14ac:dyDescent="0.25">
      <c r="A5158" s="25"/>
      <c r="B5158" s="24"/>
      <c r="C5158" s="25"/>
      <c r="D5158" s="25"/>
      <c r="E5158" s="259"/>
      <c r="F5158" s="259"/>
    </row>
    <row r="5159" spans="1:6" x14ac:dyDescent="0.25">
      <c r="B5159" s="17" t="s">
        <v>10</v>
      </c>
      <c r="C5159" s="31"/>
      <c r="D5159" s="18"/>
      <c r="E5159" s="239"/>
      <c r="F5159" s="239">
        <f>SUM(F5140:F5157)</f>
        <v>6466560</v>
      </c>
    </row>
    <row r="5161" spans="1:6" x14ac:dyDescent="0.25">
      <c r="A5161" s="28" t="s">
        <v>0</v>
      </c>
      <c r="B5161" s="28" t="s">
        <v>1</v>
      </c>
      <c r="C5161" s="28" t="s">
        <v>2</v>
      </c>
      <c r="D5161" s="28" t="s">
        <v>3</v>
      </c>
      <c r="E5161" s="262" t="s">
        <v>4</v>
      </c>
      <c r="F5161" s="262" t="s">
        <v>5</v>
      </c>
    </row>
    <row r="5162" spans="1:6" x14ac:dyDescent="0.25">
      <c r="A5162" s="13" t="s">
        <v>1618</v>
      </c>
      <c r="B5162" s="14" t="s">
        <v>488</v>
      </c>
      <c r="C5162" s="316">
        <v>216</v>
      </c>
      <c r="D5162" s="15" t="s">
        <v>32</v>
      </c>
      <c r="E5162" s="16">
        <v>75</v>
      </c>
      <c r="F5162" s="16">
        <f>E5162*C5162</f>
        <v>16200</v>
      </c>
    </row>
    <row r="5163" spans="1:6" ht="45" x14ac:dyDescent="0.25">
      <c r="A5163" s="13" t="s">
        <v>1620</v>
      </c>
      <c r="B5163" s="14" t="s">
        <v>1723</v>
      </c>
      <c r="C5163" s="316">
        <v>6</v>
      </c>
      <c r="D5163" s="15" t="s">
        <v>668</v>
      </c>
      <c r="E5163" s="16">
        <v>22500</v>
      </c>
      <c r="F5163" s="16">
        <f>E5163*C5163</f>
        <v>135000</v>
      </c>
    </row>
    <row r="5164" spans="1:6" ht="45" x14ac:dyDescent="0.25">
      <c r="A5164" s="13" t="s">
        <v>1621</v>
      </c>
      <c r="B5164" s="14" t="s">
        <v>2530</v>
      </c>
      <c r="C5164" s="316">
        <v>70</v>
      </c>
      <c r="D5164" s="15" t="s">
        <v>33</v>
      </c>
      <c r="E5164" s="16">
        <v>1850</v>
      </c>
      <c r="F5164" s="16">
        <f>E5164*C5164</f>
        <v>129500</v>
      </c>
    </row>
    <row r="5165" spans="1:6" ht="45" x14ac:dyDescent="0.25">
      <c r="A5165" s="13" t="s">
        <v>1623</v>
      </c>
      <c r="B5165" s="14" t="s">
        <v>1725</v>
      </c>
      <c r="C5165" s="316">
        <v>56</v>
      </c>
      <c r="D5165" s="15" t="s">
        <v>33</v>
      </c>
      <c r="E5165" s="16">
        <v>1800</v>
      </c>
      <c r="F5165" s="16">
        <f t="shared" ref="F5165:F5172" si="106">E5165*C5165</f>
        <v>100800</v>
      </c>
    </row>
    <row r="5166" spans="1:6" ht="45" x14ac:dyDescent="0.25">
      <c r="A5166" s="13" t="s">
        <v>1631</v>
      </c>
      <c r="B5166" s="14" t="s">
        <v>939</v>
      </c>
      <c r="C5166" s="316">
        <v>270</v>
      </c>
      <c r="D5166" s="15" t="s">
        <v>9</v>
      </c>
      <c r="E5166" s="16">
        <v>540</v>
      </c>
      <c r="F5166" s="16">
        <f t="shared" si="106"/>
        <v>145800</v>
      </c>
    </row>
    <row r="5167" spans="1:6" ht="45" x14ac:dyDescent="0.25">
      <c r="A5167" s="13" t="s">
        <v>1632</v>
      </c>
      <c r="B5167" s="14" t="s">
        <v>2531</v>
      </c>
      <c r="C5167" s="316">
        <v>590</v>
      </c>
      <c r="D5167" s="15" t="s">
        <v>9</v>
      </c>
      <c r="E5167" s="16">
        <v>160</v>
      </c>
      <c r="F5167" s="16">
        <f>E5167*C5167</f>
        <v>94400</v>
      </c>
    </row>
    <row r="5168" spans="1:6" ht="60" x14ac:dyDescent="0.25">
      <c r="A5168" s="13" t="s">
        <v>1633</v>
      </c>
      <c r="B5168" s="14" t="s">
        <v>2532</v>
      </c>
      <c r="C5168" s="316">
        <v>110</v>
      </c>
      <c r="D5168" s="15" t="s">
        <v>9</v>
      </c>
      <c r="E5168" s="16">
        <v>1550</v>
      </c>
      <c r="F5168" s="16">
        <f t="shared" si="106"/>
        <v>170500</v>
      </c>
    </row>
    <row r="5169" spans="1:6" ht="45" x14ac:dyDescent="0.25">
      <c r="A5169" s="13" t="s">
        <v>1634</v>
      </c>
      <c r="B5169" s="14" t="s">
        <v>2533</v>
      </c>
      <c r="C5169" s="316">
        <v>30</v>
      </c>
      <c r="D5169" s="15" t="s">
        <v>33</v>
      </c>
      <c r="E5169" s="16">
        <v>1850</v>
      </c>
      <c r="F5169" s="16">
        <f>E5169*C5169</f>
        <v>55500</v>
      </c>
    </row>
    <row r="5170" spans="1:6" x14ac:dyDescent="0.25">
      <c r="A5170" s="13" t="s">
        <v>1635</v>
      </c>
      <c r="B5170" s="14" t="s">
        <v>2529</v>
      </c>
      <c r="C5170" s="316">
        <v>616</v>
      </c>
      <c r="D5170" s="15" t="s">
        <v>9</v>
      </c>
      <c r="E5170" s="16">
        <v>2100</v>
      </c>
      <c r="F5170" s="16">
        <f t="shared" si="106"/>
        <v>1293600</v>
      </c>
    </row>
    <row r="5171" spans="1:6" ht="45" x14ac:dyDescent="0.25">
      <c r="A5171" s="13" t="s">
        <v>1385</v>
      </c>
      <c r="B5171" s="14" t="s">
        <v>2535</v>
      </c>
      <c r="C5171" s="316">
        <v>192</v>
      </c>
      <c r="D5171" s="15" t="s">
        <v>9</v>
      </c>
      <c r="E5171" s="16">
        <v>450</v>
      </c>
      <c r="F5171" s="16">
        <f>E5171*C5171</f>
        <v>86400</v>
      </c>
    </row>
    <row r="5172" spans="1:6" ht="30" x14ac:dyDescent="0.25">
      <c r="A5172" s="13" t="s">
        <v>1398</v>
      </c>
      <c r="B5172" s="14" t="s">
        <v>2534</v>
      </c>
      <c r="C5172" s="316">
        <v>312</v>
      </c>
      <c r="D5172" s="15" t="s">
        <v>9</v>
      </c>
      <c r="E5172" s="16">
        <v>480</v>
      </c>
      <c r="F5172" s="16">
        <f t="shared" si="106"/>
        <v>149760</v>
      </c>
    </row>
    <row r="5173" spans="1:6" ht="45" x14ac:dyDescent="0.25">
      <c r="A5173" s="13" t="s">
        <v>1637</v>
      </c>
      <c r="B5173" s="14" t="s">
        <v>2536</v>
      </c>
      <c r="C5173" s="316">
        <v>280</v>
      </c>
      <c r="D5173" s="15" t="s">
        <v>9</v>
      </c>
      <c r="E5173" s="16">
        <v>560</v>
      </c>
      <c r="F5173" s="16">
        <f>E5173*C5173</f>
        <v>156800</v>
      </c>
    </row>
    <row r="5175" spans="1:6" x14ac:dyDescent="0.25">
      <c r="B5175" s="17" t="s">
        <v>10</v>
      </c>
      <c r="C5175" s="31"/>
      <c r="D5175" s="18"/>
      <c r="E5175" s="239"/>
      <c r="F5175" s="239">
        <f>SUM(F5162:F5173)</f>
        <v>2534260</v>
      </c>
    </row>
    <row r="5177" spans="1:6" x14ac:dyDescent="0.25">
      <c r="F5177" s="16">
        <f>E5177*C5177</f>
        <v>0</v>
      </c>
    </row>
    <row r="5178" spans="1:6" x14ac:dyDescent="0.25">
      <c r="A5178" s="28" t="s">
        <v>0</v>
      </c>
      <c r="B5178" s="28" t="s">
        <v>1</v>
      </c>
      <c r="C5178" s="28" t="s">
        <v>2</v>
      </c>
      <c r="D5178" s="28" t="s">
        <v>3</v>
      </c>
      <c r="E5178" s="262" t="s">
        <v>4</v>
      </c>
      <c r="F5178" s="262" t="s">
        <v>5</v>
      </c>
    </row>
    <row r="5179" spans="1:6" x14ac:dyDescent="0.25">
      <c r="A5179" s="25">
        <v>1</v>
      </c>
      <c r="B5179" s="24" t="s">
        <v>488</v>
      </c>
      <c r="C5179" s="25">
        <v>216</v>
      </c>
      <c r="D5179" s="25" t="s">
        <v>32</v>
      </c>
      <c r="E5179" s="259">
        <v>75</v>
      </c>
      <c r="F5179" s="259">
        <f>E5179*C5179</f>
        <v>16200</v>
      </c>
    </row>
    <row r="5180" spans="1:6" ht="45" x14ac:dyDescent="0.25">
      <c r="A5180" s="25">
        <v>2</v>
      </c>
      <c r="B5180" s="24" t="s">
        <v>1723</v>
      </c>
      <c r="C5180" s="25">
        <v>6</v>
      </c>
      <c r="D5180" s="25" t="s">
        <v>668</v>
      </c>
      <c r="E5180" s="259">
        <v>22500</v>
      </c>
      <c r="F5180" s="259">
        <f t="shared" ref="F5180:F5191" si="107">E5180*C5180</f>
        <v>135000</v>
      </c>
    </row>
    <row r="5181" spans="1:6" ht="45" x14ac:dyDescent="0.25">
      <c r="A5181" s="25">
        <v>3</v>
      </c>
      <c r="B5181" s="24" t="s">
        <v>2530</v>
      </c>
      <c r="C5181" s="25">
        <v>70</v>
      </c>
      <c r="D5181" s="25" t="s">
        <v>33</v>
      </c>
      <c r="E5181" s="259">
        <v>1850</v>
      </c>
      <c r="F5181" s="259">
        <f t="shared" si="107"/>
        <v>129500</v>
      </c>
    </row>
    <row r="5182" spans="1:6" ht="45" x14ac:dyDescent="0.25">
      <c r="A5182" s="25">
        <v>4</v>
      </c>
      <c r="B5182" s="29" t="s">
        <v>2539</v>
      </c>
      <c r="C5182" s="25">
        <v>36</v>
      </c>
      <c r="D5182" s="25" t="s">
        <v>33</v>
      </c>
      <c r="E5182" s="259">
        <v>950</v>
      </c>
      <c r="F5182" s="259">
        <f t="shared" si="107"/>
        <v>34200</v>
      </c>
    </row>
    <row r="5183" spans="1:6" ht="45" x14ac:dyDescent="0.25">
      <c r="A5183" s="25">
        <v>4</v>
      </c>
      <c r="B5183" s="24" t="s">
        <v>1725</v>
      </c>
      <c r="C5183" s="25">
        <v>56</v>
      </c>
      <c r="D5183" s="25" t="s">
        <v>33</v>
      </c>
      <c r="E5183" s="259">
        <v>1800</v>
      </c>
      <c r="F5183" s="259">
        <f t="shared" si="107"/>
        <v>100800</v>
      </c>
    </row>
    <row r="5184" spans="1:6" ht="45" x14ac:dyDescent="0.25">
      <c r="A5184" s="25">
        <v>5</v>
      </c>
      <c r="B5184" s="24" t="s">
        <v>1053</v>
      </c>
      <c r="C5184" s="25">
        <v>270</v>
      </c>
      <c r="D5184" s="25" t="s">
        <v>9</v>
      </c>
      <c r="E5184" s="259">
        <v>540</v>
      </c>
      <c r="F5184" s="259">
        <f t="shared" si="107"/>
        <v>145800</v>
      </c>
    </row>
    <row r="5185" spans="1:6" ht="45" x14ac:dyDescent="0.25">
      <c r="A5185" s="25">
        <v>6</v>
      </c>
      <c r="B5185" s="24" t="s">
        <v>2531</v>
      </c>
      <c r="C5185" s="25">
        <v>590</v>
      </c>
      <c r="D5185" s="25" t="s">
        <v>9</v>
      </c>
      <c r="E5185" s="259">
        <v>160</v>
      </c>
      <c r="F5185" s="259">
        <f t="shared" si="107"/>
        <v>94400</v>
      </c>
    </row>
    <row r="5186" spans="1:6" ht="60" x14ac:dyDescent="0.25">
      <c r="A5186" s="25">
        <v>7</v>
      </c>
      <c r="B5186" s="24" t="s">
        <v>2532</v>
      </c>
      <c r="C5186" s="25">
        <v>110</v>
      </c>
      <c r="D5186" s="25" t="s">
        <v>9</v>
      </c>
      <c r="E5186" s="259">
        <v>1550</v>
      </c>
      <c r="F5186" s="259">
        <f t="shared" si="107"/>
        <v>170500</v>
      </c>
    </row>
    <row r="5187" spans="1:6" ht="45" x14ac:dyDescent="0.25">
      <c r="A5187" s="25">
        <v>8</v>
      </c>
      <c r="B5187" s="24" t="s">
        <v>2533</v>
      </c>
      <c r="C5187" s="25">
        <v>30</v>
      </c>
      <c r="D5187" s="25" t="s">
        <v>33</v>
      </c>
      <c r="E5187" s="259">
        <v>1850</v>
      </c>
      <c r="F5187" s="259">
        <f t="shared" si="107"/>
        <v>55500</v>
      </c>
    </row>
    <row r="5188" spans="1:6" ht="60" x14ac:dyDescent="0.25">
      <c r="A5188" s="25">
        <v>9</v>
      </c>
      <c r="B5188" s="24" t="s">
        <v>2537</v>
      </c>
      <c r="C5188" s="25">
        <v>616</v>
      </c>
      <c r="D5188" s="25" t="s">
        <v>9</v>
      </c>
      <c r="E5188" s="259">
        <v>2100</v>
      </c>
      <c r="F5188" s="259">
        <f t="shared" si="107"/>
        <v>1293600</v>
      </c>
    </row>
    <row r="5189" spans="1:6" ht="45" x14ac:dyDescent="0.25">
      <c r="A5189" s="25">
        <v>10</v>
      </c>
      <c r="B5189" s="24" t="s">
        <v>2535</v>
      </c>
      <c r="C5189" s="25">
        <v>192</v>
      </c>
      <c r="D5189" s="25" t="s">
        <v>9</v>
      </c>
      <c r="E5189" s="259">
        <v>450</v>
      </c>
      <c r="F5189" s="259">
        <f t="shared" si="107"/>
        <v>86400</v>
      </c>
    </row>
    <row r="5190" spans="1:6" ht="30" x14ac:dyDescent="0.25">
      <c r="A5190" s="25">
        <v>11</v>
      </c>
      <c r="B5190" s="24" t="s">
        <v>2534</v>
      </c>
      <c r="C5190" s="25">
        <v>312</v>
      </c>
      <c r="D5190" s="25" t="s">
        <v>9</v>
      </c>
      <c r="E5190" s="259">
        <v>480</v>
      </c>
      <c r="F5190" s="259">
        <f t="shared" si="107"/>
        <v>149760</v>
      </c>
    </row>
    <row r="5191" spans="1:6" ht="45" x14ac:dyDescent="0.25">
      <c r="A5191" s="25">
        <v>12</v>
      </c>
      <c r="B5191" s="24" t="s">
        <v>2538</v>
      </c>
      <c r="C5191" s="25">
        <v>280</v>
      </c>
      <c r="D5191" s="25" t="s">
        <v>9</v>
      </c>
      <c r="E5191" s="259">
        <v>560</v>
      </c>
      <c r="F5191" s="259">
        <f t="shared" si="107"/>
        <v>156800</v>
      </c>
    </row>
    <row r="5192" spans="1:6" ht="15.75" thickBot="1" x14ac:dyDescent="0.3">
      <c r="A5192" s="7"/>
      <c r="B5192" s="8"/>
      <c r="C5192" s="9"/>
      <c r="D5192" s="9"/>
      <c r="E5192" s="237"/>
      <c r="F5192" s="237"/>
    </row>
    <row r="5193" spans="1:6" ht="15.75" thickBot="1" x14ac:dyDescent="0.3">
      <c r="A5193" s="7"/>
      <c r="B5193" s="11" t="s">
        <v>10</v>
      </c>
      <c r="C5193" s="12"/>
      <c r="D5193" s="12"/>
      <c r="E5193" s="238"/>
      <c r="F5193" s="238">
        <f>SUM(F5179:F5191)</f>
        <v>2568460</v>
      </c>
    </row>
    <row r="5194" spans="1:6" ht="15.75" thickBot="1" x14ac:dyDescent="0.3">
      <c r="A5194" s="7"/>
      <c r="B5194" s="8"/>
      <c r="C5194" s="9"/>
      <c r="D5194" s="9"/>
      <c r="E5194" s="237"/>
      <c r="F5194" s="237"/>
    </row>
    <row r="5195" spans="1:6" ht="15.75" thickBot="1" x14ac:dyDescent="0.3">
      <c r="A5195" s="5" t="s">
        <v>0</v>
      </c>
      <c r="B5195" s="6" t="s">
        <v>1</v>
      </c>
      <c r="C5195" s="6" t="s">
        <v>2</v>
      </c>
      <c r="D5195" s="6" t="s">
        <v>3</v>
      </c>
      <c r="E5195" s="264" t="s">
        <v>4</v>
      </c>
      <c r="F5195" s="264" t="s">
        <v>5</v>
      </c>
    </row>
    <row r="5196" spans="1:6" ht="15.75" thickBot="1" x14ac:dyDescent="0.3">
      <c r="A5196" s="7">
        <v>1</v>
      </c>
      <c r="B5196" s="8" t="s">
        <v>488</v>
      </c>
      <c r="C5196" s="9">
        <v>216</v>
      </c>
      <c r="D5196" s="9" t="s">
        <v>32</v>
      </c>
      <c r="E5196" s="237">
        <v>75</v>
      </c>
      <c r="F5196" s="237">
        <f>E5196*C5196</f>
        <v>16200</v>
      </c>
    </row>
    <row r="5197" spans="1:6" ht="45.75" thickBot="1" x14ac:dyDescent="0.3">
      <c r="A5197" s="7">
        <v>2</v>
      </c>
      <c r="B5197" s="8" t="s">
        <v>1723</v>
      </c>
      <c r="C5197" s="9">
        <v>6</v>
      </c>
      <c r="D5197" s="9" t="s">
        <v>668</v>
      </c>
      <c r="E5197" s="237">
        <v>22500</v>
      </c>
      <c r="F5197" s="237">
        <f t="shared" ref="F5197:F5208" si="108">E5197*C5197</f>
        <v>135000</v>
      </c>
    </row>
    <row r="5198" spans="1:6" ht="45.75" thickBot="1" x14ac:dyDescent="0.3">
      <c r="A5198" s="7">
        <v>3</v>
      </c>
      <c r="B5198" s="8" t="s">
        <v>2530</v>
      </c>
      <c r="C5198" s="9">
        <v>70</v>
      </c>
      <c r="D5198" s="9" t="s">
        <v>33</v>
      </c>
      <c r="E5198" s="237">
        <v>1850</v>
      </c>
      <c r="F5198" s="237">
        <f t="shared" si="108"/>
        <v>129500</v>
      </c>
    </row>
    <row r="5199" spans="1:6" ht="45.75" thickBot="1" x14ac:dyDescent="0.3">
      <c r="A5199" s="7">
        <v>4</v>
      </c>
      <c r="B5199" s="8" t="s">
        <v>2540</v>
      </c>
      <c r="C5199" s="9">
        <v>36</v>
      </c>
      <c r="D5199" s="9" t="s">
        <v>33</v>
      </c>
      <c r="E5199" s="237">
        <v>1200</v>
      </c>
      <c r="F5199" s="237">
        <f t="shared" si="108"/>
        <v>43200</v>
      </c>
    </row>
    <row r="5200" spans="1:6" ht="45.75" thickBot="1" x14ac:dyDescent="0.3">
      <c r="A5200" s="7">
        <v>4</v>
      </c>
      <c r="B5200" s="8" t="s">
        <v>1725</v>
      </c>
      <c r="C5200" s="9">
        <v>56</v>
      </c>
      <c r="D5200" s="9" t="s">
        <v>33</v>
      </c>
      <c r="E5200" s="237">
        <v>1800</v>
      </c>
      <c r="F5200" s="237">
        <f t="shared" si="108"/>
        <v>100800</v>
      </c>
    </row>
    <row r="5201" spans="1:6" ht="45.75" thickBot="1" x14ac:dyDescent="0.3">
      <c r="A5201" s="7">
        <v>5</v>
      </c>
      <c r="B5201" s="8" t="s">
        <v>1053</v>
      </c>
      <c r="C5201" s="9">
        <v>270</v>
      </c>
      <c r="D5201" s="9" t="s">
        <v>9</v>
      </c>
      <c r="E5201" s="237">
        <v>540</v>
      </c>
      <c r="F5201" s="237">
        <f t="shared" si="108"/>
        <v>145800</v>
      </c>
    </row>
    <row r="5202" spans="1:6" ht="45.75" thickBot="1" x14ac:dyDescent="0.3">
      <c r="A5202" s="7">
        <v>6</v>
      </c>
      <c r="B5202" s="8" t="s">
        <v>2531</v>
      </c>
      <c r="C5202" s="9">
        <v>590</v>
      </c>
      <c r="D5202" s="9" t="s">
        <v>9</v>
      </c>
      <c r="E5202" s="237">
        <v>160</v>
      </c>
      <c r="F5202" s="237">
        <f t="shared" si="108"/>
        <v>94400</v>
      </c>
    </row>
    <row r="5203" spans="1:6" ht="60.75" thickBot="1" x14ac:dyDescent="0.3">
      <c r="A5203" s="7">
        <v>7</v>
      </c>
      <c r="B5203" s="8" t="s">
        <v>2532</v>
      </c>
      <c r="C5203" s="9">
        <v>110</v>
      </c>
      <c r="D5203" s="9" t="s">
        <v>9</v>
      </c>
      <c r="E5203" s="237">
        <v>1550</v>
      </c>
      <c r="F5203" s="237">
        <f t="shared" si="108"/>
        <v>170500</v>
      </c>
    </row>
    <row r="5204" spans="1:6" ht="45.75" thickBot="1" x14ac:dyDescent="0.3">
      <c r="A5204" s="7">
        <v>8</v>
      </c>
      <c r="B5204" s="8" t="s">
        <v>2533</v>
      </c>
      <c r="C5204" s="9">
        <v>30</v>
      </c>
      <c r="D5204" s="9" t="s">
        <v>33</v>
      </c>
      <c r="E5204" s="237">
        <v>1850</v>
      </c>
      <c r="F5204" s="237">
        <f t="shared" si="108"/>
        <v>55500</v>
      </c>
    </row>
    <row r="5205" spans="1:6" ht="75.75" thickBot="1" x14ac:dyDescent="0.3">
      <c r="A5205" s="7">
        <v>9</v>
      </c>
      <c r="B5205" s="8" t="s">
        <v>2541</v>
      </c>
      <c r="C5205" s="9">
        <v>616</v>
      </c>
      <c r="D5205" s="9" t="s">
        <v>9</v>
      </c>
      <c r="E5205" s="237">
        <v>2250</v>
      </c>
      <c r="F5205" s="237">
        <f t="shared" si="108"/>
        <v>1386000</v>
      </c>
    </row>
    <row r="5206" spans="1:6" ht="45.75" thickBot="1" x14ac:dyDescent="0.3">
      <c r="A5206" s="7">
        <v>10</v>
      </c>
      <c r="B5206" s="8" t="s">
        <v>2535</v>
      </c>
      <c r="C5206" s="9">
        <v>192</v>
      </c>
      <c r="D5206" s="9" t="s">
        <v>9</v>
      </c>
      <c r="E5206" s="237">
        <v>450</v>
      </c>
      <c r="F5206" s="237">
        <f t="shared" si="108"/>
        <v>86400</v>
      </c>
    </row>
    <row r="5207" spans="1:6" ht="30.75" thickBot="1" x14ac:dyDescent="0.3">
      <c r="A5207" s="7">
        <v>11</v>
      </c>
      <c r="B5207" s="8" t="s">
        <v>2534</v>
      </c>
      <c r="C5207" s="9">
        <v>312</v>
      </c>
      <c r="D5207" s="9" t="s">
        <v>9</v>
      </c>
      <c r="E5207" s="237">
        <v>480</v>
      </c>
      <c r="F5207" s="237">
        <f t="shared" si="108"/>
        <v>149760</v>
      </c>
    </row>
    <row r="5208" spans="1:6" ht="45.75" thickBot="1" x14ac:dyDescent="0.3">
      <c r="A5208" s="7">
        <v>12</v>
      </c>
      <c r="B5208" s="8" t="s">
        <v>2538</v>
      </c>
      <c r="C5208" s="9">
        <v>280</v>
      </c>
      <c r="D5208" s="9" t="s">
        <v>9</v>
      </c>
      <c r="E5208" s="237">
        <v>560</v>
      </c>
      <c r="F5208" s="237">
        <f t="shared" si="108"/>
        <v>156800</v>
      </c>
    </row>
    <row r="5209" spans="1:6" ht="15.75" thickBot="1" x14ac:dyDescent="0.3">
      <c r="A5209" s="7"/>
      <c r="B5209" s="8"/>
      <c r="C5209" s="9"/>
      <c r="D5209" s="9"/>
      <c r="E5209" s="237"/>
      <c r="F5209" s="237"/>
    </row>
    <row r="5210" spans="1:6" ht="15.75" thickBot="1" x14ac:dyDescent="0.3">
      <c r="A5210" s="7"/>
      <c r="B5210" s="11" t="s">
        <v>10</v>
      </c>
      <c r="C5210" s="12"/>
      <c r="D5210" s="12"/>
      <c r="E5210" s="238"/>
      <c r="F5210" s="238">
        <f>SUM(F5196:F5208)</f>
        <v>2669860</v>
      </c>
    </row>
    <row r="5211" spans="1:6" ht="15.75" thickBot="1" x14ac:dyDescent="0.3">
      <c r="A5211" s="7"/>
      <c r="B5211" s="8"/>
      <c r="C5211" s="9"/>
      <c r="D5211" s="9"/>
      <c r="E5211" s="237"/>
      <c r="F5211" s="237"/>
    </row>
    <row r="5212" spans="1:6" ht="15.75" thickBot="1" x14ac:dyDescent="0.3">
      <c r="F5212" s="16">
        <f>E5212*C5212</f>
        <v>0</v>
      </c>
    </row>
    <row r="5213" spans="1:6" ht="15.75" thickBot="1" x14ac:dyDescent="0.3">
      <c r="A5213" s="383" t="s">
        <v>0</v>
      </c>
      <c r="B5213" s="384" t="s">
        <v>1</v>
      </c>
      <c r="C5213" s="394" t="s">
        <v>2</v>
      </c>
      <c r="D5213" s="384" t="s">
        <v>3</v>
      </c>
      <c r="E5213" s="403" t="s">
        <v>4</v>
      </c>
      <c r="F5213" s="403" t="s">
        <v>5</v>
      </c>
    </row>
    <row r="5214" spans="1:6" ht="60.75" thickBot="1" x14ac:dyDescent="0.3">
      <c r="A5214" s="386">
        <v>1</v>
      </c>
      <c r="B5214" s="388" t="s">
        <v>1640</v>
      </c>
      <c r="C5214" s="395">
        <v>1275</v>
      </c>
      <c r="D5214" s="389" t="s">
        <v>769</v>
      </c>
      <c r="E5214" s="390">
        <v>175</v>
      </c>
      <c r="F5214" s="390">
        <f>E5214*C5214</f>
        <v>223125</v>
      </c>
    </row>
    <row r="5215" spans="1:6" ht="60.75" thickBot="1" x14ac:dyDescent="0.3">
      <c r="A5215" s="386">
        <v>2</v>
      </c>
      <c r="B5215" s="388" t="s">
        <v>1641</v>
      </c>
      <c r="C5215" s="389">
        <v>4100</v>
      </c>
      <c r="D5215" s="389" t="s">
        <v>769</v>
      </c>
      <c r="E5215" s="390">
        <v>165</v>
      </c>
      <c r="F5215" s="390">
        <f t="shared" ref="F5215:F5223" si="109">E5215*C5215</f>
        <v>676500</v>
      </c>
    </row>
    <row r="5216" spans="1:6" ht="60.75" thickBot="1" x14ac:dyDescent="0.3">
      <c r="A5216" s="386">
        <v>3</v>
      </c>
      <c r="B5216" s="388" t="s">
        <v>1642</v>
      </c>
      <c r="C5216" s="389">
        <v>1125</v>
      </c>
      <c r="D5216" s="389" t="s">
        <v>769</v>
      </c>
      <c r="E5216" s="390">
        <v>375</v>
      </c>
      <c r="F5216" s="390">
        <f t="shared" si="109"/>
        <v>421875</v>
      </c>
    </row>
    <row r="5217" spans="1:6" ht="45.75" thickBot="1" x14ac:dyDescent="0.3">
      <c r="A5217" s="386">
        <v>4</v>
      </c>
      <c r="B5217" s="388" t="s">
        <v>1643</v>
      </c>
      <c r="C5217" s="389">
        <v>1125</v>
      </c>
      <c r="D5217" s="389" t="s">
        <v>769</v>
      </c>
      <c r="E5217" s="390">
        <v>195</v>
      </c>
      <c r="F5217" s="390">
        <f t="shared" si="109"/>
        <v>219375</v>
      </c>
    </row>
    <row r="5218" spans="1:6" ht="30.75" thickBot="1" x14ac:dyDescent="0.3">
      <c r="A5218" s="386">
        <v>5</v>
      </c>
      <c r="B5218" s="388" t="s">
        <v>1644</v>
      </c>
      <c r="C5218" s="389">
        <v>620</v>
      </c>
      <c r="D5218" s="389" t="s">
        <v>769</v>
      </c>
      <c r="E5218" s="390">
        <v>110</v>
      </c>
      <c r="F5218" s="390">
        <f t="shared" si="109"/>
        <v>68200</v>
      </c>
    </row>
    <row r="5219" spans="1:6" ht="75.75" thickBot="1" x14ac:dyDescent="0.3">
      <c r="A5219" s="386">
        <v>6</v>
      </c>
      <c r="B5219" s="388" t="s">
        <v>1645</v>
      </c>
      <c r="C5219" s="389">
        <v>1</v>
      </c>
      <c r="D5219" s="389" t="s">
        <v>11</v>
      </c>
      <c r="E5219" s="390">
        <v>165000</v>
      </c>
      <c r="F5219" s="390">
        <f t="shared" si="109"/>
        <v>165000</v>
      </c>
    </row>
    <row r="5220" spans="1:6" ht="45.75" thickBot="1" x14ac:dyDescent="0.3">
      <c r="A5220" s="386">
        <v>7</v>
      </c>
      <c r="B5220" s="388" t="s">
        <v>291</v>
      </c>
      <c r="C5220" s="389">
        <v>492</v>
      </c>
      <c r="D5220" s="389" t="s">
        <v>769</v>
      </c>
      <c r="E5220" s="390">
        <v>210</v>
      </c>
      <c r="F5220" s="390">
        <f t="shared" si="109"/>
        <v>103320</v>
      </c>
    </row>
    <row r="5221" spans="1:6" ht="75.75" thickBot="1" x14ac:dyDescent="0.3">
      <c r="A5221" s="386">
        <v>8</v>
      </c>
      <c r="B5221" s="388" t="s">
        <v>1639</v>
      </c>
      <c r="C5221" s="389">
        <v>1</v>
      </c>
      <c r="D5221" s="389" t="s">
        <v>641</v>
      </c>
      <c r="E5221" s="390">
        <v>430000</v>
      </c>
      <c r="F5221" s="390">
        <f t="shared" si="109"/>
        <v>430000</v>
      </c>
    </row>
    <row r="5222" spans="1:6" ht="60.75" thickBot="1" x14ac:dyDescent="0.3">
      <c r="A5222" s="386">
        <v>9</v>
      </c>
      <c r="B5222" s="388" t="s">
        <v>1646</v>
      </c>
      <c r="C5222" s="389">
        <v>1</v>
      </c>
      <c r="D5222" s="389" t="s">
        <v>641</v>
      </c>
      <c r="E5222" s="390">
        <v>55000</v>
      </c>
      <c r="F5222" s="390">
        <f t="shared" si="109"/>
        <v>55000</v>
      </c>
    </row>
    <row r="5223" spans="1:6" ht="60.75" thickBot="1" x14ac:dyDescent="0.3">
      <c r="A5223" s="386">
        <v>10</v>
      </c>
      <c r="B5223" s="388" t="s">
        <v>1647</v>
      </c>
      <c r="C5223" s="389">
        <v>1</v>
      </c>
      <c r="D5223" s="389" t="s">
        <v>11</v>
      </c>
      <c r="E5223" s="390">
        <v>68000</v>
      </c>
      <c r="F5223" s="390">
        <f t="shared" si="109"/>
        <v>68000</v>
      </c>
    </row>
    <row r="5224" spans="1:6" ht="15.75" thickBot="1" x14ac:dyDescent="0.3">
      <c r="A5224" s="386"/>
      <c r="B5224" s="396" t="s">
        <v>1638</v>
      </c>
      <c r="C5224" s="389"/>
      <c r="D5224" s="389"/>
      <c r="E5224" s="390"/>
      <c r="F5224" s="390"/>
    </row>
    <row r="5225" spans="1:6" ht="90.75" thickBot="1" x14ac:dyDescent="0.3">
      <c r="A5225" s="386">
        <v>11</v>
      </c>
      <c r="B5225" s="388" t="s">
        <v>1648</v>
      </c>
      <c r="C5225" s="389">
        <v>1</v>
      </c>
      <c r="D5225" s="389" t="s">
        <v>11</v>
      </c>
      <c r="E5225" s="390">
        <v>68000</v>
      </c>
      <c r="F5225" s="390">
        <f>E5225*C5225</f>
        <v>68000</v>
      </c>
    </row>
    <row r="5226" spans="1:6" ht="60.75" thickBot="1" x14ac:dyDescent="0.3">
      <c r="A5226" s="386">
        <v>12</v>
      </c>
      <c r="B5226" s="388" t="s">
        <v>2542</v>
      </c>
      <c r="C5226" s="389">
        <v>1</v>
      </c>
      <c r="D5226" s="389" t="s">
        <v>11</v>
      </c>
      <c r="E5226" s="390">
        <v>120000</v>
      </c>
      <c r="F5226" s="390">
        <f>E5226*C5226</f>
        <v>120000</v>
      </c>
    </row>
    <row r="5227" spans="1:6" ht="60.75" thickBot="1" x14ac:dyDescent="0.3">
      <c r="A5227" s="386">
        <v>13</v>
      </c>
      <c r="B5227" s="388" t="s">
        <v>2545</v>
      </c>
      <c r="C5227" s="416"/>
      <c r="D5227" s="417"/>
      <c r="E5227" s="417"/>
      <c r="F5227" s="661"/>
    </row>
    <row r="5228" spans="1:6" ht="15.75" thickBot="1" x14ac:dyDescent="0.3">
      <c r="A5228" s="386">
        <v>13.1</v>
      </c>
      <c r="B5228" s="388" t="s">
        <v>2543</v>
      </c>
      <c r="C5228" s="389">
        <v>1</v>
      </c>
      <c r="D5228" s="389" t="s">
        <v>11</v>
      </c>
      <c r="E5228" s="390">
        <v>35000</v>
      </c>
      <c r="F5228" s="390">
        <f>E5228*C5228</f>
        <v>35000</v>
      </c>
    </row>
    <row r="5229" spans="1:6" ht="15.75" thickBot="1" x14ac:dyDescent="0.3">
      <c r="A5229" s="386">
        <v>13.2</v>
      </c>
      <c r="B5229" s="388" t="s">
        <v>2544</v>
      </c>
      <c r="C5229" s="389">
        <v>1</v>
      </c>
      <c r="D5229" s="389" t="s">
        <v>11</v>
      </c>
      <c r="E5229" s="390">
        <v>40000</v>
      </c>
      <c r="F5229" s="390">
        <f>E5229*C5229</f>
        <v>40000</v>
      </c>
    </row>
    <row r="5230" spans="1:6" ht="45.75" thickBot="1" x14ac:dyDescent="0.3">
      <c r="A5230" s="386">
        <v>14</v>
      </c>
      <c r="B5230" s="388" t="s">
        <v>2547</v>
      </c>
      <c r="C5230" s="389">
        <v>230</v>
      </c>
      <c r="D5230" s="389" t="s">
        <v>769</v>
      </c>
      <c r="E5230" s="390">
        <v>650</v>
      </c>
      <c r="F5230" s="390">
        <f>E5230*C5230</f>
        <v>149500</v>
      </c>
    </row>
    <row r="5231" spans="1:6" ht="45.75" thickBot="1" x14ac:dyDescent="0.3">
      <c r="A5231" s="386">
        <v>15</v>
      </c>
      <c r="B5231" s="388" t="s">
        <v>2546</v>
      </c>
      <c r="C5231" s="389">
        <v>130</v>
      </c>
      <c r="D5231" s="389" t="s">
        <v>769</v>
      </c>
      <c r="E5231" s="390">
        <v>450</v>
      </c>
      <c r="F5231" s="390">
        <f>E5231*C5231</f>
        <v>58500</v>
      </c>
    </row>
    <row r="5232" spans="1:6" ht="15.75" thickBot="1" x14ac:dyDescent="0.3">
      <c r="A5232" s="386"/>
      <c r="B5232" s="388"/>
      <c r="C5232" s="389"/>
      <c r="D5232" s="389"/>
      <c r="E5232" s="390"/>
      <c r="F5232" s="390"/>
    </row>
    <row r="5233" spans="1:14" ht="15.75" thickBot="1" x14ac:dyDescent="0.3">
      <c r="A5233" s="386"/>
      <c r="B5233" s="391" t="s">
        <v>224</v>
      </c>
      <c r="C5233" s="392"/>
      <c r="D5233" s="392"/>
      <c r="E5233" s="393"/>
      <c r="F5233" s="393">
        <f>SUM(F5214:F5231)</f>
        <v>2901395</v>
      </c>
    </row>
    <row r="5234" spans="1:14" ht="15.75" thickBot="1" x14ac:dyDescent="0.3">
      <c r="A5234" s="386"/>
      <c r="B5234" s="388"/>
      <c r="C5234" s="389"/>
      <c r="D5234" s="389"/>
      <c r="E5234" s="390"/>
      <c r="F5234" s="390"/>
    </row>
    <row r="5235" spans="1:14" x14ac:dyDescent="0.25">
      <c r="F5235" s="16">
        <f t="shared" ref="F5235:F5251" si="110">E5235*C5235</f>
        <v>0</v>
      </c>
    </row>
    <row r="5236" spans="1:14" ht="90" x14ac:dyDescent="0.25">
      <c r="B5236" s="14" t="s">
        <v>2548</v>
      </c>
      <c r="F5236" s="16">
        <f t="shared" si="110"/>
        <v>0</v>
      </c>
    </row>
    <row r="5237" spans="1:14" ht="15.75" thickBot="1" x14ac:dyDescent="0.3">
      <c r="F5237" s="16">
        <f t="shared" si="110"/>
        <v>0</v>
      </c>
    </row>
    <row r="5238" spans="1:14" ht="15.75" thickBot="1" x14ac:dyDescent="0.3">
      <c r="A5238" s="383" t="s">
        <v>0</v>
      </c>
      <c r="B5238" s="384" t="s">
        <v>1</v>
      </c>
      <c r="C5238" s="394" t="s">
        <v>2</v>
      </c>
      <c r="D5238" s="384" t="s">
        <v>3</v>
      </c>
      <c r="E5238" s="403" t="s">
        <v>4</v>
      </c>
      <c r="F5238" s="403" t="s">
        <v>5</v>
      </c>
    </row>
    <row r="5239" spans="1:14" ht="75" x14ac:dyDescent="0.25">
      <c r="A5239" s="13" t="s">
        <v>1618</v>
      </c>
      <c r="B5239" s="14" t="s">
        <v>2549</v>
      </c>
      <c r="C5239" s="316">
        <v>1</v>
      </c>
      <c r="D5239" s="15" t="s">
        <v>11</v>
      </c>
      <c r="E5239" s="16">
        <v>68000</v>
      </c>
      <c r="F5239" s="16">
        <f t="shared" si="110"/>
        <v>68000</v>
      </c>
    </row>
    <row r="5240" spans="1:14" ht="105" x14ac:dyDescent="0.25">
      <c r="A5240" s="13" t="s">
        <v>1620</v>
      </c>
      <c r="B5240" s="14" t="s">
        <v>2550</v>
      </c>
      <c r="C5240" s="316">
        <v>1</v>
      </c>
      <c r="D5240" s="15" t="s">
        <v>11</v>
      </c>
      <c r="E5240" s="16">
        <v>260000</v>
      </c>
      <c r="F5240" s="16">
        <f t="shared" si="110"/>
        <v>260000</v>
      </c>
    </row>
    <row r="5241" spans="1:14" ht="90" x14ac:dyDescent="0.25">
      <c r="A5241" s="13" t="s">
        <v>1621</v>
      </c>
      <c r="B5241" s="14" t="s">
        <v>2551</v>
      </c>
      <c r="C5241" s="316">
        <v>1</v>
      </c>
      <c r="D5241" s="15" t="s">
        <v>641</v>
      </c>
      <c r="E5241" s="16">
        <v>42000</v>
      </c>
      <c r="F5241" s="16">
        <f t="shared" si="110"/>
        <v>42000</v>
      </c>
    </row>
    <row r="5243" spans="1:14" x14ac:dyDescent="0.25">
      <c r="B5243" s="17" t="s">
        <v>10</v>
      </c>
      <c r="C5243" s="31"/>
      <c r="D5243" s="18"/>
      <c r="E5243" s="239"/>
      <c r="F5243" s="239">
        <f>SUM(F5241,F5240,F5239)</f>
        <v>370000</v>
      </c>
      <c r="L5243" s="364">
        <v>180.6</v>
      </c>
      <c r="M5243" s="365"/>
      <c r="N5243" s="364"/>
    </row>
    <row r="5244" spans="1:14" ht="15.75" thickBot="1" x14ac:dyDescent="0.3">
      <c r="L5244" s="364"/>
      <c r="M5244" s="365"/>
      <c r="N5244" s="364"/>
    </row>
    <row r="5245" spans="1:14" ht="15.75" thickBot="1" x14ac:dyDescent="0.3">
      <c r="A5245" s="383" t="s">
        <v>0</v>
      </c>
      <c r="B5245" s="384" t="s">
        <v>1</v>
      </c>
      <c r="C5245" s="394" t="s">
        <v>2</v>
      </c>
      <c r="D5245" s="384" t="s">
        <v>3</v>
      </c>
      <c r="E5245" s="403" t="s">
        <v>4</v>
      </c>
      <c r="F5245" s="403" t="s">
        <v>5</v>
      </c>
      <c r="L5245" s="364"/>
      <c r="M5245" s="365"/>
      <c r="N5245" s="364"/>
    </row>
    <row r="5246" spans="1:14" ht="30" x14ac:dyDescent="0.25">
      <c r="A5246" s="13" t="s">
        <v>1618</v>
      </c>
      <c r="B5246" s="14" t="s">
        <v>2552</v>
      </c>
      <c r="C5246" s="316">
        <v>976.5</v>
      </c>
      <c r="D5246" s="15" t="s">
        <v>9</v>
      </c>
      <c r="E5246" s="16">
        <v>190</v>
      </c>
      <c r="F5246" s="16">
        <f t="shared" si="110"/>
        <v>185535</v>
      </c>
      <c r="L5246" s="364"/>
      <c r="M5246" s="365"/>
      <c r="N5246" s="364"/>
    </row>
    <row r="5247" spans="1:14" x14ac:dyDescent="0.25">
      <c r="A5247" s="13" t="s">
        <v>1620</v>
      </c>
      <c r="B5247" s="14" t="s">
        <v>2553</v>
      </c>
      <c r="C5247" s="316">
        <v>515</v>
      </c>
      <c r="D5247" s="15" t="s">
        <v>9</v>
      </c>
      <c r="E5247" s="16">
        <v>35</v>
      </c>
      <c r="F5247" s="16">
        <f t="shared" si="110"/>
        <v>18025</v>
      </c>
      <c r="L5247" s="364"/>
      <c r="M5247" s="365"/>
      <c r="N5247" s="364"/>
    </row>
    <row r="5248" spans="1:14" x14ac:dyDescent="0.25">
      <c r="A5248" s="13" t="s">
        <v>1621</v>
      </c>
      <c r="B5248" s="14" t="s">
        <v>2554</v>
      </c>
      <c r="C5248" s="316">
        <v>253</v>
      </c>
      <c r="D5248" s="15" t="s">
        <v>9</v>
      </c>
      <c r="E5248" s="16">
        <v>130</v>
      </c>
      <c r="F5248" s="16">
        <f t="shared" si="110"/>
        <v>32890</v>
      </c>
      <c r="L5248" s="364"/>
      <c r="M5248" s="365"/>
      <c r="N5248" s="364"/>
    </row>
    <row r="5249" spans="1:18" x14ac:dyDescent="0.25">
      <c r="A5249" s="13" t="s">
        <v>1623</v>
      </c>
      <c r="B5249" s="14" t="s">
        <v>775</v>
      </c>
      <c r="C5249" s="316">
        <v>80</v>
      </c>
      <c r="D5249" s="15" t="s">
        <v>9</v>
      </c>
      <c r="E5249" s="16">
        <v>120</v>
      </c>
      <c r="F5249" s="16">
        <f t="shared" si="110"/>
        <v>9600</v>
      </c>
      <c r="L5249" s="364"/>
      <c r="M5249" s="365"/>
      <c r="N5249" s="364"/>
    </row>
    <row r="5250" spans="1:18" ht="30" x14ac:dyDescent="0.25">
      <c r="A5250" s="13" t="s">
        <v>1631</v>
      </c>
      <c r="B5250" s="14" t="s">
        <v>2555</v>
      </c>
      <c r="C5250" s="316">
        <v>178.5</v>
      </c>
      <c r="D5250" s="15" t="s">
        <v>9</v>
      </c>
      <c r="E5250" s="16">
        <v>80</v>
      </c>
      <c r="F5250" s="16">
        <f t="shared" si="110"/>
        <v>14280</v>
      </c>
      <c r="L5250" s="215">
        <f>SUM(L5243:L5249,M5243:N5249)</f>
        <v>180.6</v>
      </c>
      <c r="M5250" s="215" t="s">
        <v>407</v>
      </c>
    </row>
    <row r="5251" spans="1:18" x14ac:dyDescent="0.25">
      <c r="A5251" s="13" t="s">
        <v>1632</v>
      </c>
      <c r="B5251" s="14" t="s">
        <v>1806</v>
      </c>
      <c r="C5251" s="316">
        <v>45.5</v>
      </c>
      <c r="D5251" s="15" t="s">
        <v>9</v>
      </c>
      <c r="E5251" s="16">
        <v>400</v>
      </c>
      <c r="F5251" s="16">
        <f t="shared" si="110"/>
        <v>18200</v>
      </c>
    </row>
    <row r="5252" spans="1:18" x14ac:dyDescent="0.25">
      <c r="Q5252" s="397" t="s">
        <v>331</v>
      </c>
      <c r="R5252" s="397" t="s">
        <v>231</v>
      </c>
    </row>
    <row r="5253" spans="1:18" x14ac:dyDescent="0.25">
      <c r="B5253" s="17" t="s">
        <v>10</v>
      </c>
      <c r="C5253" s="31"/>
      <c r="D5253" s="18"/>
      <c r="E5253" s="239"/>
      <c r="F5253" s="239">
        <f>SUM(F5246:F5251)</f>
        <v>278530</v>
      </c>
      <c r="Q5253" s="398">
        <v>45509</v>
      </c>
      <c r="R5253" s="399">
        <v>3200000</v>
      </c>
    </row>
    <row r="5254" spans="1:18" x14ac:dyDescent="0.25">
      <c r="A5254" s="19"/>
      <c r="B5254" s="20"/>
      <c r="C5254" s="320"/>
      <c r="D5254" s="21"/>
      <c r="E5254" s="243"/>
      <c r="F5254" s="243"/>
      <c r="Q5254" s="398">
        <v>45510</v>
      </c>
      <c r="R5254" s="399">
        <v>1000000</v>
      </c>
    </row>
    <row r="5255" spans="1:18" x14ac:dyDescent="0.25">
      <c r="A5255" s="1" t="s">
        <v>0</v>
      </c>
      <c r="B5255" s="1" t="s">
        <v>1</v>
      </c>
      <c r="C5255" s="1" t="s">
        <v>2</v>
      </c>
      <c r="D5255" s="1" t="s">
        <v>3</v>
      </c>
      <c r="E5255" s="275" t="s">
        <v>4</v>
      </c>
      <c r="F5255" s="275" t="s">
        <v>5</v>
      </c>
      <c r="Q5255" s="398">
        <v>45523</v>
      </c>
      <c r="R5255" s="399">
        <v>1000000</v>
      </c>
    </row>
    <row r="5256" spans="1:18" x14ac:dyDescent="0.25">
      <c r="A5256" s="26" t="s">
        <v>1618</v>
      </c>
      <c r="B5256" s="52" t="s">
        <v>2556</v>
      </c>
      <c r="C5256" s="322">
        <v>2890.28</v>
      </c>
      <c r="D5256" s="53" t="s">
        <v>9</v>
      </c>
      <c r="E5256" s="248">
        <v>42</v>
      </c>
      <c r="F5256" s="248">
        <f>E5256*C5256</f>
        <v>121391.76000000001</v>
      </c>
      <c r="Q5256" s="398">
        <v>45569</v>
      </c>
      <c r="R5256" s="399">
        <v>500000</v>
      </c>
    </row>
    <row r="5257" spans="1:18" x14ac:dyDescent="0.25">
      <c r="A5257" s="13" t="s">
        <v>1620</v>
      </c>
      <c r="B5257" s="14" t="s">
        <v>2557</v>
      </c>
      <c r="C5257" s="316">
        <v>2890.28</v>
      </c>
      <c r="D5257" s="15" t="s">
        <v>9</v>
      </c>
      <c r="E5257" s="16">
        <v>35</v>
      </c>
      <c r="F5257" s="248">
        <f t="shared" ref="F5257:F5258" si="111">E5257*C5257</f>
        <v>101159.8</v>
      </c>
      <c r="L5257" s="364"/>
      <c r="M5257" s="365"/>
      <c r="N5257" s="364"/>
      <c r="O5257" s="364"/>
      <c r="Q5257" s="398">
        <v>45630</v>
      </c>
      <c r="R5257" s="399">
        <v>500000</v>
      </c>
    </row>
    <row r="5258" spans="1:18" ht="30" x14ac:dyDescent="0.25">
      <c r="A5258" s="13" t="s">
        <v>1621</v>
      </c>
      <c r="B5258" s="14" t="s">
        <v>2558</v>
      </c>
      <c r="C5258" s="316">
        <v>316.89999999999998</v>
      </c>
      <c r="D5258" s="15" t="s">
        <v>33</v>
      </c>
      <c r="E5258" s="16">
        <v>77</v>
      </c>
      <c r="F5258" s="248">
        <f t="shared" si="111"/>
        <v>24401.3</v>
      </c>
      <c r="L5258" s="364"/>
      <c r="M5258" s="365"/>
      <c r="N5258" s="364"/>
      <c r="O5258" s="364"/>
      <c r="Q5258" s="398">
        <v>45677</v>
      </c>
      <c r="R5258" s="399">
        <v>300000</v>
      </c>
    </row>
    <row r="5259" spans="1:18" x14ac:dyDescent="0.25">
      <c r="L5259" s="364"/>
      <c r="M5259" s="365"/>
      <c r="N5259" s="364"/>
      <c r="O5259" s="364"/>
      <c r="Q5259" s="398">
        <v>45695</v>
      </c>
      <c r="R5259" s="399">
        <v>500000</v>
      </c>
    </row>
    <row r="5260" spans="1:18" x14ac:dyDescent="0.25">
      <c r="B5260" s="17" t="s">
        <v>10</v>
      </c>
      <c r="C5260" s="31"/>
      <c r="D5260" s="18"/>
      <c r="E5260" s="239"/>
      <c r="F5260" s="272">
        <f>SUM(F5256:F5258)</f>
        <v>246952.86</v>
      </c>
      <c r="L5260" s="364"/>
      <c r="M5260" s="365"/>
      <c r="N5260" s="364"/>
      <c r="O5260" s="364"/>
      <c r="Q5260" s="398">
        <v>45712</v>
      </c>
      <c r="R5260" s="399">
        <v>200000</v>
      </c>
    </row>
    <row r="5261" spans="1:18" x14ac:dyDescent="0.25">
      <c r="F5261" s="248"/>
      <c r="L5261" s="364"/>
      <c r="M5261" s="365"/>
      <c r="N5261" s="364"/>
      <c r="O5261" s="364"/>
      <c r="Q5261" s="398">
        <v>45733</v>
      </c>
      <c r="R5261" s="399">
        <v>200000</v>
      </c>
    </row>
    <row r="5262" spans="1:18" x14ac:dyDescent="0.25">
      <c r="A5262" s="1" t="s">
        <v>0</v>
      </c>
      <c r="B5262" s="1" t="s">
        <v>1</v>
      </c>
      <c r="C5262" s="1" t="s">
        <v>2</v>
      </c>
      <c r="D5262" s="1" t="s">
        <v>3</v>
      </c>
      <c r="E5262" s="275" t="s">
        <v>4</v>
      </c>
      <c r="F5262" s="275" t="s">
        <v>5</v>
      </c>
      <c r="L5262" s="364"/>
      <c r="M5262" s="365"/>
      <c r="N5262" s="364"/>
      <c r="O5262" s="364"/>
      <c r="Q5262" s="398">
        <v>45747</v>
      </c>
      <c r="R5262" s="399">
        <v>200000</v>
      </c>
    </row>
    <row r="5263" spans="1:18" ht="90" x14ac:dyDescent="0.25">
      <c r="A5263" s="13" t="s">
        <v>1618</v>
      </c>
      <c r="B5263" s="14" t="s">
        <v>2559</v>
      </c>
      <c r="C5263" s="316">
        <v>1</v>
      </c>
      <c r="D5263" s="15" t="s">
        <v>407</v>
      </c>
      <c r="E5263" s="16">
        <v>190000</v>
      </c>
      <c r="F5263" s="248">
        <f>E5263*C5263</f>
        <v>190000</v>
      </c>
      <c r="L5263" s="364"/>
      <c r="M5263" s="365"/>
      <c r="N5263" s="364"/>
      <c r="O5263" s="364"/>
      <c r="Q5263" s="398">
        <v>45757</v>
      </c>
      <c r="R5263" s="399">
        <v>300000</v>
      </c>
    </row>
    <row r="5264" spans="1:18" x14ac:dyDescent="0.25">
      <c r="L5264" s="364"/>
      <c r="M5264" s="365"/>
      <c r="N5264" s="364"/>
      <c r="O5264" s="364"/>
      <c r="Q5264" s="398">
        <v>45777</v>
      </c>
      <c r="R5264" s="399">
        <v>1000000</v>
      </c>
    </row>
    <row r="5265" spans="1:18" x14ac:dyDescent="0.25">
      <c r="B5265" s="17" t="s">
        <v>10</v>
      </c>
      <c r="C5265" s="31"/>
      <c r="D5265" s="18"/>
      <c r="E5265" s="239"/>
      <c r="F5265" s="239">
        <f>F5263</f>
        <v>190000</v>
      </c>
      <c r="G5265" s="400"/>
      <c r="L5265" s="364"/>
      <c r="M5265" s="365"/>
      <c r="N5265" s="364"/>
      <c r="O5265" s="364"/>
      <c r="Q5265" s="398">
        <v>45805</v>
      </c>
      <c r="R5265" s="399">
        <v>1000000</v>
      </c>
    </row>
    <row r="5266" spans="1:18" x14ac:dyDescent="0.25">
      <c r="Q5266" s="398">
        <v>45929</v>
      </c>
      <c r="R5266" s="399">
        <v>300000</v>
      </c>
    </row>
    <row r="5267" spans="1:18" x14ac:dyDescent="0.25">
      <c r="A5267" s="1" t="s">
        <v>0</v>
      </c>
      <c r="B5267" s="1" t="s">
        <v>1</v>
      </c>
      <c r="C5267" s="1" t="s">
        <v>2</v>
      </c>
      <c r="D5267" s="1" t="s">
        <v>3</v>
      </c>
      <c r="E5267" s="275" t="s">
        <v>4</v>
      </c>
      <c r="F5267" s="275" t="s">
        <v>5</v>
      </c>
      <c r="L5267" s="33">
        <f>SUM(L5257:O5265)</f>
        <v>0</v>
      </c>
      <c r="M5267" s="215" t="s">
        <v>772</v>
      </c>
      <c r="Q5267" s="398">
        <v>45943</v>
      </c>
      <c r="R5267" s="399">
        <v>100000</v>
      </c>
    </row>
    <row r="5268" spans="1:18" ht="45" x14ac:dyDescent="0.25">
      <c r="A5268" s="13" t="s">
        <v>1618</v>
      </c>
      <c r="B5268" s="14" t="s">
        <v>2560</v>
      </c>
      <c r="C5268" s="316">
        <v>1</v>
      </c>
      <c r="D5268" s="15" t="s">
        <v>407</v>
      </c>
      <c r="E5268" s="16">
        <v>65000</v>
      </c>
      <c r="F5268" s="16">
        <f>E5268*C5268</f>
        <v>65000</v>
      </c>
      <c r="Q5268" s="398">
        <v>45946</v>
      </c>
      <c r="R5268" s="399">
        <v>100000</v>
      </c>
    </row>
    <row r="5269" spans="1:18" x14ac:dyDescent="0.25">
      <c r="A5269" s="13" t="s">
        <v>1620</v>
      </c>
      <c r="B5269" s="14" t="s">
        <v>2561</v>
      </c>
      <c r="C5269" s="316">
        <v>193.7</v>
      </c>
      <c r="D5269" s="15" t="s">
        <v>32</v>
      </c>
      <c r="E5269" s="16">
        <v>300</v>
      </c>
      <c r="F5269" s="16">
        <f t="shared" ref="F5269:F5281" si="112">E5269*C5269</f>
        <v>58110</v>
      </c>
      <c r="L5269" s="364">
        <v>73</v>
      </c>
      <c r="M5269" s="365"/>
      <c r="N5269" s="364"/>
      <c r="O5269" s="364"/>
      <c r="Q5269" s="398">
        <v>45971</v>
      </c>
      <c r="R5269" s="399">
        <v>100000</v>
      </c>
    </row>
    <row r="5270" spans="1:18" x14ac:dyDescent="0.25">
      <c r="A5270" s="13" t="s">
        <v>1621</v>
      </c>
      <c r="B5270" s="14" t="s">
        <v>2466</v>
      </c>
      <c r="C5270" s="316">
        <v>581.38</v>
      </c>
      <c r="D5270" s="15" t="s">
        <v>9</v>
      </c>
      <c r="E5270" s="16">
        <v>75</v>
      </c>
      <c r="F5270" s="16">
        <f t="shared" si="112"/>
        <v>43603.5</v>
      </c>
      <c r="L5270" s="364">
        <v>198.4</v>
      </c>
      <c r="M5270" s="365"/>
      <c r="N5270" s="364"/>
      <c r="O5270" s="364"/>
      <c r="R5270" s="98">
        <f>SUM(R5253:R5269)</f>
        <v>10500000</v>
      </c>
    </row>
    <row r="5271" spans="1:18" x14ac:dyDescent="0.25">
      <c r="A5271" s="13" t="s">
        <v>1623</v>
      </c>
      <c r="B5271" s="14" t="s">
        <v>1860</v>
      </c>
      <c r="C5271" s="316">
        <v>581.38</v>
      </c>
      <c r="D5271" s="15" t="s">
        <v>9</v>
      </c>
      <c r="E5271" s="16">
        <v>120</v>
      </c>
      <c r="F5271" s="16">
        <f t="shared" si="112"/>
        <v>69765.600000000006</v>
      </c>
      <c r="L5271" s="364">
        <v>164.34</v>
      </c>
      <c r="M5271" s="365"/>
      <c r="N5271" s="364"/>
      <c r="O5271" s="364"/>
    </row>
    <row r="5272" spans="1:18" x14ac:dyDescent="0.25">
      <c r="B5272" s="17"/>
      <c r="C5272" s="31"/>
      <c r="D5272" s="18"/>
      <c r="E5272" s="239"/>
      <c r="F5272" s="239"/>
      <c r="L5272" s="364">
        <v>202.4</v>
      </c>
      <c r="M5272" s="365"/>
      <c r="N5272" s="364"/>
      <c r="O5272" s="364"/>
    </row>
    <row r="5273" spans="1:18" x14ac:dyDescent="0.25">
      <c r="B5273" s="17" t="s">
        <v>10</v>
      </c>
      <c r="C5273" s="31"/>
      <c r="D5273" s="18"/>
      <c r="E5273" s="239"/>
      <c r="F5273" s="239">
        <f>SUM(F5268:F5271)</f>
        <v>236479.1</v>
      </c>
      <c r="L5273" s="364"/>
      <c r="M5273" s="365"/>
      <c r="N5273" s="364"/>
      <c r="O5273" s="364"/>
    </row>
    <row r="5274" spans="1:18" x14ac:dyDescent="0.25">
      <c r="L5274" s="364"/>
      <c r="M5274" s="365"/>
      <c r="N5274" s="364"/>
      <c r="O5274" s="364"/>
    </row>
    <row r="5275" spans="1:18" x14ac:dyDescent="0.25">
      <c r="A5275" s="1" t="s">
        <v>0</v>
      </c>
      <c r="B5275" s="1" t="s">
        <v>1</v>
      </c>
      <c r="C5275" s="1" t="s">
        <v>2</v>
      </c>
      <c r="D5275" s="1" t="s">
        <v>3</v>
      </c>
      <c r="E5275" s="275" t="s">
        <v>4</v>
      </c>
      <c r="F5275" s="275" t="s">
        <v>5</v>
      </c>
      <c r="L5275" s="364"/>
      <c r="M5275" s="365"/>
      <c r="N5275" s="364"/>
      <c r="O5275" s="364"/>
    </row>
    <row r="5276" spans="1:18" x14ac:dyDescent="0.25">
      <c r="A5276" s="13" t="s">
        <v>1618</v>
      </c>
      <c r="B5276" s="14" t="s">
        <v>2564</v>
      </c>
      <c r="F5276" s="16">
        <f t="shared" si="112"/>
        <v>0</v>
      </c>
    </row>
    <row r="5277" spans="1:18" x14ac:dyDescent="0.25">
      <c r="A5277" s="13" t="s">
        <v>1620</v>
      </c>
      <c r="B5277" s="14" t="s">
        <v>2563</v>
      </c>
      <c r="F5277" s="16">
        <f t="shared" si="112"/>
        <v>0</v>
      </c>
      <c r="L5277" s="33">
        <f>SUM(L5269:O5275)</f>
        <v>638.14</v>
      </c>
      <c r="M5277" s="215" t="s">
        <v>772</v>
      </c>
    </row>
    <row r="5278" spans="1:18" x14ac:dyDescent="0.25">
      <c r="A5278" s="13" t="s">
        <v>1621</v>
      </c>
      <c r="B5278" s="14" t="s">
        <v>2466</v>
      </c>
      <c r="F5278" s="16">
        <f t="shared" si="112"/>
        <v>0</v>
      </c>
    </row>
    <row r="5279" spans="1:18" x14ac:dyDescent="0.25">
      <c r="A5279" s="13" t="s">
        <v>1623</v>
      </c>
      <c r="B5279" s="14" t="s">
        <v>1761</v>
      </c>
      <c r="F5279" s="16">
        <f t="shared" si="112"/>
        <v>0</v>
      </c>
    </row>
    <row r="5280" spans="1:18" x14ac:dyDescent="0.25">
      <c r="A5280" s="13" t="s">
        <v>1631</v>
      </c>
      <c r="B5280" s="14" t="s">
        <v>2562</v>
      </c>
      <c r="F5280" s="16">
        <f t="shared" si="112"/>
        <v>0</v>
      </c>
    </row>
    <row r="5281" spans="1:6" x14ac:dyDescent="0.25">
      <c r="A5281" s="13" t="s">
        <v>1632</v>
      </c>
      <c r="B5281" s="14" t="s">
        <v>2456</v>
      </c>
      <c r="F5281" s="16">
        <f t="shared" si="112"/>
        <v>0</v>
      </c>
    </row>
    <row r="5282" spans="1:6" x14ac:dyDescent="0.25">
      <c r="A5282" s="13" t="s">
        <v>1633</v>
      </c>
      <c r="B5282" s="14" t="s">
        <v>2565</v>
      </c>
    </row>
    <row r="5283" spans="1:6" x14ac:dyDescent="0.25">
      <c r="A5283" s="13" t="s">
        <v>1634</v>
      </c>
      <c r="B5283" s="14" t="s">
        <v>2566</v>
      </c>
    </row>
    <row r="5284" spans="1:6" ht="30" x14ac:dyDescent="0.25">
      <c r="A5284" s="13" t="s">
        <v>1635</v>
      </c>
      <c r="B5284" s="14" t="s">
        <v>2567</v>
      </c>
    </row>
    <row r="5285" spans="1:6" x14ac:dyDescent="0.25">
      <c r="A5285" s="13" t="s">
        <v>1385</v>
      </c>
      <c r="B5285" s="14" t="s">
        <v>2568</v>
      </c>
    </row>
    <row r="5286" spans="1:6" ht="15.75" thickBot="1" x14ac:dyDescent="0.3"/>
    <row r="5287" spans="1:6" ht="15.75" thickBot="1" x14ac:dyDescent="0.3">
      <c r="A5287" s="383" t="s">
        <v>0</v>
      </c>
      <c r="B5287" s="384" t="s">
        <v>1</v>
      </c>
      <c r="C5287" s="394" t="s">
        <v>2</v>
      </c>
      <c r="D5287" s="384" t="s">
        <v>3</v>
      </c>
      <c r="E5287" s="403" t="s">
        <v>4</v>
      </c>
      <c r="F5287" s="403" t="s">
        <v>5</v>
      </c>
    </row>
    <row r="5288" spans="1:6" ht="60.75" thickBot="1" x14ac:dyDescent="0.3">
      <c r="A5288" s="386">
        <v>1</v>
      </c>
      <c r="B5288" s="388" t="s">
        <v>1640</v>
      </c>
      <c r="C5288" s="395">
        <v>1275</v>
      </c>
      <c r="D5288" s="389" t="s">
        <v>769</v>
      </c>
      <c r="E5288" s="390">
        <v>145</v>
      </c>
      <c r="F5288" s="390">
        <f>E5288*C5288</f>
        <v>184875</v>
      </c>
    </row>
    <row r="5289" spans="1:6" ht="60.75" thickBot="1" x14ac:dyDescent="0.3">
      <c r="A5289" s="386">
        <v>2</v>
      </c>
      <c r="B5289" s="388" t="s">
        <v>1641</v>
      </c>
      <c r="C5289" s="389">
        <v>4100</v>
      </c>
      <c r="D5289" s="389" t="s">
        <v>769</v>
      </c>
      <c r="E5289" s="390">
        <v>135</v>
      </c>
      <c r="F5289" s="390">
        <f t="shared" ref="F5289:F5297" si="113">E5289*C5289</f>
        <v>553500</v>
      </c>
    </row>
    <row r="5290" spans="1:6" ht="60.75" thickBot="1" x14ac:dyDescent="0.3">
      <c r="A5290" s="386">
        <v>3</v>
      </c>
      <c r="B5290" s="388" t="s">
        <v>1642</v>
      </c>
      <c r="C5290" s="389">
        <v>1125</v>
      </c>
      <c r="D5290" s="389" t="s">
        <v>769</v>
      </c>
      <c r="E5290" s="390">
        <v>375</v>
      </c>
      <c r="F5290" s="390">
        <f t="shared" si="113"/>
        <v>421875</v>
      </c>
    </row>
    <row r="5291" spans="1:6" ht="45.75" thickBot="1" x14ac:dyDescent="0.3">
      <c r="A5291" s="386">
        <v>4</v>
      </c>
      <c r="B5291" s="388" t="s">
        <v>1643</v>
      </c>
      <c r="C5291" s="389">
        <v>1125</v>
      </c>
      <c r="D5291" s="389" t="s">
        <v>769</v>
      </c>
      <c r="E5291" s="390">
        <v>195</v>
      </c>
      <c r="F5291" s="390">
        <f t="shared" si="113"/>
        <v>219375</v>
      </c>
    </row>
    <row r="5292" spans="1:6" ht="30.75" thickBot="1" x14ac:dyDescent="0.3">
      <c r="A5292" s="386">
        <v>5</v>
      </c>
      <c r="B5292" s="388" t="s">
        <v>1644</v>
      </c>
      <c r="C5292" s="389">
        <v>620</v>
      </c>
      <c r="D5292" s="389" t="s">
        <v>769</v>
      </c>
      <c r="E5292" s="390">
        <v>110</v>
      </c>
      <c r="F5292" s="390">
        <f t="shared" si="113"/>
        <v>68200</v>
      </c>
    </row>
    <row r="5293" spans="1:6" ht="75.75" thickBot="1" x14ac:dyDescent="0.3">
      <c r="A5293" s="386">
        <v>6</v>
      </c>
      <c r="B5293" s="388" t="s">
        <v>1645</v>
      </c>
      <c r="C5293" s="389">
        <v>1</v>
      </c>
      <c r="D5293" s="389" t="s">
        <v>11</v>
      </c>
      <c r="E5293" s="390">
        <v>165000</v>
      </c>
      <c r="F5293" s="390">
        <f t="shared" si="113"/>
        <v>165000</v>
      </c>
    </row>
    <row r="5294" spans="1:6" ht="45.75" thickBot="1" x14ac:dyDescent="0.3">
      <c r="A5294" s="386">
        <v>7</v>
      </c>
      <c r="B5294" s="388" t="s">
        <v>291</v>
      </c>
      <c r="C5294" s="389">
        <v>492</v>
      </c>
      <c r="D5294" s="389" t="s">
        <v>769</v>
      </c>
      <c r="E5294" s="390">
        <v>210</v>
      </c>
      <c r="F5294" s="390">
        <f t="shared" si="113"/>
        <v>103320</v>
      </c>
    </row>
    <row r="5295" spans="1:6" ht="75.75" thickBot="1" x14ac:dyDescent="0.3">
      <c r="A5295" s="386">
        <v>8</v>
      </c>
      <c r="B5295" s="388" t="s">
        <v>1639</v>
      </c>
      <c r="C5295" s="389">
        <v>1</v>
      </c>
      <c r="D5295" s="389" t="s">
        <v>641</v>
      </c>
      <c r="E5295" s="390">
        <v>430000</v>
      </c>
      <c r="F5295" s="390">
        <f t="shared" si="113"/>
        <v>430000</v>
      </c>
    </row>
    <row r="5296" spans="1:6" ht="60.75" thickBot="1" x14ac:dyDescent="0.3">
      <c r="A5296" s="386">
        <v>9</v>
      </c>
      <c r="B5296" s="388" t="s">
        <v>1646</v>
      </c>
      <c r="C5296" s="389">
        <v>1</v>
      </c>
      <c r="D5296" s="389" t="s">
        <v>641</v>
      </c>
      <c r="E5296" s="390">
        <v>55000</v>
      </c>
      <c r="F5296" s="390">
        <f t="shared" si="113"/>
        <v>55000</v>
      </c>
    </row>
    <row r="5297" spans="1:14" ht="60.75" thickBot="1" x14ac:dyDescent="0.3">
      <c r="A5297" s="386">
        <v>10</v>
      </c>
      <c r="B5297" s="388" t="s">
        <v>1647</v>
      </c>
      <c r="C5297" s="389">
        <v>1</v>
      </c>
      <c r="D5297" s="389" t="s">
        <v>11</v>
      </c>
      <c r="E5297" s="390">
        <v>68000</v>
      </c>
      <c r="F5297" s="390">
        <f t="shared" si="113"/>
        <v>68000</v>
      </c>
    </row>
    <row r="5298" spans="1:14" ht="15.75" thickBot="1" x14ac:dyDescent="0.3">
      <c r="A5298" s="386"/>
      <c r="B5298" s="396" t="s">
        <v>1638</v>
      </c>
      <c r="C5298" s="389"/>
      <c r="D5298" s="389"/>
      <c r="E5298" s="390"/>
      <c r="F5298" s="390"/>
    </row>
    <row r="5299" spans="1:14" ht="90.75" thickBot="1" x14ac:dyDescent="0.3">
      <c r="A5299" s="386">
        <v>11</v>
      </c>
      <c r="B5299" s="388" t="s">
        <v>1648</v>
      </c>
      <c r="C5299" s="389">
        <v>1</v>
      </c>
      <c r="D5299" s="389" t="s">
        <v>11</v>
      </c>
      <c r="E5299" s="390">
        <v>68000</v>
      </c>
      <c r="F5299" s="390">
        <v>68000</v>
      </c>
    </row>
    <row r="5300" spans="1:14" ht="60.75" thickBot="1" x14ac:dyDescent="0.3">
      <c r="A5300" s="386">
        <v>12</v>
      </c>
      <c r="B5300" s="388" t="s">
        <v>2542</v>
      </c>
      <c r="C5300" s="389">
        <v>1</v>
      </c>
      <c r="D5300" s="389" t="s">
        <v>11</v>
      </c>
      <c r="E5300" s="390">
        <v>120000</v>
      </c>
      <c r="F5300" s="390">
        <v>120000</v>
      </c>
    </row>
    <row r="5301" spans="1:14" ht="60.75" thickBot="1" x14ac:dyDescent="0.3">
      <c r="A5301" s="386">
        <v>13</v>
      </c>
      <c r="B5301" s="388" t="s">
        <v>2545</v>
      </c>
      <c r="C5301" s="416"/>
      <c r="D5301" s="417"/>
      <c r="E5301" s="417"/>
      <c r="F5301" s="418"/>
    </row>
    <row r="5302" spans="1:14" ht="15.75" thickBot="1" x14ac:dyDescent="0.3">
      <c r="A5302" s="386">
        <v>13.1</v>
      </c>
      <c r="B5302" s="388" t="s">
        <v>2543</v>
      </c>
      <c r="C5302" s="389">
        <v>1</v>
      </c>
      <c r="D5302" s="389" t="s">
        <v>11</v>
      </c>
      <c r="E5302" s="390">
        <v>35000</v>
      </c>
      <c r="F5302" s="390">
        <v>35000</v>
      </c>
    </row>
    <row r="5303" spans="1:14" ht="15.75" thickBot="1" x14ac:dyDescent="0.3">
      <c r="A5303" s="386">
        <v>13.2</v>
      </c>
      <c r="B5303" s="388" t="s">
        <v>2544</v>
      </c>
      <c r="C5303" s="389">
        <v>1</v>
      </c>
      <c r="D5303" s="389" t="s">
        <v>11</v>
      </c>
      <c r="E5303" s="390">
        <v>40000</v>
      </c>
      <c r="F5303" s="390">
        <v>40000</v>
      </c>
    </row>
    <row r="5304" spans="1:14" ht="45.75" thickBot="1" x14ac:dyDescent="0.3">
      <c r="A5304" s="386">
        <v>14</v>
      </c>
      <c r="B5304" s="388" t="s">
        <v>2547</v>
      </c>
      <c r="C5304" s="389">
        <v>230</v>
      </c>
      <c r="D5304" s="389" t="s">
        <v>769</v>
      </c>
      <c r="E5304" s="390">
        <v>650</v>
      </c>
      <c r="F5304" s="390">
        <v>149500</v>
      </c>
    </row>
    <row r="5305" spans="1:14" ht="45.75" thickBot="1" x14ac:dyDescent="0.3">
      <c r="A5305" s="386">
        <v>15</v>
      </c>
      <c r="B5305" s="388" t="s">
        <v>2546</v>
      </c>
      <c r="C5305" s="389">
        <v>130</v>
      </c>
      <c r="D5305" s="389" t="s">
        <v>769</v>
      </c>
      <c r="E5305" s="390">
        <v>450</v>
      </c>
      <c r="F5305" s="390">
        <v>58500</v>
      </c>
    </row>
    <row r="5306" spans="1:14" ht="15.75" thickBot="1" x14ac:dyDescent="0.3">
      <c r="A5306" s="386"/>
      <c r="B5306" s="388"/>
      <c r="C5306" s="389"/>
      <c r="D5306" s="389"/>
      <c r="E5306" s="390"/>
      <c r="F5306" s="390"/>
    </row>
    <row r="5307" spans="1:14" ht="15.75" thickBot="1" x14ac:dyDescent="0.3">
      <c r="A5307" s="386"/>
      <c r="B5307" s="391" t="s">
        <v>224</v>
      </c>
      <c r="C5307" s="392"/>
      <c r="D5307" s="392"/>
      <c r="E5307" s="393"/>
      <c r="F5307" s="393">
        <f>SUM(F5288:F5305)</f>
        <v>2740145</v>
      </c>
    </row>
    <row r="5308" spans="1:14" x14ac:dyDescent="0.25">
      <c r="A5308" s="404"/>
      <c r="B5308" s="405"/>
      <c r="C5308" s="406"/>
      <c r="D5308" s="406"/>
      <c r="E5308" s="407"/>
      <c r="F5308" s="407"/>
    </row>
    <row r="5309" spans="1:14" x14ac:dyDescent="0.25">
      <c r="A5309" s="1" t="s">
        <v>0</v>
      </c>
      <c r="B5309" s="1" t="s">
        <v>1</v>
      </c>
      <c r="C5309" s="1" t="s">
        <v>2</v>
      </c>
      <c r="D5309" s="1" t="s">
        <v>3</v>
      </c>
      <c r="E5309" s="275" t="s">
        <v>4</v>
      </c>
      <c r="F5309" s="275" t="s">
        <v>5</v>
      </c>
    </row>
    <row r="5310" spans="1:14" x14ac:dyDescent="0.25">
      <c r="A5310" s="26" t="s">
        <v>1618</v>
      </c>
      <c r="B5310" s="52" t="s">
        <v>2569</v>
      </c>
      <c r="C5310" s="322">
        <v>77</v>
      </c>
      <c r="D5310" s="53" t="s">
        <v>9</v>
      </c>
      <c r="E5310" s="248">
        <v>32</v>
      </c>
      <c r="F5310" s="248">
        <f>C5310*E5310</f>
        <v>2464</v>
      </c>
    </row>
    <row r="5311" spans="1:14" x14ac:dyDescent="0.25">
      <c r="A5311" s="13" t="s">
        <v>1620</v>
      </c>
      <c r="B5311" s="14" t="s">
        <v>2570</v>
      </c>
      <c r="C5311" s="316">
        <v>73.5</v>
      </c>
      <c r="D5311" s="15" t="s">
        <v>32</v>
      </c>
      <c r="E5311" s="16">
        <v>60</v>
      </c>
      <c r="F5311" s="16">
        <f t="shared" ref="F5311:F5316" si="114">C5311*E5311</f>
        <v>4410</v>
      </c>
    </row>
    <row r="5312" spans="1:14" x14ac:dyDescent="0.25">
      <c r="A5312" s="13" t="s">
        <v>1621</v>
      </c>
      <c r="B5312" s="14" t="s">
        <v>2458</v>
      </c>
      <c r="C5312" s="316">
        <v>18</v>
      </c>
      <c r="D5312" s="15" t="s">
        <v>32</v>
      </c>
      <c r="E5312" s="16">
        <v>300</v>
      </c>
      <c r="F5312" s="16">
        <f t="shared" si="114"/>
        <v>5400</v>
      </c>
      <c r="K5312" s="364">
        <v>1</v>
      </c>
      <c r="L5312" s="364">
        <v>1</v>
      </c>
      <c r="M5312" s="365"/>
      <c r="N5312" s="364"/>
    </row>
    <row r="5313" spans="1:14" x14ac:dyDescent="0.25">
      <c r="A5313" s="13" t="s">
        <v>1623</v>
      </c>
      <c r="B5313" s="14" t="s">
        <v>2571</v>
      </c>
      <c r="C5313" s="316">
        <v>51.19</v>
      </c>
      <c r="D5313" s="15" t="s">
        <v>32</v>
      </c>
      <c r="E5313" s="16">
        <v>300</v>
      </c>
      <c r="F5313" s="16">
        <f t="shared" si="114"/>
        <v>15357</v>
      </c>
      <c r="K5313" s="364">
        <v>1</v>
      </c>
      <c r="L5313" s="364">
        <v>1</v>
      </c>
      <c r="M5313" s="365"/>
      <c r="N5313" s="364"/>
    </row>
    <row r="5314" spans="1:14" x14ac:dyDescent="0.25">
      <c r="A5314" s="13" t="s">
        <v>1631</v>
      </c>
      <c r="B5314" s="14" t="s">
        <v>1761</v>
      </c>
      <c r="C5314" s="316">
        <v>168</v>
      </c>
      <c r="D5314" s="15" t="s">
        <v>9</v>
      </c>
      <c r="E5314" s="16">
        <v>130</v>
      </c>
      <c r="F5314" s="16">
        <f t="shared" si="114"/>
        <v>21840</v>
      </c>
      <c r="K5314" s="364">
        <v>1</v>
      </c>
      <c r="L5314" s="364">
        <v>1</v>
      </c>
      <c r="M5314" s="365"/>
      <c r="N5314" s="364"/>
    </row>
    <row r="5315" spans="1:14" x14ac:dyDescent="0.25">
      <c r="A5315" s="13" t="s">
        <v>1632</v>
      </c>
      <c r="B5315" s="14" t="s">
        <v>1790</v>
      </c>
      <c r="C5315" s="316">
        <v>165</v>
      </c>
      <c r="D5315" s="15" t="s">
        <v>1763</v>
      </c>
      <c r="E5315" s="16">
        <v>100</v>
      </c>
      <c r="F5315" s="16">
        <f t="shared" si="114"/>
        <v>16500</v>
      </c>
      <c r="K5315" s="364">
        <v>1</v>
      </c>
      <c r="L5315" s="364">
        <v>1</v>
      </c>
      <c r="M5315" s="365"/>
      <c r="N5315" s="364"/>
    </row>
    <row r="5316" spans="1:14" x14ac:dyDescent="0.25">
      <c r="A5316" s="13" t="s">
        <v>1633</v>
      </c>
      <c r="B5316" s="14" t="s">
        <v>2456</v>
      </c>
      <c r="C5316" s="316">
        <v>38.25</v>
      </c>
      <c r="D5316" s="15" t="s">
        <v>9</v>
      </c>
      <c r="E5316" s="16">
        <v>140</v>
      </c>
      <c r="F5316" s="16">
        <f t="shared" si="114"/>
        <v>5355</v>
      </c>
      <c r="K5316" s="364">
        <v>1</v>
      </c>
      <c r="L5316" s="364">
        <v>1</v>
      </c>
      <c r="M5316" s="365"/>
      <c r="N5316" s="364"/>
    </row>
    <row r="5317" spans="1:14" x14ac:dyDescent="0.25">
      <c r="K5317" s="33" t="s">
        <v>772</v>
      </c>
      <c r="L5317" s="33">
        <f>SUM(K5312:N5316)</f>
        <v>10</v>
      </c>
    </row>
    <row r="5318" spans="1:14" x14ac:dyDescent="0.25">
      <c r="B5318" s="17" t="s">
        <v>10</v>
      </c>
      <c r="F5318" s="239">
        <f>SUM(F5310:F5311,F5312:F5314,F5315:F5316)</f>
        <v>71326</v>
      </c>
    </row>
    <row r="5320" spans="1:14" x14ac:dyDescent="0.25">
      <c r="A5320" s="1" t="s">
        <v>0</v>
      </c>
      <c r="B5320" s="1" t="s">
        <v>1</v>
      </c>
      <c r="C5320" s="1" t="s">
        <v>2</v>
      </c>
      <c r="D5320" s="1" t="s">
        <v>3</v>
      </c>
      <c r="E5320" s="275" t="s">
        <v>4</v>
      </c>
      <c r="F5320" s="275" t="s">
        <v>5</v>
      </c>
    </row>
    <row r="5321" spans="1:14" ht="60" x14ac:dyDescent="0.25">
      <c r="A5321" s="13" t="s">
        <v>1618</v>
      </c>
      <c r="B5321" s="14" t="s">
        <v>2572</v>
      </c>
      <c r="C5321" s="316">
        <v>1</v>
      </c>
      <c r="D5321" s="15" t="s">
        <v>407</v>
      </c>
      <c r="E5321" s="16">
        <v>36000</v>
      </c>
      <c r="F5321" s="16">
        <v>36000</v>
      </c>
    </row>
    <row r="5322" spans="1:14" x14ac:dyDescent="0.25">
      <c r="A5322" s="13" t="s">
        <v>1620</v>
      </c>
      <c r="B5322" s="14" t="s">
        <v>2458</v>
      </c>
      <c r="C5322" s="316">
        <v>18</v>
      </c>
      <c r="D5322" s="15" t="s">
        <v>32</v>
      </c>
      <c r="E5322" s="16">
        <v>300</v>
      </c>
      <c r="F5322" s="16">
        <f t="shared" ref="F5322:F5326" si="115">C5322*E5322</f>
        <v>5400</v>
      </c>
    </row>
    <row r="5323" spans="1:14" x14ac:dyDescent="0.25">
      <c r="A5323" s="13" t="s">
        <v>1621</v>
      </c>
      <c r="B5323" s="14" t="s">
        <v>2571</v>
      </c>
      <c r="C5323" s="316">
        <v>51.19</v>
      </c>
      <c r="D5323" s="15" t="s">
        <v>32</v>
      </c>
      <c r="E5323" s="16">
        <v>300</v>
      </c>
      <c r="F5323" s="16">
        <f t="shared" si="115"/>
        <v>15357</v>
      </c>
    </row>
    <row r="5324" spans="1:14" x14ac:dyDescent="0.25">
      <c r="A5324" s="13" t="s">
        <v>1623</v>
      </c>
      <c r="B5324" s="14" t="s">
        <v>1761</v>
      </c>
      <c r="C5324" s="316">
        <v>168</v>
      </c>
      <c r="D5324" s="15" t="s">
        <v>9</v>
      </c>
      <c r="E5324" s="16">
        <v>130</v>
      </c>
      <c r="F5324" s="16">
        <f t="shared" si="115"/>
        <v>21840</v>
      </c>
    </row>
    <row r="5325" spans="1:14" x14ac:dyDescent="0.25">
      <c r="A5325" s="13" t="s">
        <v>1631</v>
      </c>
      <c r="B5325" s="14" t="s">
        <v>1790</v>
      </c>
      <c r="C5325" s="316">
        <v>165</v>
      </c>
      <c r="D5325" s="15" t="s">
        <v>1763</v>
      </c>
      <c r="E5325" s="16">
        <v>100</v>
      </c>
      <c r="F5325" s="16">
        <f t="shared" si="115"/>
        <v>16500</v>
      </c>
    </row>
    <row r="5326" spans="1:14" x14ac:dyDescent="0.25">
      <c r="A5326" s="13" t="s">
        <v>1632</v>
      </c>
      <c r="B5326" s="14" t="s">
        <v>2456</v>
      </c>
      <c r="C5326" s="316">
        <v>38.25</v>
      </c>
      <c r="D5326" s="15" t="s">
        <v>9</v>
      </c>
      <c r="E5326" s="16">
        <v>140</v>
      </c>
      <c r="F5326" s="16">
        <f t="shared" si="115"/>
        <v>5355</v>
      </c>
    </row>
    <row r="5328" spans="1:14" x14ac:dyDescent="0.25">
      <c r="B5328" s="17" t="s">
        <v>10</v>
      </c>
      <c r="C5328" s="31"/>
      <c r="D5328" s="18"/>
      <c r="E5328" s="239"/>
      <c r="F5328" s="239">
        <f>SUM(F5321:F5325,F5326)</f>
        <v>100452</v>
      </c>
    </row>
    <row r="5330" spans="1:15" x14ac:dyDescent="0.25">
      <c r="A5330" s="1" t="s">
        <v>0</v>
      </c>
      <c r="B5330" s="1" t="s">
        <v>1</v>
      </c>
      <c r="C5330" s="1" t="s">
        <v>2</v>
      </c>
      <c r="D5330" s="1" t="s">
        <v>3</v>
      </c>
      <c r="E5330" s="275" t="s">
        <v>4</v>
      </c>
      <c r="F5330" s="275" t="s">
        <v>5</v>
      </c>
    </row>
    <row r="5331" spans="1:15" ht="60" x14ac:dyDescent="0.25">
      <c r="A5331" s="13" t="s">
        <v>1618</v>
      </c>
      <c r="B5331" s="14" t="s">
        <v>2573</v>
      </c>
      <c r="C5331" s="316">
        <v>252</v>
      </c>
      <c r="D5331" s="15" t="s">
        <v>9</v>
      </c>
      <c r="E5331" s="16">
        <v>350</v>
      </c>
      <c r="F5331" s="16">
        <f>E5331*C5331</f>
        <v>88200</v>
      </c>
    </row>
    <row r="5333" spans="1:15" x14ac:dyDescent="0.25">
      <c r="B5333" s="14" t="s">
        <v>10</v>
      </c>
      <c r="F5333" s="16">
        <f>F5331</f>
        <v>88200</v>
      </c>
    </row>
    <row r="5335" spans="1:15" x14ac:dyDescent="0.25">
      <c r="A5335" s="1" t="s">
        <v>0</v>
      </c>
      <c r="B5335" s="1" t="s">
        <v>1</v>
      </c>
      <c r="C5335" s="1" t="s">
        <v>2</v>
      </c>
      <c r="D5335" s="1" t="s">
        <v>3</v>
      </c>
      <c r="E5335" s="275" t="s">
        <v>4</v>
      </c>
      <c r="F5335" s="275" t="s">
        <v>5</v>
      </c>
    </row>
    <row r="5336" spans="1:15" ht="75" x14ac:dyDescent="0.25">
      <c r="A5336" s="13" t="s">
        <v>1618</v>
      </c>
      <c r="B5336" s="14" t="s">
        <v>2574</v>
      </c>
      <c r="C5336" s="316">
        <v>1</v>
      </c>
      <c r="D5336" s="15" t="s">
        <v>2575</v>
      </c>
      <c r="E5336" s="16">
        <v>2750</v>
      </c>
      <c r="F5336" s="16">
        <f>E5336*C5336</f>
        <v>2750</v>
      </c>
    </row>
    <row r="5337" spans="1:15" x14ac:dyDescent="0.25">
      <c r="K5337" s="409">
        <v>1680</v>
      </c>
      <c r="L5337" s="364"/>
      <c r="M5337" s="365"/>
      <c r="N5337" s="364"/>
      <c r="O5337" s="364"/>
    </row>
    <row r="5338" spans="1:15" x14ac:dyDescent="0.25">
      <c r="A5338" s="1" t="s">
        <v>0</v>
      </c>
      <c r="B5338" s="1" t="s">
        <v>1</v>
      </c>
      <c r="C5338" s="1" t="s">
        <v>2</v>
      </c>
      <c r="D5338" s="1" t="s">
        <v>3</v>
      </c>
      <c r="E5338" s="275" t="s">
        <v>4</v>
      </c>
      <c r="F5338" s="275" t="s">
        <v>5</v>
      </c>
      <c r="K5338" s="364"/>
      <c r="L5338" s="364"/>
      <c r="M5338" s="365"/>
      <c r="N5338" s="364"/>
      <c r="O5338" s="364"/>
    </row>
    <row r="5339" spans="1:15" x14ac:dyDescent="0.25">
      <c r="A5339" s="13" t="s">
        <v>1618</v>
      </c>
      <c r="B5339" s="14" t="s">
        <v>993</v>
      </c>
      <c r="C5339" s="316">
        <v>936</v>
      </c>
      <c r="D5339" s="15" t="s">
        <v>32</v>
      </c>
      <c r="E5339" s="16">
        <v>70</v>
      </c>
      <c r="F5339" s="16">
        <f>E5339*C5339</f>
        <v>65520</v>
      </c>
      <c r="K5339" s="364"/>
      <c r="L5339" s="364"/>
      <c r="M5339" s="365"/>
      <c r="N5339" s="364"/>
      <c r="O5339" s="364"/>
    </row>
    <row r="5340" spans="1:15" x14ac:dyDescent="0.25">
      <c r="A5340" s="13" t="s">
        <v>1620</v>
      </c>
      <c r="B5340" s="14" t="s">
        <v>1730</v>
      </c>
      <c r="C5340" s="316">
        <v>820</v>
      </c>
      <c r="D5340" s="15" t="s">
        <v>32</v>
      </c>
      <c r="E5340" s="16">
        <v>55</v>
      </c>
      <c r="F5340" s="16">
        <f t="shared" ref="F5340:F5346" si="116">E5340*C5340</f>
        <v>45100</v>
      </c>
      <c r="K5340" s="364"/>
      <c r="L5340" s="364"/>
      <c r="M5340" s="365"/>
      <c r="N5340" s="364"/>
      <c r="O5340" s="364"/>
    </row>
    <row r="5341" spans="1:15" ht="45" x14ac:dyDescent="0.25">
      <c r="A5341" s="13" t="s">
        <v>1621</v>
      </c>
      <c r="B5341" s="14" t="s">
        <v>2576</v>
      </c>
      <c r="C5341" s="316">
        <v>26</v>
      </c>
      <c r="D5341" s="15" t="s">
        <v>127</v>
      </c>
      <c r="E5341" s="16">
        <v>25000</v>
      </c>
      <c r="F5341" s="16">
        <f t="shared" si="116"/>
        <v>650000</v>
      </c>
      <c r="K5341" s="364"/>
      <c r="L5341" s="364"/>
      <c r="M5341" s="365"/>
      <c r="N5341" s="364"/>
      <c r="O5341" s="364"/>
    </row>
    <row r="5342" spans="1:15" ht="45" x14ac:dyDescent="0.25">
      <c r="A5342" s="13" t="s">
        <v>1623</v>
      </c>
      <c r="B5342" s="14" t="s">
        <v>2579</v>
      </c>
      <c r="C5342" s="316">
        <v>364</v>
      </c>
      <c r="D5342" s="15" t="s">
        <v>33</v>
      </c>
      <c r="E5342" s="16">
        <v>2400</v>
      </c>
      <c r="F5342" s="16">
        <f t="shared" si="116"/>
        <v>873600</v>
      </c>
      <c r="K5342" s="364"/>
      <c r="L5342" s="364"/>
      <c r="M5342" s="365"/>
      <c r="N5342" s="364"/>
      <c r="O5342" s="364"/>
    </row>
    <row r="5343" spans="1:15" ht="60" x14ac:dyDescent="0.25">
      <c r="A5343" s="13" t="s">
        <v>1631</v>
      </c>
      <c r="B5343" s="14" t="s">
        <v>2578</v>
      </c>
      <c r="C5343" s="316">
        <v>437</v>
      </c>
      <c r="D5343" s="15" t="s">
        <v>33</v>
      </c>
      <c r="E5343" s="16">
        <v>1850</v>
      </c>
      <c r="F5343" s="16">
        <f t="shared" si="116"/>
        <v>808450</v>
      </c>
      <c r="K5343" s="364"/>
      <c r="L5343" s="364"/>
      <c r="M5343" s="365"/>
      <c r="N5343" s="364"/>
      <c r="O5343" s="364"/>
    </row>
    <row r="5344" spans="1:15" ht="60" x14ac:dyDescent="0.25">
      <c r="A5344" s="13" t="s">
        <v>1632</v>
      </c>
      <c r="B5344" s="14" t="s">
        <v>2580</v>
      </c>
      <c r="C5344" s="316">
        <v>458</v>
      </c>
      <c r="D5344" s="15" t="s">
        <v>33</v>
      </c>
      <c r="E5344" s="16">
        <v>1950</v>
      </c>
      <c r="F5344" s="16">
        <f t="shared" si="116"/>
        <v>893100</v>
      </c>
      <c r="K5344" s="364"/>
      <c r="L5344" s="364"/>
      <c r="M5344" s="365"/>
      <c r="N5344" s="364"/>
      <c r="O5344" s="364"/>
    </row>
    <row r="5345" spans="1:15" ht="60" x14ac:dyDescent="0.25">
      <c r="A5345" s="13" t="s">
        <v>1633</v>
      </c>
      <c r="B5345" s="14" t="s">
        <v>2581</v>
      </c>
      <c r="C5345" s="316">
        <v>1680</v>
      </c>
      <c r="D5345" s="15" t="s">
        <v>9</v>
      </c>
      <c r="E5345" s="16">
        <v>1780</v>
      </c>
      <c r="F5345" s="16">
        <f t="shared" si="116"/>
        <v>2990400</v>
      </c>
      <c r="K5345" s="364"/>
      <c r="L5345" s="364"/>
      <c r="M5345" s="365"/>
      <c r="N5345" s="364"/>
      <c r="O5345" s="364"/>
    </row>
    <row r="5346" spans="1:15" ht="45" x14ac:dyDescent="0.25">
      <c r="A5346" s="13" t="s">
        <v>1634</v>
      </c>
      <c r="B5346" s="14" t="s">
        <v>2355</v>
      </c>
      <c r="C5346" s="316">
        <v>1</v>
      </c>
      <c r="D5346" s="15" t="s">
        <v>11</v>
      </c>
      <c r="E5346" s="16">
        <v>330000</v>
      </c>
      <c r="F5346" s="16">
        <f t="shared" si="116"/>
        <v>330000</v>
      </c>
      <c r="K5346" s="408" t="s">
        <v>407</v>
      </c>
      <c r="L5346" s="415">
        <f>SUM(K5337:O5345)</f>
        <v>1680</v>
      </c>
      <c r="M5346" s="415"/>
      <c r="N5346" s="215"/>
    </row>
    <row r="5348" spans="1:15" x14ac:dyDescent="0.25">
      <c r="B5348" s="17" t="s">
        <v>10</v>
      </c>
      <c r="C5348" s="31"/>
      <c r="D5348" s="18"/>
      <c r="E5348" s="239"/>
      <c r="F5348" s="239">
        <f>SUM(F5339:F5346)</f>
        <v>6656170</v>
      </c>
      <c r="K5348" s="413"/>
      <c r="L5348" s="364"/>
      <c r="M5348" s="412"/>
      <c r="N5348" s="364"/>
      <c r="O5348" s="410"/>
    </row>
    <row r="5349" spans="1:15" x14ac:dyDescent="0.25">
      <c r="K5349" s="364"/>
      <c r="L5349" s="413"/>
      <c r="M5349" s="365"/>
      <c r="N5349" s="410"/>
      <c r="O5349" s="364"/>
    </row>
    <row r="5350" spans="1:15" x14ac:dyDescent="0.25">
      <c r="B5350" s="14" t="s">
        <v>2577</v>
      </c>
      <c r="K5350" s="413"/>
      <c r="L5350" s="364"/>
      <c r="M5350" s="411"/>
      <c r="N5350" s="364"/>
      <c r="O5350" s="410"/>
    </row>
    <row r="5351" spans="1:15" x14ac:dyDescent="0.25">
      <c r="A5351" s="19"/>
      <c r="B5351" s="20"/>
      <c r="C5351" s="320"/>
      <c r="D5351" s="21"/>
      <c r="E5351" s="243"/>
      <c r="F5351" s="243"/>
      <c r="K5351" s="364"/>
      <c r="L5351" s="413"/>
      <c r="M5351" s="365"/>
      <c r="N5351" s="410"/>
      <c r="O5351" s="364"/>
    </row>
    <row r="5352" spans="1:15" x14ac:dyDescent="0.25">
      <c r="A5352" s="1" t="s">
        <v>0</v>
      </c>
      <c r="B5352" s="1" t="s">
        <v>1</v>
      </c>
      <c r="C5352" s="1" t="s">
        <v>2</v>
      </c>
      <c r="D5352" s="1" t="s">
        <v>3</v>
      </c>
      <c r="E5352" s="275" t="s">
        <v>4</v>
      </c>
      <c r="F5352" s="275" t="s">
        <v>5</v>
      </c>
      <c r="K5352" s="410"/>
      <c r="L5352" s="364"/>
      <c r="M5352" s="411"/>
      <c r="N5352" s="364"/>
      <c r="O5352" s="410"/>
    </row>
    <row r="5353" spans="1:15" x14ac:dyDescent="0.25">
      <c r="A5353" s="13" t="s">
        <v>1618</v>
      </c>
      <c r="B5353" s="14" t="s">
        <v>993</v>
      </c>
      <c r="C5353" s="316">
        <v>1</v>
      </c>
      <c r="D5353" s="15" t="s">
        <v>32</v>
      </c>
      <c r="E5353" s="16">
        <v>70</v>
      </c>
      <c r="F5353" s="16">
        <f>E5353*C5353</f>
        <v>70</v>
      </c>
      <c r="K5353" s="364"/>
      <c r="L5353" s="410"/>
      <c r="M5353" s="365"/>
      <c r="N5353" s="413"/>
      <c r="O5353" s="364"/>
    </row>
    <row r="5354" spans="1:15" x14ac:dyDescent="0.25">
      <c r="A5354" s="13" t="s">
        <v>1620</v>
      </c>
      <c r="B5354" s="14" t="s">
        <v>1730</v>
      </c>
      <c r="C5354" s="316">
        <v>1</v>
      </c>
      <c r="D5354" s="15" t="s">
        <v>32</v>
      </c>
      <c r="E5354" s="16">
        <v>55</v>
      </c>
      <c r="F5354" s="16">
        <f t="shared" ref="F5354:F5368" si="117">E5354*C5354</f>
        <v>55</v>
      </c>
      <c r="K5354" s="410"/>
      <c r="L5354" s="364"/>
      <c r="M5354" s="411"/>
      <c r="N5354" s="364"/>
      <c r="O5354" s="413"/>
    </row>
    <row r="5355" spans="1:15" ht="45" x14ac:dyDescent="0.25">
      <c r="A5355" s="13" t="s">
        <v>1621</v>
      </c>
      <c r="B5355" s="14" t="s">
        <v>2576</v>
      </c>
      <c r="C5355" s="316">
        <v>1</v>
      </c>
      <c r="D5355" s="15" t="s">
        <v>127</v>
      </c>
      <c r="E5355" s="16">
        <v>19000</v>
      </c>
      <c r="F5355" s="16">
        <f t="shared" si="117"/>
        <v>19000</v>
      </c>
      <c r="K5355" s="364"/>
      <c r="L5355" s="410"/>
      <c r="M5355" s="365"/>
      <c r="N5355" s="413"/>
      <c r="O5355" s="364"/>
    </row>
    <row r="5356" spans="1:15" ht="45" x14ac:dyDescent="0.25">
      <c r="A5356" s="13" t="s">
        <v>1623</v>
      </c>
      <c r="B5356" s="14" t="s">
        <v>2579</v>
      </c>
      <c r="C5356" s="316">
        <v>1</v>
      </c>
      <c r="D5356" s="15" t="s">
        <v>33</v>
      </c>
      <c r="E5356" s="16">
        <v>2400</v>
      </c>
      <c r="F5356" s="16">
        <f t="shared" si="117"/>
        <v>2400</v>
      </c>
      <c r="K5356" s="410"/>
      <c r="L5356" s="364"/>
      <c r="M5356" s="412"/>
      <c r="N5356" s="364"/>
      <c r="O5356" s="410"/>
    </row>
    <row r="5357" spans="1:15" ht="60" x14ac:dyDescent="0.25">
      <c r="A5357" s="13" t="s">
        <v>1631</v>
      </c>
      <c r="B5357" s="14" t="s">
        <v>2578</v>
      </c>
      <c r="C5357" s="316">
        <v>1</v>
      </c>
      <c r="D5357" s="15" t="s">
        <v>33</v>
      </c>
      <c r="E5357" s="16">
        <v>1750</v>
      </c>
      <c r="F5357" s="16">
        <f t="shared" si="117"/>
        <v>1750</v>
      </c>
      <c r="K5357" s="364"/>
      <c r="L5357" s="413"/>
      <c r="M5357" s="365"/>
      <c r="N5357" s="410"/>
      <c r="O5357" s="364"/>
    </row>
    <row r="5358" spans="1:15" ht="60" x14ac:dyDescent="0.25">
      <c r="A5358" s="13" t="s">
        <v>1632</v>
      </c>
      <c r="B5358" s="14" t="s">
        <v>2580</v>
      </c>
      <c r="C5358" s="316">
        <v>1</v>
      </c>
      <c r="D5358" s="15" t="s">
        <v>33</v>
      </c>
      <c r="E5358" s="16">
        <v>1600</v>
      </c>
      <c r="F5358" s="16">
        <f t="shared" si="117"/>
        <v>1600</v>
      </c>
      <c r="K5358" s="413"/>
      <c r="L5358" s="364"/>
      <c r="M5358" s="411"/>
      <c r="N5358" s="364"/>
      <c r="O5358" s="410"/>
    </row>
    <row r="5359" spans="1:15" ht="45" x14ac:dyDescent="0.25">
      <c r="A5359" s="13" t="s">
        <v>1633</v>
      </c>
      <c r="B5359" s="24" t="s">
        <v>1725</v>
      </c>
      <c r="C5359" s="25">
        <v>1</v>
      </c>
      <c r="D5359" s="25" t="s">
        <v>33</v>
      </c>
      <c r="E5359" s="259">
        <v>1800</v>
      </c>
      <c r="F5359" s="16">
        <f t="shared" si="117"/>
        <v>1800</v>
      </c>
      <c r="K5359" s="364"/>
      <c r="L5359" s="410"/>
      <c r="M5359" s="365"/>
      <c r="N5359" s="410"/>
      <c r="O5359" s="364"/>
    </row>
    <row r="5360" spans="1:15" ht="60" x14ac:dyDescent="0.25">
      <c r="A5360" s="13" t="s">
        <v>1634</v>
      </c>
      <c r="B5360" s="14" t="s">
        <v>2584</v>
      </c>
      <c r="C5360" s="316">
        <v>1</v>
      </c>
      <c r="D5360" s="15" t="s">
        <v>9</v>
      </c>
      <c r="E5360" s="16">
        <v>1550</v>
      </c>
      <c r="F5360" s="16">
        <f t="shared" si="117"/>
        <v>1550</v>
      </c>
      <c r="K5360" s="410"/>
      <c r="L5360" s="364"/>
      <c r="M5360" s="411"/>
      <c r="N5360" s="364"/>
      <c r="O5360" s="410"/>
    </row>
    <row r="5361" spans="1:15" ht="30" x14ac:dyDescent="0.25">
      <c r="A5361" s="13" t="s">
        <v>1635</v>
      </c>
      <c r="B5361" s="14" t="s">
        <v>2582</v>
      </c>
      <c r="C5361" s="316">
        <v>1</v>
      </c>
      <c r="D5361" s="15" t="s">
        <v>9</v>
      </c>
      <c r="E5361" s="16">
        <v>1450</v>
      </c>
      <c r="F5361" s="16">
        <f t="shared" si="117"/>
        <v>1450</v>
      </c>
    </row>
    <row r="5362" spans="1:15" ht="45" x14ac:dyDescent="0.25">
      <c r="A5362" s="13" t="s">
        <v>1385</v>
      </c>
      <c r="B5362" s="24" t="s">
        <v>2585</v>
      </c>
      <c r="C5362" s="25">
        <v>1</v>
      </c>
      <c r="D5362" s="25" t="s">
        <v>9</v>
      </c>
      <c r="E5362" s="259">
        <v>650</v>
      </c>
      <c r="F5362" s="16">
        <f t="shared" si="117"/>
        <v>650</v>
      </c>
    </row>
    <row r="5363" spans="1:15" ht="45.75" customHeight="1" x14ac:dyDescent="0.25">
      <c r="A5363" s="13" t="s">
        <v>1398</v>
      </c>
      <c r="B5363" s="24" t="s">
        <v>2531</v>
      </c>
      <c r="C5363" s="25">
        <v>1</v>
      </c>
      <c r="D5363" s="25" t="s">
        <v>9</v>
      </c>
      <c r="E5363" s="259">
        <v>180</v>
      </c>
      <c r="F5363" s="16">
        <f t="shared" si="117"/>
        <v>180</v>
      </c>
      <c r="K5363" s="637" t="s">
        <v>2583</v>
      </c>
      <c r="L5363" s="637"/>
      <c r="M5363" s="637"/>
      <c r="N5363" s="637"/>
      <c r="O5363" s="637"/>
    </row>
    <row r="5364" spans="1:15" ht="45" x14ac:dyDescent="0.25">
      <c r="A5364" s="13" t="s">
        <v>1637</v>
      </c>
      <c r="B5364" s="24" t="s">
        <v>2535</v>
      </c>
      <c r="C5364" s="25">
        <v>1</v>
      </c>
      <c r="D5364" s="25" t="s">
        <v>9</v>
      </c>
      <c r="E5364" s="259">
        <v>450</v>
      </c>
      <c r="F5364" s="16">
        <f t="shared" si="117"/>
        <v>450</v>
      </c>
      <c r="K5364" s="637"/>
      <c r="L5364" s="637"/>
      <c r="M5364" s="637"/>
      <c r="N5364" s="637"/>
      <c r="O5364" s="637"/>
    </row>
    <row r="5365" spans="1:15" ht="60" x14ac:dyDescent="0.25">
      <c r="A5365" s="13" t="s">
        <v>1660</v>
      </c>
      <c r="B5365" s="14" t="s">
        <v>2361</v>
      </c>
      <c r="C5365" s="316">
        <v>1</v>
      </c>
      <c r="D5365" s="15" t="s">
        <v>9</v>
      </c>
      <c r="E5365" s="16">
        <v>140</v>
      </c>
      <c r="F5365" s="16">
        <f t="shared" si="117"/>
        <v>140</v>
      </c>
      <c r="K5365" s="637"/>
      <c r="L5365" s="637"/>
      <c r="M5365" s="637"/>
      <c r="N5365" s="637"/>
      <c r="O5365" s="637"/>
    </row>
    <row r="5366" spans="1:15" ht="45" x14ac:dyDescent="0.25">
      <c r="A5366" s="13" t="s">
        <v>1661</v>
      </c>
      <c r="B5366" s="14" t="s">
        <v>2363</v>
      </c>
      <c r="C5366" s="316">
        <v>1</v>
      </c>
      <c r="D5366" s="15" t="s">
        <v>9</v>
      </c>
      <c r="E5366" s="16">
        <v>95</v>
      </c>
      <c r="F5366" s="16">
        <f t="shared" si="117"/>
        <v>95</v>
      </c>
      <c r="K5366" s="637"/>
      <c r="L5366" s="637"/>
      <c r="M5366" s="637"/>
      <c r="N5366" s="637"/>
      <c r="O5366" s="637"/>
    </row>
    <row r="5367" spans="1:15" ht="45" x14ac:dyDescent="0.25">
      <c r="A5367" s="13" t="s">
        <v>1662</v>
      </c>
      <c r="B5367" s="2" t="s">
        <v>1643</v>
      </c>
      <c r="C5367" s="3">
        <v>1</v>
      </c>
      <c r="D5367" s="3" t="s">
        <v>769</v>
      </c>
      <c r="E5367" s="276">
        <v>195</v>
      </c>
      <c r="F5367" s="16">
        <f t="shared" si="117"/>
        <v>195</v>
      </c>
      <c r="K5367" s="637"/>
      <c r="L5367" s="637"/>
      <c r="M5367" s="637"/>
      <c r="N5367" s="637"/>
      <c r="O5367" s="637"/>
    </row>
    <row r="5368" spans="1:15" ht="45" x14ac:dyDescent="0.25">
      <c r="A5368" s="13" t="s">
        <v>1663</v>
      </c>
      <c r="B5368" s="2" t="s">
        <v>291</v>
      </c>
      <c r="C5368" s="3">
        <v>1</v>
      </c>
      <c r="D5368" s="3" t="s">
        <v>769</v>
      </c>
      <c r="E5368" s="276">
        <v>210</v>
      </c>
      <c r="F5368" s="16">
        <f t="shared" si="117"/>
        <v>210</v>
      </c>
    </row>
    <row r="5369" spans="1:15" x14ac:dyDescent="0.25">
      <c r="A5369" s="26"/>
      <c r="B5369" s="52"/>
      <c r="C5369" s="322"/>
      <c r="D5369" s="53"/>
      <c r="E5369" s="248"/>
      <c r="F5369" s="248"/>
    </row>
    <row r="5370" spans="1:15" x14ac:dyDescent="0.25">
      <c r="A5370" s="1" t="s">
        <v>0</v>
      </c>
      <c r="B5370" s="1" t="s">
        <v>1</v>
      </c>
      <c r="C5370" s="1" t="s">
        <v>2</v>
      </c>
      <c r="D5370" s="1" t="s">
        <v>3</v>
      </c>
      <c r="E5370" s="275" t="s">
        <v>4</v>
      </c>
      <c r="F5370" s="275" t="s">
        <v>5</v>
      </c>
    </row>
    <row r="5371" spans="1:15" x14ac:dyDescent="0.25">
      <c r="A5371" s="13" t="s">
        <v>1618</v>
      </c>
      <c r="B5371" s="14" t="s">
        <v>993</v>
      </c>
      <c r="C5371" s="316">
        <v>896</v>
      </c>
      <c r="D5371" s="15" t="s">
        <v>32</v>
      </c>
      <c r="E5371" s="16">
        <v>70</v>
      </c>
      <c r="F5371" s="16">
        <f>E5371*C5371</f>
        <v>62720</v>
      </c>
    </row>
    <row r="5372" spans="1:15" x14ac:dyDescent="0.25">
      <c r="A5372" s="13" t="s">
        <v>1620</v>
      </c>
      <c r="B5372" s="14" t="s">
        <v>1730</v>
      </c>
      <c r="C5372" s="316">
        <v>720</v>
      </c>
      <c r="D5372" s="15" t="s">
        <v>32</v>
      </c>
      <c r="E5372" s="16">
        <v>55</v>
      </c>
      <c r="F5372" s="16">
        <f>E5372*C5372</f>
        <v>39600</v>
      </c>
    </row>
    <row r="5373" spans="1:15" ht="45" x14ac:dyDescent="0.25">
      <c r="A5373" s="13" t="s">
        <v>1621</v>
      </c>
      <c r="B5373" s="14" t="s">
        <v>2586</v>
      </c>
      <c r="C5373" s="316">
        <v>14</v>
      </c>
      <c r="D5373" s="15" t="s">
        <v>11</v>
      </c>
      <c r="E5373" s="16">
        <v>18500</v>
      </c>
      <c r="F5373" s="16">
        <f>E5373*C5373</f>
        <v>259000</v>
      </c>
    </row>
    <row r="5374" spans="1:15" ht="60" x14ac:dyDescent="0.25">
      <c r="A5374" s="13" t="s">
        <v>1623</v>
      </c>
      <c r="B5374" s="14" t="s">
        <v>2587</v>
      </c>
      <c r="C5374" s="316">
        <v>215</v>
      </c>
      <c r="D5374" s="15" t="s">
        <v>33</v>
      </c>
      <c r="E5374" s="16">
        <v>1850</v>
      </c>
      <c r="F5374" s="16">
        <f>E5374*C5374</f>
        <v>397750</v>
      </c>
    </row>
    <row r="5375" spans="1:15" ht="60" x14ac:dyDescent="0.25">
      <c r="A5375" s="13" t="s">
        <v>1631</v>
      </c>
      <c r="B5375" s="14" t="s">
        <v>2588</v>
      </c>
      <c r="C5375" s="316">
        <v>45</v>
      </c>
      <c r="D5375" s="15" t="s">
        <v>33</v>
      </c>
      <c r="E5375" s="16">
        <v>900</v>
      </c>
      <c r="F5375" s="16">
        <f>E5375*C5375</f>
        <v>40500</v>
      </c>
      <c r="K5375"/>
    </row>
    <row r="5376" spans="1:15" ht="60" x14ac:dyDescent="0.25">
      <c r="A5376" s="13" t="s">
        <v>1632</v>
      </c>
      <c r="B5376" s="14" t="s">
        <v>2591</v>
      </c>
      <c r="C5376" s="316">
        <v>226</v>
      </c>
      <c r="D5376" s="15" t="s">
        <v>33</v>
      </c>
      <c r="E5376" s="16">
        <v>1750</v>
      </c>
      <c r="F5376" s="16">
        <f t="shared" ref="F5376" si="118">E5376*C5376</f>
        <v>395500</v>
      </c>
      <c r="K5376" s="364">
        <v>483</v>
      </c>
      <c r="L5376" s="364">
        <v>338</v>
      </c>
      <c r="M5376" s="365"/>
      <c r="N5376" s="364"/>
      <c r="O5376" s="364"/>
    </row>
    <row r="5377" spans="1:15" ht="60" x14ac:dyDescent="0.25">
      <c r="A5377" s="13" t="s">
        <v>1633</v>
      </c>
      <c r="B5377" s="14" t="s">
        <v>2580</v>
      </c>
      <c r="C5377" s="316">
        <v>128</v>
      </c>
      <c r="D5377" s="15" t="s">
        <v>33</v>
      </c>
      <c r="E5377" s="16">
        <v>1950</v>
      </c>
      <c r="F5377" s="16">
        <f t="shared" ref="F5377:F5387" si="119">E5377*C5377</f>
        <v>249600</v>
      </c>
      <c r="K5377" s="364"/>
      <c r="L5377" s="364"/>
      <c r="M5377" s="365"/>
      <c r="N5377" s="364"/>
      <c r="O5377" s="364"/>
    </row>
    <row r="5378" spans="1:15" ht="75" x14ac:dyDescent="0.25">
      <c r="A5378" s="13" t="s">
        <v>1634</v>
      </c>
      <c r="B5378" s="14" t="s">
        <v>2592</v>
      </c>
      <c r="C5378" s="316">
        <v>385</v>
      </c>
      <c r="D5378" s="15" t="s">
        <v>9</v>
      </c>
      <c r="E5378" s="16">
        <v>1600</v>
      </c>
      <c r="F5378" s="16">
        <f t="shared" si="119"/>
        <v>616000</v>
      </c>
      <c r="K5378" s="364"/>
      <c r="L5378" s="364"/>
      <c r="M5378" s="365"/>
      <c r="N5378" s="364"/>
      <c r="O5378" s="364"/>
    </row>
    <row r="5379" spans="1:15" ht="30" x14ac:dyDescent="0.25">
      <c r="A5379" s="13" t="s">
        <v>1635</v>
      </c>
      <c r="B5379" s="14" t="s">
        <v>2582</v>
      </c>
      <c r="C5379" s="316">
        <v>1</v>
      </c>
      <c r="D5379" s="15" t="s">
        <v>11</v>
      </c>
      <c r="E5379" s="16">
        <v>360000</v>
      </c>
      <c r="F5379" s="16">
        <f t="shared" si="119"/>
        <v>360000</v>
      </c>
      <c r="L5379" s="33" t="s">
        <v>772</v>
      </c>
      <c r="M5379" s="414">
        <f>SUM(K5376:O5378)</f>
        <v>821</v>
      </c>
      <c r="N5379" s="414"/>
    </row>
    <row r="5380" spans="1:15" ht="45" x14ac:dyDescent="0.25">
      <c r="A5380" s="13" t="s">
        <v>1385</v>
      </c>
      <c r="B5380" s="14" t="s">
        <v>2590</v>
      </c>
      <c r="C5380" s="316">
        <v>1</v>
      </c>
      <c r="D5380" s="15" t="s">
        <v>407</v>
      </c>
      <c r="E5380" s="16">
        <v>120000</v>
      </c>
      <c r="F5380" s="16">
        <f t="shared" si="119"/>
        <v>120000</v>
      </c>
    </row>
    <row r="5381" spans="1:15" ht="45" x14ac:dyDescent="0.25">
      <c r="A5381" s="13" t="s">
        <v>1398</v>
      </c>
      <c r="B5381" s="14" t="s">
        <v>1053</v>
      </c>
      <c r="C5381" s="316">
        <v>1650</v>
      </c>
      <c r="D5381" s="15" t="s">
        <v>9</v>
      </c>
      <c r="E5381" s="16">
        <v>485</v>
      </c>
      <c r="F5381" s="16">
        <f t="shared" si="119"/>
        <v>800250</v>
      </c>
    </row>
    <row r="5382" spans="1:15" ht="45" x14ac:dyDescent="0.25">
      <c r="A5382" s="13" t="s">
        <v>1637</v>
      </c>
      <c r="B5382" s="14" t="s">
        <v>2593</v>
      </c>
      <c r="C5382" s="316">
        <v>2300</v>
      </c>
      <c r="D5382" s="15" t="s">
        <v>9</v>
      </c>
      <c r="E5382" s="16">
        <v>160</v>
      </c>
      <c r="F5382" s="16">
        <f t="shared" si="119"/>
        <v>368000</v>
      </c>
    </row>
    <row r="5383" spans="1:15" ht="60" x14ac:dyDescent="0.25">
      <c r="A5383" s="13" t="s">
        <v>1660</v>
      </c>
      <c r="B5383" s="14" t="s">
        <v>2594</v>
      </c>
      <c r="C5383" s="316">
        <v>1600</v>
      </c>
      <c r="D5383" s="15" t="s">
        <v>9</v>
      </c>
      <c r="E5383" s="16">
        <v>170</v>
      </c>
      <c r="F5383" s="16">
        <f t="shared" si="119"/>
        <v>272000</v>
      </c>
    </row>
    <row r="5384" spans="1:15" ht="60" x14ac:dyDescent="0.25">
      <c r="A5384" s="13" t="s">
        <v>1661</v>
      </c>
      <c r="B5384" s="14" t="s">
        <v>2361</v>
      </c>
      <c r="C5384" s="316">
        <v>2300</v>
      </c>
      <c r="D5384" s="15" t="s">
        <v>9</v>
      </c>
      <c r="E5384" s="16">
        <v>140</v>
      </c>
      <c r="F5384" s="16">
        <f t="shared" si="119"/>
        <v>322000</v>
      </c>
    </row>
    <row r="5385" spans="1:15" ht="45" x14ac:dyDescent="0.25">
      <c r="A5385" s="13" t="s">
        <v>1662</v>
      </c>
      <c r="B5385" s="14" t="s">
        <v>2595</v>
      </c>
      <c r="C5385" s="316">
        <v>1600</v>
      </c>
      <c r="D5385" s="15" t="s">
        <v>9</v>
      </c>
      <c r="E5385" s="16">
        <v>95</v>
      </c>
      <c r="F5385" s="16">
        <f t="shared" si="119"/>
        <v>152000</v>
      </c>
    </row>
    <row r="5386" spans="1:15" ht="45" x14ac:dyDescent="0.25">
      <c r="A5386" s="13" t="s">
        <v>1663</v>
      </c>
      <c r="B5386" s="14" t="s">
        <v>2535</v>
      </c>
      <c r="C5386" s="316">
        <v>870</v>
      </c>
      <c r="D5386" s="15" t="s">
        <v>9</v>
      </c>
      <c r="E5386" s="16">
        <v>550</v>
      </c>
      <c r="F5386" s="16">
        <f t="shared" si="119"/>
        <v>478500</v>
      </c>
    </row>
    <row r="5387" spans="1:15" ht="75" x14ac:dyDescent="0.25">
      <c r="A5387" s="13" t="s">
        <v>1664</v>
      </c>
      <c r="B5387" s="14" t="s">
        <v>2589</v>
      </c>
      <c r="C5387" s="316">
        <v>1060</v>
      </c>
      <c r="D5387" s="15" t="s">
        <v>9</v>
      </c>
      <c r="E5387" s="16">
        <v>1650</v>
      </c>
      <c r="F5387" s="16">
        <f t="shared" si="119"/>
        <v>1749000</v>
      </c>
    </row>
    <row r="5389" spans="1:15" x14ac:dyDescent="0.25">
      <c r="B5389" s="17" t="s">
        <v>10</v>
      </c>
      <c r="C5389" s="31"/>
      <c r="D5389" s="18"/>
      <c r="E5389" s="239"/>
      <c r="F5389" s="239">
        <f>SUM(F5371:F5387)</f>
        <v>6682420</v>
      </c>
    </row>
    <row r="5391" spans="1:15" ht="45" x14ac:dyDescent="0.25">
      <c r="B5391" s="14" t="s">
        <v>2596</v>
      </c>
    </row>
    <row r="5392" spans="1:15" x14ac:dyDescent="0.25">
      <c r="A5392" s="19"/>
      <c r="B5392" s="20"/>
      <c r="C5392" s="320"/>
      <c r="D5392" s="21"/>
      <c r="E5392" s="243"/>
      <c r="F5392" s="243"/>
    </row>
    <row r="5393" spans="1:6" x14ac:dyDescent="0.25">
      <c r="A5393" s="1" t="s">
        <v>0</v>
      </c>
      <c r="B5393" s="1" t="s">
        <v>1</v>
      </c>
      <c r="C5393" s="1" t="s">
        <v>2</v>
      </c>
      <c r="D5393" s="1" t="s">
        <v>3</v>
      </c>
      <c r="E5393" s="1" t="s">
        <v>4</v>
      </c>
      <c r="F5393" s="1" t="s">
        <v>5</v>
      </c>
    </row>
    <row r="5394" spans="1:6" ht="45" x14ac:dyDescent="0.25">
      <c r="A5394" s="25">
        <v>1</v>
      </c>
      <c r="B5394" s="24" t="s">
        <v>2601</v>
      </c>
      <c r="C5394" s="25">
        <v>4532</v>
      </c>
      <c r="D5394" s="25" t="s">
        <v>9</v>
      </c>
      <c r="E5394" s="25">
        <v>280</v>
      </c>
      <c r="F5394" s="259">
        <f>E5394*C5394</f>
        <v>1268960</v>
      </c>
    </row>
    <row r="5395" spans="1:6" ht="45" x14ac:dyDescent="0.25">
      <c r="A5395" s="25">
        <v>2</v>
      </c>
      <c r="B5395" s="24" t="s">
        <v>2602</v>
      </c>
      <c r="C5395" s="25">
        <v>821</v>
      </c>
      <c r="D5395" s="25" t="s">
        <v>9</v>
      </c>
      <c r="E5395" s="25">
        <v>380</v>
      </c>
      <c r="F5395" s="259">
        <f t="shared" ref="F5395:F5400" si="120">E5395*C5395</f>
        <v>311980</v>
      </c>
    </row>
    <row r="5396" spans="1:6" ht="105" x14ac:dyDescent="0.25">
      <c r="A5396" s="25">
        <v>3</v>
      </c>
      <c r="B5396" s="24" t="s">
        <v>2603</v>
      </c>
      <c r="C5396" s="25">
        <v>3</v>
      </c>
      <c r="D5396" s="25" t="s">
        <v>11</v>
      </c>
      <c r="E5396" s="259">
        <v>90000</v>
      </c>
      <c r="F5396" s="259">
        <f t="shared" si="120"/>
        <v>270000</v>
      </c>
    </row>
    <row r="5397" spans="1:6" ht="60" x14ac:dyDescent="0.25">
      <c r="A5397" s="25">
        <v>4</v>
      </c>
      <c r="B5397" s="24" t="s">
        <v>2600</v>
      </c>
      <c r="C5397" s="25"/>
      <c r="D5397" s="25"/>
      <c r="E5397" s="25"/>
      <c r="F5397" s="259"/>
    </row>
    <row r="5398" spans="1:6" x14ac:dyDescent="0.25">
      <c r="A5398" s="25"/>
      <c r="B5398" s="24" t="s">
        <v>2597</v>
      </c>
      <c r="C5398" s="25">
        <v>0</v>
      </c>
      <c r="D5398" s="25" t="s">
        <v>33</v>
      </c>
      <c r="E5398" s="25">
        <v>950</v>
      </c>
      <c r="F5398" s="259">
        <f t="shared" si="120"/>
        <v>0</v>
      </c>
    </row>
    <row r="5399" spans="1:6" x14ac:dyDescent="0.25">
      <c r="A5399" s="25"/>
      <c r="B5399" s="24" t="s">
        <v>2598</v>
      </c>
      <c r="C5399" s="25">
        <v>0</v>
      </c>
      <c r="D5399" s="25" t="s">
        <v>33</v>
      </c>
      <c r="E5399" s="25">
        <v>550</v>
      </c>
      <c r="F5399" s="259">
        <f t="shared" si="120"/>
        <v>0</v>
      </c>
    </row>
    <row r="5400" spans="1:6" x14ac:dyDescent="0.25">
      <c r="A5400" s="25"/>
      <c r="B5400" s="24" t="s">
        <v>2599</v>
      </c>
      <c r="C5400" s="25">
        <v>0</v>
      </c>
      <c r="D5400" s="25" t="s">
        <v>33</v>
      </c>
      <c r="E5400" s="25">
        <v>340</v>
      </c>
      <c r="F5400" s="259">
        <f t="shared" si="120"/>
        <v>0</v>
      </c>
    </row>
    <row r="5401" spans="1:6" x14ac:dyDescent="0.25">
      <c r="A5401" s="25"/>
      <c r="B5401" s="24"/>
      <c r="C5401" s="25"/>
      <c r="D5401" s="25"/>
      <c r="E5401" s="25"/>
      <c r="F5401" s="259"/>
    </row>
    <row r="5402" spans="1:6" x14ac:dyDescent="0.25">
      <c r="A5402" s="25"/>
      <c r="B5402" s="71" t="s">
        <v>10</v>
      </c>
      <c r="C5402" s="28"/>
      <c r="D5402" s="28"/>
      <c r="E5402" s="28"/>
      <c r="F5402" s="262">
        <f>SUM(F5394:F5400)</f>
        <v>1850940</v>
      </c>
    </row>
    <row r="5403" spans="1:6" x14ac:dyDescent="0.25">
      <c r="A5403" s="25"/>
      <c r="B5403" s="24"/>
      <c r="C5403" s="25"/>
      <c r="D5403" s="25"/>
      <c r="E5403" s="25"/>
      <c r="F5403" s="25"/>
    </row>
    <row r="5404" spans="1:6" x14ac:dyDescent="0.25">
      <c r="A5404" s="1" t="s">
        <v>0</v>
      </c>
      <c r="B5404" s="1" t="s">
        <v>1</v>
      </c>
      <c r="C5404" s="1" t="s">
        <v>2</v>
      </c>
      <c r="D5404" s="1" t="s">
        <v>3</v>
      </c>
      <c r="E5404" s="1" t="s">
        <v>4</v>
      </c>
      <c r="F5404" s="1" t="s">
        <v>5</v>
      </c>
    </row>
    <row r="5405" spans="1:6" ht="60" x14ac:dyDescent="0.25">
      <c r="A5405" s="13" t="s">
        <v>1618</v>
      </c>
      <c r="B5405" s="14" t="s">
        <v>2613</v>
      </c>
      <c r="C5405" s="316">
        <v>1</v>
      </c>
      <c r="D5405" s="15" t="s">
        <v>407</v>
      </c>
      <c r="E5405" s="16">
        <v>8500</v>
      </c>
      <c r="F5405" s="16">
        <f>E5405*C5405</f>
        <v>8500</v>
      </c>
    </row>
    <row r="5406" spans="1:6" x14ac:dyDescent="0.25">
      <c r="A5406" s="13" t="s">
        <v>1620</v>
      </c>
      <c r="B5406" s="14" t="s">
        <v>1761</v>
      </c>
      <c r="C5406" s="316">
        <v>45</v>
      </c>
      <c r="D5406" s="15" t="s">
        <v>9</v>
      </c>
      <c r="E5406" s="16">
        <v>130</v>
      </c>
      <c r="F5406" s="16">
        <f t="shared" ref="F5406:F5419" si="121">E5406*C5406</f>
        <v>5850</v>
      </c>
    </row>
    <row r="5407" spans="1:6" x14ac:dyDescent="0.25">
      <c r="A5407" s="13" t="s">
        <v>1621</v>
      </c>
      <c r="B5407" s="14" t="s">
        <v>2605</v>
      </c>
      <c r="C5407" s="316">
        <v>15</v>
      </c>
      <c r="D5407" s="15" t="s">
        <v>32</v>
      </c>
      <c r="E5407" s="16">
        <v>300</v>
      </c>
      <c r="F5407" s="16">
        <f t="shared" si="121"/>
        <v>4500</v>
      </c>
    </row>
    <row r="5408" spans="1:6" x14ac:dyDescent="0.25">
      <c r="A5408" s="13" t="s">
        <v>1623</v>
      </c>
      <c r="B5408" s="14" t="s">
        <v>1790</v>
      </c>
      <c r="C5408" s="316">
        <v>49</v>
      </c>
      <c r="D5408" s="15" t="s">
        <v>1763</v>
      </c>
      <c r="E5408" s="16">
        <v>100</v>
      </c>
      <c r="F5408" s="16">
        <f t="shared" si="121"/>
        <v>4900</v>
      </c>
    </row>
    <row r="5409" spans="1:8" ht="30" x14ac:dyDescent="0.25">
      <c r="A5409" s="13" t="s">
        <v>1631</v>
      </c>
      <c r="B5409" s="14" t="s">
        <v>2606</v>
      </c>
      <c r="C5409" s="316">
        <v>238</v>
      </c>
      <c r="D5409" s="15" t="s">
        <v>9</v>
      </c>
      <c r="E5409" s="16">
        <v>29</v>
      </c>
      <c r="F5409" s="16">
        <f t="shared" si="121"/>
        <v>6902</v>
      </c>
    </row>
    <row r="5410" spans="1:8" x14ac:dyDescent="0.25">
      <c r="A5410" s="13" t="s">
        <v>1632</v>
      </c>
      <c r="B5410" s="14" t="s">
        <v>2607</v>
      </c>
      <c r="C5410" s="316">
        <v>238</v>
      </c>
      <c r="D5410" s="15" t="s">
        <v>9</v>
      </c>
      <c r="E5410" s="16">
        <v>150</v>
      </c>
      <c r="F5410" s="16">
        <f t="shared" si="121"/>
        <v>35700</v>
      </c>
    </row>
    <row r="5411" spans="1:8" x14ac:dyDescent="0.25">
      <c r="A5411" s="13" t="s">
        <v>1633</v>
      </c>
      <c r="B5411" s="14" t="s">
        <v>679</v>
      </c>
      <c r="C5411" s="316">
        <v>12</v>
      </c>
      <c r="D5411" s="15" t="s">
        <v>32</v>
      </c>
      <c r="E5411" s="16">
        <v>300</v>
      </c>
      <c r="F5411" s="16">
        <f t="shared" si="121"/>
        <v>3600</v>
      </c>
    </row>
    <row r="5412" spans="1:8" x14ac:dyDescent="0.25">
      <c r="A5412" s="13" t="s">
        <v>1634</v>
      </c>
      <c r="B5412" s="14" t="s">
        <v>2608</v>
      </c>
      <c r="C5412" s="316">
        <v>48</v>
      </c>
      <c r="D5412" s="15" t="s">
        <v>9</v>
      </c>
      <c r="E5412" s="16">
        <v>80</v>
      </c>
      <c r="F5412" s="16">
        <f t="shared" si="121"/>
        <v>3840</v>
      </c>
    </row>
    <row r="5413" spans="1:8" x14ac:dyDescent="0.25">
      <c r="A5413" s="13" t="s">
        <v>1635</v>
      </c>
      <c r="B5413" s="14" t="s">
        <v>527</v>
      </c>
      <c r="C5413" s="316">
        <v>156</v>
      </c>
      <c r="D5413" s="15" t="s">
        <v>9</v>
      </c>
      <c r="E5413" s="16">
        <v>130</v>
      </c>
      <c r="F5413" s="16">
        <f t="shared" si="121"/>
        <v>20280</v>
      </c>
    </row>
    <row r="5414" spans="1:8" x14ac:dyDescent="0.25">
      <c r="A5414" s="13" t="s">
        <v>1385</v>
      </c>
      <c r="B5414" s="14" t="s">
        <v>526</v>
      </c>
      <c r="C5414" s="316">
        <v>48</v>
      </c>
      <c r="D5414" s="15" t="s">
        <v>9</v>
      </c>
      <c r="E5414" s="16">
        <v>120</v>
      </c>
      <c r="F5414" s="16">
        <f t="shared" si="121"/>
        <v>5760</v>
      </c>
    </row>
    <row r="5415" spans="1:8" x14ac:dyDescent="0.25">
      <c r="A5415" s="13" t="s">
        <v>1398</v>
      </c>
      <c r="B5415" s="14" t="s">
        <v>2610</v>
      </c>
      <c r="C5415" s="316">
        <v>48</v>
      </c>
      <c r="D5415" s="15" t="s">
        <v>9</v>
      </c>
      <c r="E5415" s="16">
        <v>190</v>
      </c>
      <c r="F5415" s="16">
        <f t="shared" si="121"/>
        <v>9120</v>
      </c>
    </row>
    <row r="5416" spans="1:8" x14ac:dyDescent="0.25">
      <c r="A5416" s="13" t="s">
        <v>1637</v>
      </c>
      <c r="B5416" s="14" t="s">
        <v>2609</v>
      </c>
      <c r="C5416" s="316">
        <v>238</v>
      </c>
      <c r="D5416" s="15" t="s">
        <v>9</v>
      </c>
      <c r="E5416" s="16">
        <v>40</v>
      </c>
      <c r="F5416" s="16">
        <f t="shared" si="121"/>
        <v>9520</v>
      </c>
      <c r="H5416" s="33" t="s">
        <v>2604</v>
      </c>
    </row>
    <row r="5417" spans="1:8" x14ac:dyDescent="0.25">
      <c r="A5417" s="13" t="s">
        <v>1660</v>
      </c>
      <c r="B5417" s="14" t="s">
        <v>1765</v>
      </c>
      <c r="C5417" s="316">
        <v>108</v>
      </c>
      <c r="D5417" s="15" t="s">
        <v>33</v>
      </c>
      <c r="E5417" s="16">
        <v>38</v>
      </c>
      <c r="F5417" s="16">
        <f t="shared" si="121"/>
        <v>4104</v>
      </c>
    </row>
    <row r="5418" spans="1:8" x14ac:dyDescent="0.25">
      <c r="A5418" s="13" t="s">
        <v>1661</v>
      </c>
      <c r="B5418" s="14" t="s">
        <v>2611</v>
      </c>
      <c r="C5418" s="316">
        <v>112</v>
      </c>
      <c r="D5418" s="15" t="s">
        <v>33</v>
      </c>
      <c r="E5418" s="16">
        <v>38</v>
      </c>
      <c r="F5418" s="16">
        <f t="shared" si="121"/>
        <v>4256</v>
      </c>
    </row>
    <row r="5419" spans="1:8" x14ac:dyDescent="0.25">
      <c r="A5419" s="13" t="s">
        <v>1662</v>
      </c>
      <c r="B5419" s="14" t="s">
        <v>2612</v>
      </c>
      <c r="C5419" s="316">
        <v>14</v>
      </c>
      <c r="D5419" s="15" t="s">
        <v>33</v>
      </c>
      <c r="E5419" s="16">
        <v>38</v>
      </c>
      <c r="F5419" s="16">
        <f t="shared" si="121"/>
        <v>532</v>
      </c>
    </row>
    <row r="5421" spans="1:8" x14ac:dyDescent="0.25">
      <c r="B5421" s="17" t="s">
        <v>10</v>
      </c>
      <c r="C5421" s="31"/>
      <c r="D5421" s="18"/>
      <c r="E5421" s="239"/>
      <c r="F5421" s="239">
        <f>SUM(F5405:F5417)</f>
        <v>122576</v>
      </c>
    </row>
    <row r="5422" spans="1:8" x14ac:dyDescent="0.25">
      <c r="A5422" s="19"/>
      <c r="B5422" s="20"/>
      <c r="C5422" s="320"/>
      <c r="D5422" s="21"/>
      <c r="E5422" s="243"/>
      <c r="F5422" s="243"/>
    </row>
    <row r="5423" spans="1:8" x14ac:dyDescent="0.25">
      <c r="A5423" s="1" t="s">
        <v>0</v>
      </c>
      <c r="B5423" s="1" t="s">
        <v>1</v>
      </c>
      <c r="C5423" s="1" t="s">
        <v>2</v>
      </c>
      <c r="D5423" s="1" t="s">
        <v>3</v>
      </c>
      <c r="E5423" s="1" t="s">
        <v>4</v>
      </c>
      <c r="F5423" s="1" t="s">
        <v>5</v>
      </c>
    </row>
    <row r="5424" spans="1:8" ht="90" x14ac:dyDescent="0.25">
      <c r="A5424" s="25">
        <v>1</v>
      </c>
      <c r="B5424" s="24" t="s">
        <v>2559</v>
      </c>
      <c r="C5424" s="25">
        <v>1</v>
      </c>
      <c r="D5424" s="25" t="s">
        <v>407</v>
      </c>
      <c r="E5424" s="259">
        <v>148000</v>
      </c>
      <c r="F5424" s="326">
        <f>E5424*C5424</f>
        <v>148000</v>
      </c>
    </row>
    <row r="5425" spans="1:6" ht="60" x14ac:dyDescent="0.25">
      <c r="A5425" s="25" t="s">
        <v>2614</v>
      </c>
      <c r="B5425" s="24" t="s">
        <v>2615</v>
      </c>
      <c r="C5425" s="25">
        <v>228</v>
      </c>
      <c r="D5425" s="25" t="s">
        <v>2616</v>
      </c>
      <c r="E5425" s="25" t="s">
        <v>2617</v>
      </c>
      <c r="F5425" s="326" t="e">
        <f>E5425*C5425</f>
        <v>#VALUE!</v>
      </c>
    </row>
    <row r="5426" spans="1:6" x14ac:dyDescent="0.25">
      <c r="A5426" s="25"/>
      <c r="B5426" s="71"/>
      <c r="C5426" s="28"/>
      <c r="D5426" s="28"/>
      <c r="E5426" s="28"/>
      <c r="F5426" s="28"/>
    </row>
    <row r="5427" spans="1:6" x14ac:dyDescent="0.25">
      <c r="A5427" s="25"/>
      <c r="B5427" s="71" t="s">
        <v>10</v>
      </c>
      <c r="C5427" s="28"/>
      <c r="D5427" s="28"/>
      <c r="E5427" s="28"/>
      <c r="F5427" s="262" t="e">
        <f>SUM(F5424,F5425)</f>
        <v>#VALUE!</v>
      </c>
    </row>
    <row r="5428" spans="1:6" x14ac:dyDescent="0.25">
      <c r="A5428" s="25"/>
      <c r="B5428" s="24"/>
      <c r="C5428" s="25"/>
      <c r="D5428" s="25"/>
      <c r="E5428" s="25"/>
      <c r="F5428" s="25"/>
    </row>
    <row r="5429" spans="1:6" x14ac:dyDescent="0.25">
      <c r="A5429" s="1" t="s">
        <v>0</v>
      </c>
      <c r="B5429" s="1" t="s">
        <v>1</v>
      </c>
      <c r="C5429" s="1" t="s">
        <v>2</v>
      </c>
      <c r="D5429" s="1" t="s">
        <v>3</v>
      </c>
      <c r="E5429" s="1" t="s">
        <v>4</v>
      </c>
      <c r="F5429" s="1" t="s">
        <v>5</v>
      </c>
    </row>
    <row r="5430" spans="1:6" ht="90" x14ac:dyDescent="0.25">
      <c r="A5430" s="25">
        <v>1</v>
      </c>
      <c r="B5430" s="24" t="s">
        <v>2559</v>
      </c>
      <c r="C5430" s="259">
        <v>1</v>
      </c>
      <c r="D5430" s="25" t="s">
        <v>407</v>
      </c>
      <c r="E5430" s="259">
        <v>148000</v>
      </c>
      <c r="F5430" s="16">
        <f>E5430*C5430</f>
        <v>148000</v>
      </c>
    </row>
    <row r="5431" spans="1:6" ht="60" x14ac:dyDescent="0.25">
      <c r="A5431" s="25" t="s">
        <v>2614</v>
      </c>
      <c r="B5431" s="24" t="s">
        <v>2615</v>
      </c>
      <c r="C5431" s="259">
        <v>228</v>
      </c>
      <c r="D5431" s="25" t="s">
        <v>2616</v>
      </c>
      <c r="E5431" s="259" t="s">
        <v>2617</v>
      </c>
    </row>
  </sheetData>
  <mergeCells count="1413">
    <mergeCell ref="B2072:C2072"/>
    <mergeCell ref="B2073:C2073"/>
    <mergeCell ref="B2074:C2074"/>
    <mergeCell ref="B2075:C2075"/>
    <mergeCell ref="B2095:C2095"/>
    <mergeCell ref="B2044:C2044"/>
    <mergeCell ref="B2058:C2058"/>
    <mergeCell ref="B2055:C2055"/>
    <mergeCell ref="B2056:C2056"/>
    <mergeCell ref="B2057:C2057"/>
    <mergeCell ref="K5363:O5367"/>
    <mergeCell ref="B2051:C2051"/>
    <mergeCell ref="B2052:C2052"/>
    <mergeCell ref="B2053:C2053"/>
    <mergeCell ref="B2100:C2100"/>
    <mergeCell ref="B2101:C2101"/>
    <mergeCell ref="B2102:C2102"/>
    <mergeCell ref="B2103:C2103"/>
    <mergeCell ref="B2113:C2113"/>
    <mergeCell ref="C5227:F5227"/>
    <mergeCell ref="F3762:F3763"/>
    <mergeCell ref="B3758:B3759"/>
    <mergeCell ref="E4052:E4053"/>
    <mergeCell ref="D4138:D4140"/>
    <mergeCell ref="E4138:E4140"/>
    <mergeCell ref="F4138:F4140"/>
    <mergeCell ref="E4231:E4232"/>
    <mergeCell ref="E4347:E4348"/>
    <mergeCell ref="F4347:F4348"/>
    <mergeCell ref="B2059:C2059"/>
    <mergeCell ref="B2061:C2061"/>
    <mergeCell ref="B2062:C2062"/>
    <mergeCell ref="B2063:C2063"/>
    <mergeCell ref="B2064:C2064"/>
    <mergeCell ref="B2076:C2076"/>
    <mergeCell ref="B2070:C2070"/>
    <mergeCell ref="B2071:C2071"/>
    <mergeCell ref="I1915:I1917"/>
    <mergeCell ref="D1871:F1871"/>
    <mergeCell ref="D1873:F1873"/>
    <mergeCell ref="D1876:F1876"/>
    <mergeCell ref="D1879:F1879"/>
    <mergeCell ref="D1881:F1881"/>
    <mergeCell ref="D1884:F1884"/>
    <mergeCell ref="D1888:F1888"/>
    <mergeCell ref="D1890:F1890"/>
    <mergeCell ref="A1904:C1904"/>
    <mergeCell ref="A1915:C1915"/>
    <mergeCell ref="A1890:C1890"/>
    <mergeCell ref="A1888:C1888"/>
    <mergeCell ref="A1884:C1884"/>
    <mergeCell ref="A1879:C1879"/>
    <mergeCell ref="A1881:C1881"/>
    <mergeCell ref="A1873:C1873"/>
    <mergeCell ref="A1876:C1876"/>
    <mergeCell ref="A1871:C1871"/>
    <mergeCell ref="B466:D466"/>
    <mergeCell ref="B467:D467"/>
    <mergeCell ref="B468:D468"/>
    <mergeCell ref="B469:D469"/>
    <mergeCell ref="B470:D470"/>
    <mergeCell ref="B2042:C2042"/>
    <mergeCell ref="B2054:C2054"/>
    <mergeCell ref="A2902:A2905"/>
    <mergeCell ref="C2902:C2905"/>
    <mergeCell ref="D2902:D2905"/>
    <mergeCell ref="E2902:E2905"/>
    <mergeCell ref="F2902:F2905"/>
    <mergeCell ref="B2194:C2194"/>
    <mergeCell ref="B2233:C2233"/>
    <mergeCell ref="B2060:C2060"/>
    <mergeCell ref="B2208:C2208"/>
    <mergeCell ref="B2209:C2209"/>
    <mergeCell ref="B2210:C2210"/>
    <mergeCell ref="B2211:C2211"/>
    <mergeCell ref="B2065:C2065"/>
    <mergeCell ref="B2066:C2066"/>
    <mergeCell ref="B2067:C2067"/>
    <mergeCell ref="B2068:C2068"/>
    <mergeCell ref="B2069:C2069"/>
    <mergeCell ref="B2077:C2077"/>
    <mergeCell ref="B2078:C2078"/>
    <mergeCell ref="B2079:C2079"/>
    <mergeCell ref="B2080:C2080"/>
    <mergeCell ref="B2081:C2081"/>
    <mergeCell ref="B2082:C2082"/>
    <mergeCell ref="B2083:C2083"/>
    <mergeCell ref="B2084:C2084"/>
    <mergeCell ref="A543:C543"/>
    <mergeCell ref="D543:F543"/>
    <mergeCell ref="E480:F480"/>
    <mergeCell ref="E476:F476"/>
    <mergeCell ref="E477:F477"/>
    <mergeCell ref="E478:F478"/>
    <mergeCell ref="B2115:C2115"/>
    <mergeCell ref="D344:F344"/>
    <mergeCell ref="D345:F345"/>
    <mergeCell ref="A374:D374"/>
    <mergeCell ref="A344:C344"/>
    <mergeCell ref="A345:C345"/>
    <mergeCell ref="A433:A435"/>
    <mergeCell ref="C433:C435"/>
    <mergeCell ref="D433:D435"/>
    <mergeCell ref="E433:E435"/>
    <mergeCell ref="B2043:C2043"/>
    <mergeCell ref="B2045:C2045"/>
    <mergeCell ref="B2046:C2046"/>
    <mergeCell ref="B2047:C2047"/>
    <mergeCell ref="B2048:C2048"/>
    <mergeCell ref="B2049:C2049"/>
    <mergeCell ref="B2050:C2050"/>
    <mergeCell ref="B2041:C2041"/>
    <mergeCell ref="B463:D463"/>
    <mergeCell ref="B464:D464"/>
    <mergeCell ref="B465:D465"/>
    <mergeCell ref="B471:D471"/>
    <mergeCell ref="B472:D472"/>
    <mergeCell ref="B473:D473"/>
    <mergeCell ref="B474:D474"/>
    <mergeCell ref="B475:D475"/>
    <mergeCell ref="B477:D477"/>
    <mergeCell ref="B480:D480"/>
    <mergeCell ref="D544:F544"/>
    <mergeCell ref="D545:F545"/>
    <mergeCell ref="D546:F546"/>
    <mergeCell ref="A544:C544"/>
    <mergeCell ref="B476:D476"/>
    <mergeCell ref="I599:J599"/>
    <mergeCell ref="B612:C612"/>
    <mergeCell ref="H381:K381"/>
    <mergeCell ref="E471:F471"/>
    <mergeCell ref="E472:F472"/>
    <mergeCell ref="E473:F473"/>
    <mergeCell ref="E474:F474"/>
    <mergeCell ref="E466:F466"/>
    <mergeCell ref="E467:F467"/>
    <mergeCell ref="E468:F468"/>
    <mergeCell ref="E469:F469"/>
    <mergeCell ref="E470:F470"/>
    <mergeCell ref="E463:F463"/>
    <mergeCell ref="E464:F464"/>
    <mergeCell ref="E465:F465"/>
    <mergeCell ref="F433:F435"/>
    <mergeCell ref="B478:D478"/>
    <mergeCell ref="B479:D479"/>
    <mergeCell ref="A404:D404"/>
    <mergeCell ref="A392:D392"/>
    <mergeCell ref="A396:D396"/>
    <mergeCell ref="A391:D391"/>
    <mergeCell ref="A422:D422"/>
    <mergeCell ref="B539:C539"/>
    <mergeCell ref="E475:F475"/>
    <mergeCell ref="A71:B71"/>
    <mergeCell ref="A80:B80"/>
    <mergeCell ref="A92:B92"/>
    <mergeCell ref="B307:F307"/>
    <mergeCell ref="A334:C334"/>
    <mergeCell ref="D334:F334"/>
    <mergeCell ref="A333:F333"/>
    <mergeCell ref="D342:F342"/>
    <mergeCell ref="D343:F343"/>
    <mergeCell ref="A342:C342"/>
    <mergeCell ref="A343:C343"/>
    <mergeCell ref="A335:C335"/>
    <mergeCell ref="D335:F335"/>
    <mergeCell ref="A336:C336"/>
    <mergeCell ref="D336:F336"/>
    <mergeCell ref="A337:C337"/>
    <mergeCell ref="D337:F337"/>
    <mergeCell ref="A340:C340"/>
    <mergeCell ref="D340:F340"/>
    <mergeCell ref="A341:C341"/>
    <mergeCell ref="A338:C338"/>
    <mergeCell ref="D338:F338"/>
    <mergeCell ref="A339:C339"/>
    <mergeCell ref="D339:F339"/>
    <mergeCell ref="D341:F341"/>
    <mergeCell ref="A545:C545"/>
    <mergeCell ref="A546:C546"/>
    <mergeCell ref="A547:C547"/>
    <mergeCell ref="D1863:F1863"/>
    <mergeCell ref="A548:C548"/>
    <mergeCell ref="B681:C681"/>
    <mergeCell ref="B759:C759"/>
    <mergeCell ref="B1627:E1627"/>
    <mergeCell ref="B1500:E1500"/>
    <mergeCell ref="B1514:E1514"/>
    <mergeCell ref="B1537:E1537"/>
    <mergeCell ref="B1551:E1551"/>
    <mergeCell ref="E479:F479"/>
    <mergeCell ref="A1869:C1869"/>
    <mergeCell ref="A1867:C1867"/>
    <mergeCell ref="A1865:C1865"/>
    <mergeCell ref="A1863:C1863"/>
    <mergeCell ref="A1859:C1859"/>
    <mergeCell ref="D1859:F1859"/>
    <mergeCell ref="D548:F548"/>
    <mergeCell ref="D549:F549"/>
    <mergeCell ref="D550:F550"/>
    <mergeCell ref="A549:C549"/>
    <mergeCell ref="A550:C550"/>
    <mergeCell ref="B693:C693"/>
    <mergeCell ref="B937:C937"/>
    <mergeCell ref="B853:C853"/>
    <mergeCell ref="B1001:C1001"/>
    <mergeCell ref="D1867:F1867"/>
    <mergeCell ref="D1869:F1869"/>
    <mergeCell ref="D1865:F1865"/>
    <mergeCell ref="D547:F547"/>
    <mergeCell ref="B2097:C2097"/>
    <mergeCell ref="B2098:C2098"/>
    <mergeCell ref="B2099:C2099"/>
    <mergeCell ref="B2086:C2086"/>
    <mergeCell ref="B2087:C2087"/>
    <mergeCell ref="B2088:C2088"/>
    <mergeCell ref="B2089:C2089"/>
    <mergeCell ref="B2090:C2090"/>
    <mergeCell ref="B2091:C2091"/>
    <mergeCell ref="B2092:C2092"/>
    <mergeCell ref="B2093:C2093"/>
    <mergeCell ref="B2094:C2094"/>
    <mergeCell ref="B2085:C2085"/>
    <mergeCell ref="B2116:C2116"/>
    <mergeCell ref="B2117:C2117"/>
    <mergeCell ref="B2118:C2118"/>
    <mergeCell ref="B2119:C2119"/>
    <mergeCell ref="B2096:C2096"/>
    <mergeCell ref="B2120:C2120"/>
    <mergeCell ref="B2121:C2121"/>
    <mergeCell ref="B2104:C2104"/>
    <mergeCell ref="B2105:C2105"/>
    <mergeCell ref="B2106:C2106"/>
    <mergeCell ref="B2107:C2107"/>
    <mergeCell ref="B2108:C2108"/>
    <mergeCell ref="B2109:C2109"/>
    <mergeCell ref="B2110:C2110"/>
    <mergeCell ref="B2111:C2111"/>
    <mergeCell ref="B2112:C2112"/>
    <mergeCell ref="B2131:C2131"/>
    <mergeCell ref="B2114:C2114"/>
    <mergeCell ref="B2132:C2132"/>
    <mergeCell ref="B2133:C2133"/>
    <mergeCell ref="B2134:C2134"/>
    <mergeCell ref="B2135:C2135"/>
    <mergeCell ref="B2136:C2136"/>
    <mergeCell ref="B2137:C2137"/>
    <mergeCell ref="B2138:C2138"/>
    <mergeCell ref="B2139:C2139"/>
    <mergeCell ref="B2122:C2122"/>
    <mergeCell ref="B2123:C2123"/>
    <mergeCell ref="B2124:C2124"/>
    <mergeCell ref="B2125:C2125"/>
    <mergeCell ref="B2126:C2126"/>
    <mergeCell ref="B2127:C2127"/>
    <mergeCell ref="B2128:C2128"/>
    <mergeCell ref="B2129:C2129"/>
    <mergeCell ref="B2130:C2130"/>
    <mergeCell ref="B2149:C2149"/>
    <mergeCell ref="B2150:C2150"/>
    <mergeCell ref="B2151:C2151"/>
    <mergeCell ref="B2152:C2152"/>
    <mergeCell ref="B2154:C2154"/>
    <mergeCell ref="B2155:C2155"/>
    <mergeCell ref="B2156:C2156"/>
    <mergeCell ref="B2157:C2157"/>
    <mergeCell ref="B2153:C2153"/>
    <mergeCell ref="B2140:C2140"/>
    <mergeCell ref="B2141:C2141"/>
    <mergeCell ref="B2142:C2142"/>
    <mergeCell ref="B2145:C2145"/>
    <mergeCell ref="B2146:C2146"/>
    <mergeCell ref="B2147:C2147"/>
    <mergeCell ref="B2143:C2143"/>
    <mergeCell ref="B2144:C2144"/>
    <mergeCell ref="B2148:C2148"/>
    <mergeCell ref="B2167:C2167"/>
    <mergeCell ref="B2168:C2168"/>
    <mergeCell ref="B2169:C2169"/>
    <mergeCell ref="B2170:C2170"/>
    <mergeCell ref="B2171:C2171"/>
    <mergeCell ref="B2172:C2172"/>
    <mergeCell ref="B2173:C2173"/>
    <mergeCell ref="B2174:C2174"/>
    <mergeCell ref="B2175:C2175"/>
    <mergeCell ref="B2158:C2158"/>
    <mergeCell ref="B2159:C2159"/>
    <mergeCell ref="B2160:C2160"/>
    <mergeCell ref="B2161:C2161"/>
    <mergeCell ref="B2162:C2162"/>
    <mergeCell ref="B2163:C2163"/>
    <mergeCell ref="B2164:C2164"/>
    <mergeCell ref="B2165:C2165"/>
    <mergeCell ref="B2166:C2166"/>
    <mergeCell ref="B2185:C2185"/>
    <mergeCell ref="B2186:C2186"/>
    <mergeCell ref="B2187:C2187"/>
    <mergeCell ref="B2188:C2188"/>
    <mergeCell ref="B2189:C2189"/>
    <mergeCell ref="B2190:C2190"/>
    <mergeCell ref="B2191:C2191"/>
    <mergeCell ref="B2192:C2192"/>
    <mergeCell ref="B2193:C2193"/>
    <mergeCell ref="B2176:C2176"/>
    <mergeCell ref="B2177:C2177"/>
    <mergeCell ref="B2178:C2178"/>
    <mergeCell ref="B2179:C2179"/>
    <mergeCell ref="B2180:C2180"/>
    <mergeCell ref="B2181:C2181"/>
    <mergeCell ref="B2182:C2182"/>
    <mergeCell ref="B2183:C2183"/>
    <mergeCell ref="B2184:C2184"/>
    <mergeCell ref="B2217:C2217"/>
    <mergeCell ref="B2218:C2218"/>
    <mergeCell ref="B2219:C2219"/>
    <mergeCell ref="B2220:C2220"/>
    <mergeCell ref="B2221:C2221"/>
    <mergeCell ref="B2222:C2222"/>
    <mergeCell ref="B2223:C2223"/>
    <mergeCell ref="B2224:C2224"/>
    <mergeCell ref="B2225:C2225"/>
    <mergeCell ref="B2214:C2214"/>
    <mergeCell ref="B2215:C2215"/>
    <mergeCell ref="B2216:C2216"/>
    <mergeCell ref="B2195:C2195"/>
    <mergeCell ref="B2196:C2196"/>
    <mergeCell ref="B2197:C2197"/>
    <mergeCell ref="B2198:C2198"/>
    <mergeCell ref="B2199:C2199"/>
    <mergeCell ref="B2200:C2200"/>
    <mergeCell ref="B2201:C2201"/>
    <mergeCell ref="B2202:C2202"/>
    <mergeCell ref="B2203:C2203"/>
    <mergeCell ref="B2204:C2204"/>
    <mergeCell ref="B2205:C2205"/>
    <mergeCell ref="B2206:C2206"/>
    <mergeCell ref="B2207:C2207"/>
    <mergeCell ref="B2212:C2212"/>
    <mergeCell ref="B2213:C2213"/>
    <mergeCell ref="B2235:C2235"/>
    <mergeCell ref="B2236:C2236"/>
    <mergeCell ref="B2237:C2237"/>
    <mergeCell ref="B2238:C2238"/>
    <mergeCell ref="B2239:C2239"/>
    <mergeCell ref="B2240:C2240"/>
    <mergeCell ref="B2241:C2241"/>
    <mergeCell ref="B2242:C2242"/>
    <mergeCell ref="B2243:C2243"/>
    <mergeCell ref="B2226:C2226"/>
    <mergeCell ref="B2227:C2227"/>
    <mergeCell ref="B2228:C2228"/>
    <mergeCell ref="B2229:C2229"/>
    <mergeCell ref="B2230:C2230"/>
    <mergeCell ref="B2231:C2231"/>
    <mergeCell ref="B2232:C2232"/>
    <mergeCell ref="B2234:C2234"/>
    <mergeCell ref="B2253:C2253"/>
    <mergeCell ref="B2254:C2254"/>
    <mergeCell ref="B2255:C2255"/>
    <mergeCell ref="B2256:C2256"/>
    <mergeCell ref="B2257:C2257"/>
    <mergeCell ref="B2258:C2258"/>
    <mergeCell ref="B2259:C2259"/>
    <mergeCell ref="B2260:C2260"/>
    <mergeCell ref="B2261:C2261"/>
    <mergeCell ref="B2244:C2244"/>
    <mergeCell ref="B2245:C2245"/>
    <mergeCell ref="B2246:C2246"/>
    <mergeCell ref="B2247:C2247"/>
    <mergeCell ref="B2248:C2248"/>
    <mergeCell ref="B2249:C2249"/>
    <mergeCell ref="B2250:C2250"/>
    <mergeCell ref="B2251:C2251"/>
    <mergeCell ref="B2252:C2252"/>
    <mergeCell ref="B2271:C2271"/>
    <mergeCell ref="B2272:C2272"/>
    <mergeCell ref="B2273:C2273"/>
    <mergeCell ref="B2274:C2274"/>
    <mergeCell ref="B2275:C2275"/>
    <mergeCell ref="B2276:C2276"/>
    <mergeCell ref="B2277:C2277"/>
    <mergeCell ref="B2278:C2278"/>
    <mergeCell ref="B2279:C2279"/>
    <mergeCell ref="B2262:C2262"/>
    <mergeCell ref="B2263:C2263"/>
    <mergeCell ref="B2264:C2264"/>
    <mergeCell ref="B2265:C2265"/>
    <mergeCell ref="B2266:C2266"/>
    <mergeCell ref="B2267:C2267"/>
    <mergeCell ref="B2268:C2268"/>
    <mergeCell ref="B2269:C2269"/>
    <mergeCell ref="B2270:C2270"/>
    <mergeCell ref="B2481:C2481"/>
    <mergeCell ref="B2482:C2482"/>
    <mergeCell ref="B2483:C2483"/>
    <mergeCell ref="B2484:C2484"/>
    <mergeCell ref="B2485:C2485"/>
    <mergeCell ref="B2486:C2486"/>
    <mergeCell ref="B2487:C2487"/>
    <mergeCell ref="B2488:C2488"/>
    <mergeCell ref="B2489:C2489"/>
    <mergeCell ref="B2479:C2479"/>
    <mergeCell ref="B2473:D2473"/>
    <mergeCell ref="B2468:D2468"/>
    <mergeCell ref="B2289:C2289"/>
    <mergeCell ref="B2290:C2290"/>
    <mergeCell ref="B2280:C2280"/>
    <mergeCell ref="B2281:C2281"/>
    <mergeCell ref="B2282:C2282"/>
    <mergeCell ref="B2283:C2283"/>
    <mergeCell ref="B2284:C2284"/>
    <mergeCell ref="B2285:C2285"/>
    <mergeCell ref="B2286:C2286"/>
    <mergeCell ref="B2287:C2287"/>
    <mergeCell ref="B2288:C2288"/>
    <mergeCell ref="B2499:C2499"/>
    <mergeCell ref="B2500:C2500"/>
    <mergeCell ref="B2501:C2501"/>
    <mergeCell ref="B2502:C2502"/>
    <mergeCell ref="B2503:C2503"/>
    <mergeCell ref="B2504:C2504"/>
    <mergeCell ref="B2505:C2505"/>
    <mergeCell ref="B2506:C2506"/>
    <mergeCell ref="B2507:C2507"/>
    <mergeCell ref="B2490:C2490"/>
    <mergeCell ref="B2491:C2491"/>
    <mergeCell ref="B2492:C2492"/>
    <mergeCell ref="B2493:C2493"/>
    <mergeCell ref="B2494:C2494"/>
    <mergeCell ref="B2495:C2495"/>
    <mergeCell ref="B2496:C2496"/>
    <mergeCell ref="B2497:C2497"/>
    <mergeCell ref="B2498:C2498"/>
    <mergeCell ref="B2517:C2517"/>
    <mergeCell ref="B2518:C2518"/>
    <mergeCell ref="B2519:C2519"/>
    <mergeCell ref="B2520:C2520"/>
    <mergeCell ref="B2521:C2521"/>
    <mergeCell ref="B2522:C2522"/>
    <mergeCell ref="B2523:C2523"/>
    <mergeCell ref="B2524:C2524"/>
    <mergeCell ref="B2525:C2525"/>
    <mergeCell ref="B2508:C2508"/>
    <mergeCell ref="B2509:C2509"/>
    <mergeCell ref="B2510:C2510"/>
    <mergeCell ref="B2511:C2511"/>
    <mergeCell ref="B2512:C2512"/>
    <mergeCell ref="B2513:C2513"/>
    <mergeCell ref="B2514:C2514"/>
    <mergeCell ref="B2515:C2515"/>
    <mergeCell ref="B2516:C2516"/>
    <mergeCell ref="B2535:C2535"/>
    <mergeCell ref="B2536:C2536"/>
    <mergeCell ref="B2537:C2537"/>
    <mergeCell ref="B2538:C2538"/>
    <mergeCell ref="B2539:C2539"/>
    <mergeCell ref="B2540:C2540"/>
    <mergeCell ref="B2541:C2541"/>
    <mergeCell ref="B2542:C2542"/>
    <mergeCell ref="B2543:C2543"/>
    <mergeCell ref="B2526:C2526"/>
    <mergeCell ref="B2527:C2527"/>
    <mergeCell ref="B2528:C2528"/>
    <mergeCell ref="B2529:C2529"/>
    <mergeCell ref="B2530:C2530"/>
    <mergeCell ref="B2531:C2531"/>
    <mergeCell ref="B2532:C2532"/>
    <mergeCell ref="B2533:C2533"/>
    <mergeCell ref="B2534:C2534"/>
    <mergeCell ref="B2553:C2553"/>
    <mergeCell ref="B2554:C2554"/>
    <mergeCell ref="B2555:C2555"/>
    <mergeCell ref="B2556:C2556"/>
    <mergeCell ref="B2557:C2557"/>
    <mergeCell ref="B2558:C2558"/>
    <mergeCell ref="B2559:C2559"/>
    <mergeCell ref="B2560:C2560"/>
    <mergeCell ref="B2561:C2561"/>
    <mergeCell ref="B2544:C2544"/>
    <mergeCell ref="B2545:C2545"/>
    <mergeCell ref="B2546:C2546"/>
    <mergeCell ref="B2547:C2547"/>
    <mergeCell ref="B2548:C2548"/>
    <mergeCell ref="B2549:C2549"/>
    <mergeCell ref="B2550:C2550"/>
    <mergeCell ref="B2551:C2551"/>
    <mergeCell ref="B2552:C2552"/>
    <mergeCell ref="B2571:C2571"/>
    <mergeCell ref="B2572:C2572"/>
    <mergeCell ref="B2573:C2573"/>
    <mergeCell ref="B2574:C2574"/>
    <mergeCell ref="B2575:C2575"/>
    <mergeCell ref="B2576:C2576"/>
    <mergeCell ref="B2577:C2577"/>
    <mergeCell ref="B2578:C2578"/>
    <mergeCell ref="B2579:C2579"/>
    <mergeCell ref="B2562:C2562"/>
    <mergeCell ref="B2563:C2563"/>
    <mergeCell ref="B2564:C2564"/>
    <mergeCell ref="B2565:C2565"/>
    <mergeCell ref="B2566:C2566"/>
    <mergeCell ref="B2567:C2567"/>
    <mergeCell ref="B2568:C2568"/>
    <mergeCell ref="B2569:C2569"/>
    <mergeCell ref="B2570:C2570"/>
    <mergeCell ref="B2589:C2589"/>
    <mergeCell ref="B2590:C2590"/>
    <mergeCell ref="B2591:C2591"/>
    <mergeCell ref="B2592:C2592"/>
    <mergeCell ref="B2593:C2593"/>
    <mergeCell ref="B2594:C2594"/>
    <mergeCell ref="B2595:C2595"/>
    <mergeCell ref="B2596:C2596"/>
    <mergeCell ref="B2597:C2597"/>
    <mergeCell ref="B2580:C2580"/>
    <mergeCell ref="B2581:C2581"/>
    <mergeCell ref="B2582:C2582"/>
    <mergeCell ref="B2583:C2583"/>
    <mergeCell ref="B2584:C2584"/>
    <mergeCell ref="B2585:C2585"/>
    <mergeCell ref="B2586:C2586"/>
    <mergeCell ref="B2587:C2587"/>
    <mergeCell ref="B2588:C2588"/>
    <mergeCell ref="B2619:C2619"/>
    <mergeCell ref="B2620:C2620"/>
    <mergeCell ref="B2621:C2621"/>
    <mergeCell ref="B2622:C2622"/>
    <mergeCell ref="B2623:C2623"/>
    <mergeCell ref="B2624:C2624"/>
    <mergeCell ref="B2607:C2607"/>
    <mergeCell ref="B2608:C2608"/>
    <mergeCell ref="B2609:C2609"/>
    <mergeCell ref="B2610:C2610"/>
    <mergeCell ref="B2611:C2611"/>
    <mergeCell ref="B2612:C2612"/>
    <mergeCell ref="B2613:C2613"/>
    <mergeCell ref="B2614:C2614"/>
    <mergeCell ref="B2615:C2615"/>
    <mergeCell ref="B2598:C2598"/>
    <mergeCell ref="B2599:C2599"/>
    <mergeCell ref="B2600:C2600"/>
    <mergeCell ref="B2601:C2601"/>
    <mergeCell ref="B2602:C2602"/>
    <mergeCell ref="B2603:C2603"/>
    <mergeCell ref="B2604:C2604"/>
    <mergeCell ref="B2605:C2605"/>
    <mergeCell ref="B2606:C2606"/>
    <mergeCell ref="B2670:C2670"/>
    <mergeCell ref="B2671:C2671"/>
    <mergeCell ref="B2672:C2672"/>
    <mergeCell ref="B2673:C2673"/>
    <mergeCell ref="B2652:C2652"/>
    <mergeCell ref="B2653:C2653"/>
    <mergeCell ref="B2654:C2654"/>
    <mergeCell ref="B2655:C2655"/>
    <mergeCell ref="B2656:C2656"/>
    <mergeCell ref="B2657:C2657"/>
    <mergeCell ref="B2658:C2658"/>
    <mergeCell ref="B2659:C2659"/>
    <mergeCell ref="B2660:C2660"/>
    <mergeCell ref="B2643:C2643"/>
    <mergeCell ref="B2644:C2644"/>
    <mergeCell ref="B2645:C2645"/>
    <mergeCell ref="B2646:C2646"/>
    <mergeCell ref="B2647:C2647"/>
    <mergeCell ref="B2648:C2648"/>
    <mergeCell ref="B2667:C2667"/>
    <mergeCell ref="B2668:C2668"/>
    <mergeCell ref="B2669:C2669"/>
    <mergeCell ref="B2649:C2649"/>
    <mergeCell ref="B2650:C2650"/>
    <mergeCell ref="B2651:C2651"/>
    <mergeCell ref="B2634:C2634"/>
    <mergeCell ref="B2635:C2635"/>
    <mergeCell ref="E2468:F2468"/>
    <mergeCell ref="B2469:D2469"/>
    <mergeCell ref="E2469:F2469"/>
    <mergeCell ref="B2470:D2470"/>
    <mergeCell ref="E2470:F2470"/>
    <mergeCell ref="B2471:D2471"/>
    <mergeCell ref="E2471:F2471"/>
    <mergeCell ref="B2472:D2472"/>
    <mergeCell ref="E2472:F2472"/>
    <mergeCell ref="A2445:A2465"/>
    <mergeCell ref="B2445:B2465"/>
    <mergeCell ref="C2445:C2465"/>
    <mergeCell ref="D2445:D2465"/>
    <mergeCell ref="E2445:E2465"/>
    <mergeCell ref="F2445:F2465"/>
    <mergeCell ref="B2466:D2466"/>
    <mergeCell ref="E2466:F2466"/>
    <mergeCell ref="B2467:D2467"/>
    <mergeCell ref="E2467:F2467"/>
    <mergeCell ref="B2626:C2626"/>
    <mergeCell ref="B2627:C2627"/>
    <mergeCell ref="B2628:C2628"/>
    <mergeCell ref="B2629:C2629"/>
    <mergeCell ref="B2630:C2630"/>
    <mergeCell ref="B2631:C2631"/>
    <mergeCell ref="B2632:C2632"/>
    <mergeCell ref="B2633:C2633"/>
    <mergeCell ref="B2616:C2616"/>
    <mergeCell ref="B2617:C2617"/>
    <mergeCell ref="B2618:C2618"/>
    <mergeCell ref="A2924:A2927"/>
    <mergeCell ref="C2924:C2927"/>
    <mergeCell ref="D2924:D2927"/>
    <mergeCell ref="E2924:E2927"/>
    <mergeCell ref="F2924:F2927"/>
    <mergeCell ref="E2473:F2473"/>
    <mergeCell ref="B2474:D2474"/>
    <mergeCell ref="E2474:F2474"/>
    <mergeCell ref="B2476:D2476"/>
    <mergeCell ref="E2476:F2476"/>
    <mergeCell ref="B2477:D2477"/>
    <mergeCell ref="E2477:F2477"/>
    <mergeCell ref="B2478:D2478"/>
    <mergeCell ref="E2478:F2478"/>
    <mergeCell ref="B2475:D2475"/>
    <mergeCell ref="E2475:F2475"/>
    <mergeCell ref="B2674:C2674"/>
    <mergeCell ref="B2675:C2675"/>
    <mergeCell ref="B2661:C2661"/>
    <mergeCell ref="B2662:C2662"/>
    <mergeCell ref="B2663:C2663"/>
    <mergeCell ref="B2664:C2664"/>
    <mergeCell ref="B2665:C2665"/>
    <mergeCell ref="B2666:C2666"/>
    <mergeCell ref="B2636:C2636"/>
    <mergeCell ref="B2637:C2637"/>
    <mergeCell ref="B2638:C2638"/>
    <mergeCell ref="B2639:C2639"/>
    <mergeCell ref="B2640:C2640"/>
    <mergeCell ref="B2641:C2641"/>
    <mergeCell ref="B2642:C2642"/>
    <mergeCell ref="B2625:C2625"/>
    <mergeCell ref="C3302:C3303"/>
    <mergeCell ref="D3302:D3312"/>
    <mergeCell ref="E3302:E3312"/>
    <mergeCell ref="F3302:F3312"/>
    <mergeCell ref="A3305:A3306"/>
    <mergeCell ref="A3307:A3308"/>
    <mergeCell ref="A3309:A3310"/>
    <mergeCell ref="A3311:A3312"/>
    <mergeCell ref="A3313:A3316"/>
    <mergeCell ref="C3313:F3313"/>
    <mergeCell ref="C3314:F3314"/>
    <mergeCell ref="C3315:F3315"/>
    <mergeCell ref="C3316:F3316"/>
    <mergeCell ref="A3297:A3300"/>
    <mergeCell ref="C3297:F3297"/>
    <mergeCell ref="C3298:F3298"/>
    <mergeCell ref="C3299:F3299"/>
    <mergeCell ref="C3300:F3300"/>
    <mergeCell ref="A3346:A3347"/>
    <mergeCell ref="C3346:C3347"/>
    <mergeCell ref="D3346:D3347"/>
    <mergeCell ref="A3352:A3355"/>
    <mergeCell ref="C3352:F3352"/>
    <mergeCell ref="C3353:F3353"/>
    <mergeCell ref="C3354:F3354"/>
    <mergeCell ref="C3355:F3355"/>
    <mergeCell ref="A3335:A3336"/>
    <mergeCell ref="C3335:C3336"/>
    <mergeCell ref="D3335:D3336"/>
    <mergeCell ref="A3341:A3344"/>
    <mergeCell ref="C3341:F3341"/>
    <mergeCell ref="C3342:F3342"/>
    <mergeCell ref="C3343:F3343"/>
    <mergeCell ref="C3344:F3344"/>
    <mergeCell ref="A3318:A3329"/>
    <mergeCell ref="D3318:D3329"/>
    <mergeCell ref="E3318:E3329"/>
    <mergeCell ref="F3318:F3329"/>
    <mergeCell ref="A3330:A3333"/>
    <mergeCell ref="C3330:F3330"/>
    <mergeCell ref="C3331:F3331"/>
    <mergeCell ref="C3332:F3332"/>
    <mergeCell ref="C3333:F3333"/>
    <mergeCell ref="A3382:A3385"/>
    <mergeCell ref="C3382:F3382"/>
    <mergeCell ref="C3383:F3383"/>
    <mergeCell ref="C3384:F3384"/>
    <mergeCell ref="C3385:F3385"/>
    <mergeCell ref="A3387:A3406"/>
    <mergeCell ref="B3387:B3389"/>
    <mergeCell ref="D3387:D3406"/>
    <mergeCell ref="E3387:E3406"/>
    <mergeCell ref="F3387:F3406"/>
    <mergeCell ref="B3390:B3392"/>
    <mergeCell ref="B3401:B3402"/>
    <mergeCell ref="B3403:B3406"/>
    <mergeCell ref="C3357:C3358"/>
    <mergeCell ref="D3357:D3381"/>
    <mergeCell ref="E3357:E3381"/>
    <mergeCell ref="F3357:F3381"/>
    <mergeCell ref="A3359:A3362"/>
    <mergeCell ref="B3359:B3362"/>
    <mergeCell ref="A3363:A3368"/>
    <mergeCell ref="B3363:B3368"/>
    <mergeCell ref="A3369:A3372"/>
    <mergeCell ref="B3369:B3372"/>
    <mergeCell ref="A3373:A3376"/>
    <mergeCell ref="B3373:B3376"/>
    <mergeCell ref="A3377:A3381"/>
    <mergeCell ref="B3377:B3381"/>
    <mergeCell ref="A3434:A3437"/>
    <mergeCell ref="C3434:F3434"/>
    <mergeCell ref="C3435:F3435"/>
    <mergeCell ref="C3436:F3436"/>
    <mergeCell ref="C3437:F3437"/>
    <mergeCell ref="A3439:A3440"/>
    <mergeCell ref="C3439:C3440"/>
    <mergeCell ref="D3439:D3440"/>
    <mergeCell ref="A3442:A3443"/>
    <mergeCell ref="C3442:C3443"/>
    <mergeCell ref="D3442:D3443"/>
    <mergeCell ref="A3407:A3410"/>
    <mergeCell ref="C3407:F3407"/>
    <mergeCell ref="C3408:F3408"/>
    <mergeCell ref="C3409:F3409"/>
    <mergeCell ref="C3410:F3410"/>
    <mergeCell ref="A3412:A3433"/>
    <mergeCell ref="D3412:D3433"/>
    <mergeCell ref="E3412:E3433"/>
    <mergeCell ref="F3412:F3433"/>
    <mergeCell ref="B3426:B3428"/>
    <mergeCell ref="B3432:B3433"/>
    <mergeCell ref="A3468:A3469"/>
    <mergeCell ref="B3468:B3469"/>
    <mergeCell ref="C3468:C3469"/>
    <mergeCell ref="D3468:D3469"/>
    <mergeCell ref="F3468:F3469"/>
    <mergeCell ref="A3470:A3473"/>
    <mergeCell ref="C3470:F3470"/>
    <mergeCell ref="C3471:F3471"/>
    <mergeCell ref="C3472:F3472"/>
    <mergeCell ref="C3473:F3473"/>
    <mergeCell ref="A3450:A3453"/>
    <mergeCell ref="C3450:F3450"/>
    <mergeCell ref="C3451:F3451"/>
    <mergeCell ref="C3452:F3452"/>
    <mergeCell ref="C3453:F3453"/>
    <mergeCell ref="A3465:A3466"/>
    <mergeCell ref="C3465:C3466"/>
    <mergeCell ref="D3465:D3466"/>
    <mergeCell ref="E3468:E3469"/>
    <mergeCell ref="A3491:A3499"/>
    <mergeCell ref="D3491:D3499"/>
    <mergeCell ref="E3491:E3499"/>
    <mergeCell ref="F3491:F3499"/>
    <mergeCell ref="A3500:A3503"/>
    <mergeCell ref="C3500:F3500"/>
    <mergeCell ref="C3501:F3501"/>
    <mergeCell ref="C3502:F3502"/>
    <mergeCell ref="C3503:F3503"/>
    <mergeCell ref="C3475:C3476"/>
    <mergeCell ref="D3475:D3485"/>
    <mergeCell ref="E3475:E3485"/>
    <mergeCell ref="F3475:F3485"/>
    <mergeCell ref="A3486:A3489"/>
    <mergeCell ref="C3486:F3486"/>
    <mergeCell ref="C3487:F3487"/>
    <mergeCell ref="C3488:F3488"/>
    <mergeCell ref="C3489:F3489"/>
    <mergeCell ref="A3519:A3523"/>
    <mergeCell ref="D3519:D3523"/>
    <mergeCell ref="E3519:E3523"/>
    <mergeCell ref="F3519:F3523"/>
    <mergeCell ref="A3524:A3527"/>
    <mergeCell ref="C3524:F3524"/>
    <mergeCell ref="C3525:F3525"/>
    <mergeCell ref="C3526:F3526"/>
    <mergeCell ref="C3527:F3527"/>
    <mergeCell ref="A3505:A3513"/>
    <mergeCell ref="D3505:D3513"/>
    <mergeCell ref="E3505:E3513"/>
    <mergeCell ref="F3505:F3513"/>
    <mergeCell ref="A3514:A3517"/>
    <mergeCell ref="C3514:F3514"/>
    <mergeCell ref="C3515:F3515"/>
    <mergeCell ref="C3516:F3516"/>
    <mergeCell ref="C3517:F3517"/>
    <mergeCell ref="A3549:A3550"/>
    <mergeCell ref="C3549:C3550"/>
    <mergeCell ref="D3549:D3550"/>
    <mergeCell ref="A3554:A3555"/>
    <mergeCell ref="C3554:C3555"/>
    <mergeCell ref="D3554:D3555"/>
    <mergeCell ref="A3558:A3561"/>
    <mergeCell ref="C3558:F3558"/>
    <mergeCell ref="C3559:F3559"/>
    <mergeCell ref="C3560:F3560"/>
    <mergeCell ref="C3561:F3561"/>
    <mergeCell ref="A3533:A3534"/>
    <mergeCell ref="C3533:C3534"/>
    <mergeCell ref="D3533:D3534"/>
    <mergeCell ref="A3543:A3546"/>
    <mergeCell ref="C3543:F3543"/>
    <mergeCell ref="C3544:F3544"/>
    <mergeCell ref="C3545:F3545"/>
    <mergeCell ref="C3546:F3546"/>
    <mergeCell ref="A3577:A3592"/>
    <mergeCell ref="D3577:D3592"/>
    <mergeCell ref="E3577:E3592"/>
    <mergeCell ref="F3577:F3592"/>
    <mergeCell ref="A3593:A3596"/>
    <mergeCell ref="C3593:F3593"/>
    <mergeCell ref="C3594:F3594"/>
    <mergeCell ref="C3595:F3595"/>
    <mergeCell ref="C3596:F3596"/>
    <mergeCell ref="C3563:C3564"/>
    <mergeCell ref="D3563:D3571"/>
    <mergeCell ref="E3563:E3571"/>
    <mergeCell ref="F3563:F3571"/>
    <mergeCell ref="A3569:A3570"/>
    <mergeCell ref="A3572:A3575"/>
    <mergeCell ref="C3572:F3572"/>
    <mergeCell ref="C3573:F3573"/>
    <mergeCell ref="C3574:F3574"/>
    <mergeCell ref="C3575:F3575"/>
    <mergeCell ref="A3625:A3628"/>
    <mergeCell ref="C3625:F3625"/>
    <mergeCell ref="C3626:F3626"/>
    <mergeCell ref="C3627:F3627"/>
    <mergeCell ref="C3628:F3628"/>
    <mergeCell ref="A3631:A3632"/>
    <mergeCell ref="D3631:D3632"/>
    <mergeCell ref="A3635:A3636"/>
    <mergeCell ref="D3635:D3636"/>
    <mergeCell ref="A3603:A3606"/>
    <mergeCell ref="C3603:F3603"/>
    <mergeCell ref="C3604:F3604"/>
    <mergeCell ref="C3605:F3605"/>
    <mergeCell ref="C3606:F3606"/>
    <mergeCell ref="C3608:C3609"/>
    <mergeCell ref="D3608:D3624"/>
    <mergeCell ref="E3608:E3624"/>
    <mergeCell ref="F3608:F3624"/>
    <mergeCell ref="A3611:A3612"/>
    <mergeCell ref="A3613:A3614"/>
    <mergeCell ref="A3615:A3624"/>
    <mergeCell ref="A3649:A3652"/>
    <mergeCell ref="C3649:F3649"/>
    <mergeCell ref="C3650:F3650"/>
    <mergeCell ref="C3651:F3651"/>
    <mergeCell ref="C3652:F3652"/>
    <mergeCell ref="D3654:D3663"/>
    <mergeCell ref="E3654:E3663"/>
    <mergeCell ref="F3654:F3663"/>
    <mergeCell ref="A3657:A3658"/>
    <mergeCell ref="A3659:A3660"/>
    <mergeCell ref="A3639:A3642"/>
    <mergeCell ref="C3639:F3639"/>
    <mergeCell ref="C3640:F3640"/>
    <mergeCell ref="C3641:F3641"/>
    <mergeCell ref="C3642:F3642"/>
    <mergeCell ref="A3647:A3648"/>
    <mergeCell ref="C3647:C3648"/>
    <mergeCell ref="D3647:D3648"/>
    <mergeCell ref="F3647:F3648"/>
    <mergeCell ref="E3647:E3648"/>
    <mergeCell ref="A3680:A3683"/>
    <mergeCell ref="C3680:F3680"/>
    <mergeCell ref="C3681:F3681"/>
    <mergeCell ref="C3682:F3682"/>
    <mergeCell ref="C3683:F3683"/>
    <mergeCell ref="A3686:A3687"/>
    <mergeCell ref="D3686:D3687"/>
    <mergeCell ref="A3689:A3690"/>
    <mergeCell ref="D3689:D3690"/>
    <mergeCell ref="A3664:A3667"/>
    <mergeCell ref="C3664:F3664"/>
    <mergeCell ref="C3665:F3665"/>
    <mergeCell ref="C3666:F3666"/>
    <mergeCell ref="C3667:F3667"/>
    <mergeCell ref="A3669:A3679"/>
    <mergeCell ref="D3669:D3679"/>
    <mergeCell ref="E3669:E3679"/>
    <mergeCell ref="F3669:F3679"/>
    <mergeCell ref="C3676:C3677"/>
    <mergeCell ref="A3705:A3708"/>
    <mergeCell ref="C3705:F3705"/>
    <mergeCell ref="C3706:F3706"/>
    <mergeCell ref="C3707:F3707"/>
    <mergeCell ref="C3708:F3708"/>
    <mergeCell ref="C3710:C3711"/>
    <mergeCell ref="D3710:D3720"/>
    <mergeCell ref="E3710:E3720"/>
    <mergeCell ref="F3710:F3720"/>
    <mergeCell ref="A3712:A3713"/>
    <mergeCell ref="A3718:A3719"/>
    <mergeCell ref="A3694:A3697"/>
    <mergeCell ref="C3694:F3694"/>
    <mergeCell ref="C3695:F3695"/>
    <mergeCell ref="C3696:F3696"/>
    <mergeCell ref="C3697:F3697"/>
    <mergeCell ref="A3703:A3704"/>
    <mergeCell ref="C3703:C3704"/>
    <mergeCell ref="D3703:D3704"/>
    <mergeCell ref="E3703:E3704"/>
    <mergeCell ref="F3703:F3704"/>
    <mergeCell ref="E3700:F3701"/>
    <mergeCell ref="A3753:A3756"/>
    <mergeCell ref="C3753:F3753"/>
    <mergeCell ref="C3754:F3754"/>
    <mergeCell ref="C3755:F3755"/>
    <mergeCell ref="C3756:F3756"/>
    <mergeCell ref="A3758:A3759"/>
    <mergeCell ref="C3758:C3759"/>
    <mergeCell ref="D3758:D3759"/>
    <mergeCell ref="A3737:A3740"/>
    <mergeCell ref="C3737:F3737"/>
    <mergeCell ref="C3738:F3738"/>
    <mergeCell ref="C3739:F3739"/>
    <mergeCell ref="C3740:F3740"/>
    <mergeCell ref="A3743:A3745"/>
    <mergeCell ref="D3743:D3745"/>
    <mergeCell ref="A3721:A3724"/>
    <mergeCell ref="C3721:F3721"/>
    <mergeCell ref="C3722:F3722"/>
    <mergeCell ref="C3723:F3723"/>
    <mergeCell ref="C3724:F3724"/>
    <mergeCell ref="A3726:A3736"/>
    <mergeCell ref="D3726:D3736"/>
    <mergeCell ref="E3726:E3736"/>
    <mergeCell ref="F3726:F3736"/>
    <mergeCell ref="F3758:F3759"/>
    <mergeCell ref="E3758:E3759"/>
    <mergeCell ref="A3783:A3786"/>
    <mergeCell ref="C3783:F3783"/>
    <mergeCell ref="C3784:F3784"/>
    <mergeCell ref="C3785:F3785"/>
    <mergeCell ref="C3786:F3786"/>
    <mergeCell ref="A3791:A3793"/>
    <mergeCell ref="C3791:C3793"/>
    <mergeCell ref="D3791:D3793"/>
    <mergeCell ref="A3765:A3768"/>
    <mergeCell ref="C3765:F3765"/>
    <mergeCell ref="C3766:F3766"/>
    <mergeCell ref="C3767:F3767"/>
    <mergeCell ref="C3768:F3768"/>
    <mergeCell ref="A3772:A3773"/>
    <mergeCell ref="D3772:D3773"/>
    <mergeCell ref="A3775:A3776"/>
    <mergeCell ref="D3775:D3776"/>
    <mergeCell ref="A3777:A3778"/>
    <mergeCell ref="C3777:C3778"/>
    <mergeCell ref="D3777:D3778"/>
    <mergeCell ref="A3780:A3781"/>
    <mergeCell ref="C3780:C3781"/>
    <mergeCell ref="D3780:D3781"/>
    <mergeCell ref="A3819:A3822"/>
    <mergeCell ref="C3819:F3819"/>
    <mergeCell ref="C3820:F3820"/>
    <mergeCell ref="C3821:F3821"/>
    <mergeCell ref="C3822:F3822"/>
    <mergeCell ref="A3826:A3827"/>
    <mergeCell ref="D3826:D3827"/>
    <mergeCell ref="A3799:A3802"/>
    <mergeCell ref="C3799:F3799"/>
    <mergeCell ref="C3800:F3800"/>
    <mergeCell ref="C3801:F3801"/>
    <mergeCell ref="C3802:F3802"/>
    <mergeCell ref="C3804:C3805"/>
    <mergeCell ref="D3804:D3818"/>
    <mergeCell ref="E3804:E3818"/>
    <mergeCell ref="F3804:F3818"/>
    <mergeCell ref="A3807:A3808"/>
    <mergeCell ref="C3807:C3808"/>
    <mergeCell ref="A3809:A3814"/>
    <mergeCell ref="C3809:C3814"/>
    <mergeCell ref="A3845:A3846"/>
    <mergeCell ref="C3845:C3846"/>
    <mergeCell ref="D3845:D3846"/>
    <mergeCell ref="E3845:E3846"/>
    <mergeCell ref="F3845:F3846"/>
    <mergeCell ref="A3847:A3852"/>
    <mergeCell ref="C3847:E3847"/>
    <mergeCell ref="C3848:E3848"/>
    <mergeCell ref="C3849:E3849"/>
    <mergeCell ref="C3850:E3850"/>
    <mergeCell ref="C3851:E3851"/>
    <mergeCell ref="C3852:E3852"/>
    <mergeCell ref="A3834:A3837"/>
    <mergeCell ref="C3834:F3834"/>
    <mergeCell ref="C3835:F3835"/>
    <mergeCell ref="C3836:F3836"/>
    <mergeCell ref="C3837:F3837"/>
    <mergeCell ref="A3841:A3843"/>
    <mergeCell ref="C3841:C3843"/>
    <mergeCell ref="D3841:D3843"/>
    <mergeCell ref="A3864:A3865"/>
    <mergeCell ref="B3864:C3864"/>
    <mergeCell ref="B3865:C3865"/>
    <mergeCell ref="D3864:D3865"/>
    <mergeCell ref="E3864:E3865"/>
    <mergeCell ref="A3867:F3869"/>
    <mergeCell ref="A3871:F3871"/>
    <mergeCell ref="A3878:A3881"/>
    <mergeCell ref="C3878:F3878"/>
    <mergeCell ref="C3879:F3879"/>
    <mergeCell ref="C3880:F3880"/>
    <mergeCell ref="C3881:F3881"/>
    <mergeCell ref="A3854:E3854"/>
    <mergeCell ref="B3855:C3855"/>
    <mergeCell ref="B3856:C3856"/>
    <mergeCell ref="B3857:C3857"/>
    <mergeCell ref="B3858:C3858"/>
    <mergeCell ref="B3859:C3859"/>
    <mergeCell ref="B3860:C3860"/>
    <mergeCell ref="B3861:C3861"/>
    <mergeCell ref="B3862:C3862"/>
    <mergeCell ref="B3863:C3863"/>
    <mergeCell ref="A3899:A3910"/>
    <mergeCell ref="D3899:D3910"/>
    <mergeCell ref="E3899:E3910"/>
    <mergeCell ref="F3899:F3910"/>
    <mergeCell ref="A3911:A3914"/>
    <mergeCell ref="C3911:F3911"/>
    <mergeCell ref="C3912:F3912"/>
    <mergeCell ref="C3913:F3913"/>
    <mergeCell ref="C3914:F3914"/>
    <mergeCell ref="C3883:C3884"/>
    <mergeCell ref="D3883:D3893"/>
    <mergeCell ref="E3883:E3893"/>
    <mergeCell ref="F3883:F3893"/>
    <mergeCell ref="A3886:A3887"/>
    <mergeCell ref="A3888:A3889"/>
    <mergeCell ref="A3890:A3891"/>
    <mergeCell ref="A3892:A3893"/>
    <mergeCell ref="A3894:A3897"/>
    <mergeCell ref="C3894:F3894"/>
    <mergeCell ref="C3895:F3895"/>
    <mergeCell ref="C3896:F3896"/>
    <mergeCell ref="C3897:F3897"/>
    <mergeCell ref="A3927:A3928"/>
    <mergeCell ref="C3927:C3928"/>
    <mergeCell ref="D3927:D3928"/>
    <mergeCell ref="A3933:A3936"/>
    <mergeCell ref="C3933:F3933"/>
    <mergeCell ref="C3934:F3934"/>
    <mergeCell ref="C3935:F3935"/>
    <mergeCell ref="C3936:F3936"/>
    <mergeCell ref="A3916:A3917"/>
    <mergeCell ref="C3916:C3917"/>
    <mergeCell ref="D3916:D3917"/>
    <mergeCell ref="A3922:A3925"/>
    <mergeCell ref="C3922:F3922"/>
    <mergeCell ref="C3923:F3923"/>
    <mergeCell ref="C3924:F3924"/>
    <mergeCell ref="C3925:F3925"/>
    <mergeCell ref="A3963:A3966"/>
    <mergeCell ref="C3963:F3963"/>
    <mergeCell ref="C3964:F3964"/>
    <mergeCell ref="C3965:F3965"/>
    <mergeCell ref="C3966:F3966"/>
    <mergeCell ref="A3968:A3987"/>
    <mergeCell ref="B3968:B3970"/>
    <mergeCell ref="D3968:D3987"/>
    <mergeCell ref="E3968:E3987"/>
    <mergeCell ref="F3968:F3987"/>
    <mergeCell ref="B3971:B3973"/>
    <mergeCell ref="B3982:B3983"/>
    <mergeCell ref="B3984:B3987"/>
    <mergeCell ref="C3938:C3939"/>
    <mergeCell ref="D3938:D3962"/>
    <mergeCell ref="E3938:E3962"/>
    <mergeCell ref="F3938:F3962"/>
    <mergeCell ref="A3940:A3943"/>
    <mergeCell ref="B3940:B3943"/>
    <mergeCell ref="A3944:A3949"/>
    <mergeCell ref="B3944:B3949"/>
    <mergeCell ref="A3950:A3953"/>
    <mergeCell ref="B3950:B3953"/>
    <mergeCell ref="A3954:A3957"/>
    <mergeCell ref="B3954:B3957"/>
    <mergeCell ref="A3958:A3962"/>
    <mergeCell ref="B3958:B3962"/>
    <mergeCell ref="A4006:A4009"/>
    <mergeCell ref="C4006:F4006"/>
    <mergeCell ref="C4007:F4007"/>
    <mergeCell ref="C4008:F4008"/>
    <mergeCell ref="C4009:F4009"/>
    <mergeCell ref="A4011:A4012"/>
    <mergeCell ref="C4011:C4012"/>
    <mergeCell ref="D4011:D4012"/>
    <mergeCell ref="A4014:A4015"/>
    <mergeCell ref="C4014:C4015"/>
    <mergeCell ref="D4014:D4015"/>
    <mergeCell ref="A3988:A3991"/>
    <mergeCell ref="C3988:F3988"/>
    <mergeCell ref="C3989:F3989"/>
    <mergeCell ref="C3990:F3990"/>
    <mergeCell ref="C3991:F3991"/>
    <mergeCell ref="A3993:A4005"/>
    <mergeCell ref="D3993:D4005"/>
    <mergeCell ref="E3993:E4005"/>
    <mergeCell ref="F3993:F4005"/>
    <mergeCell ref="B3998:B4000"/>
    <mergeCell ref="B4004:B4005"/>
    <mergeCell ref="A4049:A4050"/>
    <mergeCell ref="C4049:C4050"/>
    <mergeCell ref="D4049:D4050"/>
    <mergeCell ref="A4052:A4053"/>
    <mergeCell ref="B4052:B4053"/>
    <mergeCell ref="C4052:C4053"/>
    <mergeCell ref="D4052:D4053"/>
    <mergeCell ref="F4052:F4053"/>
    <mergeCell ref="A4022:A4025"/>
    <mergeCell ref="C4022:F4022"/>
    <mergeCell ref="C4023:F4023"/>
    <mergeCell ref="C4024:F4024"/>
    <mergeCell ref="C4025:F4025"/>
    <mergeCell ref="A4042:A4045"/>
    <mergeCell ref="C4042:F4042"/>
    <mergeCell ref="C4043:F4043"/>
    <mergeCell ref="C4044:F4044"/>
    <mergeCell ref="C4045:F4045"/>
    <mergeCell ref="A4070:A4073"/>
    <mergeCell ref="C4070:F4070"/>
    <mergeCell ref="C4071:F4071"/>
    <mergeCell ref="C4072:F4072"/>
    <mergeCell ref="C4073:F4073"/>
    <mergeCell ref="A4075:A4083"/>
    <mergeCell ref="D4075:D4083"/>
    <mergeCell ref="E4075:E4083"/>
    <mergeCell ref="F4075:F4083"/>
    <mergeCell ref="A4054:A4057"/>
    <mergeCell ref="C4054:F4054"/>
    <mergeCell ref="C4055:F4055"/>
    <mergeCell ref="C4056:F4056"/>
    <mergeCell ref="C4057:F4057"/>
    <mergeCell ref="C4059:C4060"/>
    <mergeCell ref="D4059:D4069"/>
    <mergeCell ref="E4059:E4069"/>
    <mergeCell ref="F4059:F4069"/>
    <mergeCell ref="A4108:A4111"/>
    <mergeCell ref="C4108:F4108"/>
    <mergeCell ref="C4109:F4109"/>
    <mergeCell ref="C4110:F4110"/>
    <mergeCell ref="C4111:F4111"/>
    <mergeCell ref="A4098:A4101"/>
    <mergeCell ref="C4098:F4098"/>
    <mergeCell ref="C4099:F4099"/>
    <mergeCell ref="C4100:F4100"/>
    <mergeCell ref="C4101:F4101"/>
    <mergeCell ref="A4103:A4107"/>
    <mergeCell ref="D4103:D4107"/>
    <mergeCell ref="E4103:E4107"/>
    <mergeCell ref="F4103:F4107"/>
    <mergeCell ref="A4084:A4087"/>
    <mergeCell ref="C4084:F4084"/>
    <mergeCell ref="C4085:F4085"/>
    <mergeCell ref="C4086:F4086"/>
    <mergeCell ref="C4087:F4087"/>
    <mergeCell ref="A4089:A4097"/>
    <mergeCell ref="D4089:D4097"/>
    <mergeCell ref="E4089:E4097"/>
    <mergeCell ref="F4089:F4097"/>
    <mergeCell ref="A4142:A4145"/>
    <mergeCell ref="C4142:F4142"/>
    <mergeCell ref="C4143:F4143"/>
    <mergeCell ref="C4144:F4144"/>
    <mergeCell ref="C4145:F4145"/>
    <mergeCell ref="C4147:C4148"/>
    <mergeCell ref="D4147:D4155"/>
    <mergeCell ref="E4147:E4155"/>
    <mergeCell ref="F4147:F4155"/>
    <mergeCell ref="A4153:A4154"/>
    <mergeCell ref="A4127:A4130"/>
    <mergeCell ref="C4127:F4127"/>
    <mergeCell ref="C4128:F4128"/>
    <mergeCell ref="C4129:F4129"/>
    <mergeCell ref="C4130:F4130"/>
    <mergeCell ref="A4133:A4134"/>
    <mergeCell ref="C4133:C4134"/>
    <mergeCell ref="D4133:D4134"/>
    <mergeCell ref="A4138:A4139"/>
    <mergeCell ref="C4138:C4139"/>
    <mergeCell ref="A4177:A4180"/>
    <mergeCell ref="C4177:F4177"/>
    <mergeCell ref="C4178:F4178"/>
    <mergeCell ref="C4179:F4179"/>
    <mergeCell ref="C4180:F4180"/>
    <mergeCell ref="A4187:A4190"/>
    <mergeCell ref="C4187:F4187"/>
    <mergeCell ref="C4188:F4188"/>
    <mergeCell ref="C4189:F4189"/>
    <mergeCell ref="C4190:F4190"/>
    <mergeCell ref="A4156:A4159"/>
    <mergeCell ref="C4156:F4156"/>
    <mergeCell ref="C4157:F4157"/>
    <mergeCell ref="C4158:F4158"/>
    <mergeCell ref="C4159:F4159"/>
    <mergeCell ref="A4161:A4176"/>
    <mergeCell ref="D4161:D4176"/>
    <mergeCell ref="E4161:E4176"/>
    <mergeCell ref="F4161:F4176"/>
    <mergeCell ref="A4215:A4216"/>
    <mergeCell ref="D4215:D4216"/>
    <mergeCell ref="A4219:A4220"/>
    <mergeCell ref="D4219:D4220"/>
    <mergeCell ref="A4223:A4226"/>
    <mergeCell ref="C4223:F4223"/>
    <mergeCell ref="C4224:F4224"/>
    <mergeCell ref="C4225:F4225"/>
    <mergeCell ref="C4226:F4226"/>
    <mergeCell ref="C4192:C4193"/>
    <mergeCell ref="D4192:D4208"/>
    <mergeCell ref="E4192:E4208"/>
    <mergeCell ref="F4192:F4208"/>
    <mergeCell ref="A4195:A4196"/>
    <mergeCell ref="A4197:A4198"/>
    <mergeCell ref="A4199:A4208"/>
    <mergeCell ref="A4209:A4212"/>
    <mergeCell ref="C4209:F4209"/>
    <mergeCell ref="C4210:F4210"/>
    <mergeCell ref="C4211:F4211"/>
    <mergeCell ref="C4212:F4212"/>
    <mergeCell ref="D4238:D4247"/>
    <mergeCell ref="E4238:E4247"/>
    <mergeCell ref="F4238:F4247"/>
    <mergeCell ref="A4241:A4242"/>
    <mergeCell ref="A4243:A4244"/>
    <mergeCell ref="A4248:A4251"/>
    <mergeCell ref="C4248:F4248"/>
    <mergeCell ref="C4249:F4249"/>
    <mergeCell ref="C4250:F4250"/>
    <mergeCell ref="C4251:F4251"/>
    <mergeCell ref="A4231:A4232"/>
    <mergeCell ref="C4231:C4232"/>
    <mergeCell ref="D4231:D4232"/>
    <mergeCell ref="F4231:F4232"/>
    <mergeCell ref="A4233:A4236"/>
    <mergeCell ref="C4233:F4233"/>
    <mergeCell ref="C4234:F4234"/>
    <mergeCell ref="C4235:F4235"/>
    <mergeCell ref="C4236:F4236"/>
    <mergeCell ref="A4270:A4271"/>
    <mergeCell ref="D4270:D4271"/>
    <mergeCell ref="A4273:A4274"/>
    <mergeCell ref="D4273:D4274"/>
    <mergeCell ref="A4278:A4281"/>
    <mergeCell ref="C4278:F4278"/>
    <mergeCell ref="C4279:F4279"/>
    <mergeCell ref="C4280:F4280"/>
    <mergeCell ref="C4281:F4281"/>
    <mergeCell ref="A4253:A4263"/>
    <mergeCell ref="D4253:D4263"/>
    <mergeCell ref="E4253:E4263"/>
    <mergeCell ref="F4253:F4263"/>
    <mergeCell ref="C4260:C4261"/>
    <mergeCell ref="A4264:A4267"/>
    <mergeCell ref="C4264:F4264"/>
    <mergeCell ref="C4265:F4265"/>
    <mergeCell ref="C4266:F4266"/>
    <mergeCell ref="C4267:F4267"/>
    <mergeCell ref="A4292:A4295"/>
    <mergeCell ref="C4292:F4292"/>
    <mergeCell ref="C4293:F4293"/>
    <mergeCell ref="C4294:F4294"/>
    <mergeCell ref="C4295:F4295"/>
    <mergeCell ref="C4297:C4298"/>
    <mergeCell ref="D4297:D4308"/>
    <mergeCell ref="E4297:E4308"/>
    <mergeCell ref="F4297:F4308"/>
    <mergeCell ref="A4299:A4300"/>
    <mergeCell ref="A4305:A4306"/>
    <mergeCell ref="A4287:A4288"/>
    <mergeCell ref="C4287:C4288"/>
    <mergeCell ref="D4287:D4288"/>
    <mergeCell ref="A4290:A4291"/>
    <mergeCell ref="C4290:C4291"/>
    <mergeCell ref="D4290:D4291"/>
    <mergeCell ref="E4290:E4291"/>
    <mergeCell ref="F4290:F4291"/>
    <mergeCell ref="A4325:A4328"/>
    <mergeCell ref="C4325:F4325"/>
    <mergeCell ref="C4326:F4326"/>
    <mergeCell ref="C4327:F4327"/>
    <mergeCell ref="C4328:F4328"/>
    <mergeCell ref="A4330:A4331"/>
    <mergeCell ref="C4330:C4331"/>
    <mergeCell ref="D4330:D4331"/>
    <mergeCell ref="A4309:A4312"/>
    <mergeCell ref="C4309:F4309"/>
    <mergeCell ref="C4310:F4310"/>
    <mergeCell ref="C4311:F4311"/>
    <mergeCell ref="C4312:F4312"/>
    <mergeCell ref="A4314:A4324"/>
    <mergeCell ref="D4314:D4324"/>
    <mergeCell ref="E4314:E4324"/>
    <mergeCell ref="F4314:F4324"/>
    <mergeCell ref="A4359:A4362"/>
    <mergeCell ref="C4359:F4359"/>
    <mergeCell ref="C4360:F4360"/>
    <mergeCell ref="C4361:F4361"/>
    <mergeCell ref="C4362:F4362"/>
    <mergeCell ref="A4364:A4365"/>
    <mergeCell ref="C4364:C4365"/>
    <mergeCell ref="D4364:D4365"/>
    <mergeCell ref="A4367:A4368"/>
    <mergeCell ref="C4367:C4368"/>
    <mergeCell ref="D4367:D4368"/>
    <mergeCell ref="A4373:A4375"/>
    <mergeCell ref="C4373:C4375"/>
    <mergeCell ref="D4373:D4375"/>
    <mergeCell ref="A4342:A4345"/>
    <mergeCell ref="C4342:F4342"/>
    <mergeCell ref="C4343:F4343"/>
    <mergeCell ref="C4344:F4344"/>
    <mergeCell ref="C4345:F4345"/>
    <mergeCell ref="A4347:A4348"/>
    <mergeCell ref="C4347:C4348"/>
    <mergeCell ref="D4347:D4348"/>
    <mergeCell ref="A4351:A4352"/>
    <mergeCell ref="C4351:C4352"/>
    <mergeCell ref="D4351:D4352"/>
    <mergeCell ref="A4354:A4355"/>
    <mergeCell ref="D4354:D4355"/>
    <mergeCell ref="A4357:A4358"/>
    <mergeCell ref="D4357:D4358"/>
    <mergeCell ref="A4394:A4397"/>
    <mergeCell ref="C4394:F4394"/>
    <mergeCell ref="C4395:F4395"/>
    <mergeCell ref="C4396:F4396"/>
    <mergeCell ref="C4397:F4397"/>
    <mergeCell ref="A4406:A4409"/>
    <mergeCell ref="C4406:F4406"/>
    <mergeCell ref="C4407:F4407"/>
    <mergeCell ref="C4408:F4408"/>
    <mergeCell ref="C4409:F4409"/>
    <mergeCell ref="A4377:A4380"/>
    <mergeCell ref="C4377:F4377"/>
    <mergeCell ref="C4378:F4378"/>
    <mergeCell ref="C4379:F4379"/>
    <mergeCell ref="C4380:F4380"/>
    <mergeCell ref="A4383:A4386"/>
    <mergeCell ref="C4383:C4386"/>
    <mergeCell ref="D4383:D4386"/>
    <mergeCell ref="A4448:A4450"/>
    <mergeCell ref="C4448:C4450"/>
    <mergeCell ref="D4448:D4450"/>
    <mergeCell ref="A4452:A4453"/>
    <mergeCell ref="C4452:C4453"/>
    <mergeCell ref="D4452:D4453"/>
    <mergeCell ref="E4452:E4453"/>
    <mergeCell ref="F4452:F4453"/>
    <mergeCell ref="A4433:A4434"/>
    <mergeCell ref="D4433:D4434"/>
    <mergeCell ref="A4441:A4444"/>
    <mergeCell ref="C4441:F4441"/>
    <mergeCell ref="C4442:F4442"/>
    <mergeCell ref="C4443:F4443"/>
    <mergeCell ref="C4444:F4444"/>
    <mergeCell ref="C4411:C4412"/>
    <mergeCell ref="D4411:D4425"/>
    <mergeCell ref="E4411:E4425"/>
    <mergeCell ref="F4411:F4425"/>
    <mergeCell ref="A4414:A4415"/>
    <mergeCell ref="C4414:C4415"/>
    <mergeCell ref="A4416:A4421"/>
    <mergeCell ref="C4416:C4421"/>
    <mergeCell ref="A4426:A4429"/>
    <mergeCell ref="C4426:F4426"/>
    <mergeCell ref="C4427:F4427"/>
    <mergeCell ref="C4428:F4428"/>
    <mergeCell ref="C4429:F4429"/>
    <mergeCell ref="B4461:C4461"/>
    <mergeCell ref="B4462:C4462"/>
    <mergeCell ref="B4463:C4463"/>
    <mergeCell ref="B4464:C4464"/>
    <mergeCell ref="B4465:C4465"/>
    <mergeCell ref="B4466:C4466"/>
    <mergeCell ref="B4467:C4467"/>
    <mergeCell ref="B4468:C4468"/>
    <mergeCell ref="B4469:C4469"/>
    <mergeCell ref="A4498:B4498"/>
    <mergeCell ref="A4502:B4502"/>
    <mergeCell ref="A4508:B4508"/>
    <mergeCell ref="A4501:D4501"/>
    <mergeCell ref="A4505:D4505"/>
    <mergeCell ref="A4507:D4507"/>
    <mergeCell ref="A4454:A4458"/>
    <mergeCell ref="B4454:B4455"/>
    <mergeCell ref="C4454:E4454"/>
    <mergeCell ref="C4455:E4455"/>
    <mergeCell ref="C4456:E4456"/>
    <mergeCell ref="B4457:B4458"/>
    <mergeCell ref="C4457:E4457"/>
    <mergeCell ref="C4458:E4458"/>
    <mergeCell ref="A4460:E4460"/>
    <mergeCell ref="M5379:N5379"/>
    <mergeCell ref="L5346:M5346"/>
    <mergeCell ref="C5301:F5301"/>
    <mergeCell ref="C5015:E5021"/>
    <mergeCell ref="A4945:C4945"/>
    <mergeCell ref="A4952:C4952"/>
    <mergeCell ref="A4963:C4963"/>
    <mergeCell ref="D4963:F4963"/>
    <mergeCell ref="D4952:F4952"/>
    <mergeCell ref="D4945:F4945"/>
    <mergeCell ref="A4523:F4523"/>
    <mergeCell ref="A4589:F4589"/>
    <mergeCell ref="A4646:F4646"/>
    <mergeCell ref="A4470:A4471"/>
    <mergeCell ref="B4470:C4470"/>
    <mergeCell ref="B4471:C4471"/>
    <mergeCell ref="D4470:D4471"/>
    <mergeCell ref="E4470:E4471"/>
    <mergeCell ref="A4474:F4476"/>
    <mergeCell ref="A4479:F4479"/>
    <mergeCell ref="B5011:E5011"/>
  </mergeCells>
  <phoneticPr fontId="3"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4E6C3-96A8-4373-B9A7-6C3049BAD59F}">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SSD CONSTRUCTIONS</dc:creator>
  <cp:lastModifiedBy>yossm</cp:lastModifiedBy>
  <dcterms:created xsi:type="dcterms:W3CDTF">2024-06-14T03:30:59Z</dcterms:created>
  <dcterms:modified xsi:type="dcterms:W3CDTF">2026-02-16T10:11:35Z</dcterms:modified>
</cp:coreProperties>
</file>